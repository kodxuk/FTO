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sheets/sheet13.xml" ContentType="application/vnd.openxmlformats-officedocument.spreadsheetml.worksheet+xml"/>
  <Override PartName="/xl/threadedComments/threadedComment5.xml" ContentType="application/vnd.ms-excel.threadedcomments+xml"/>
  <Override PartName="/xl/comments5.xml" ContentType="application/vnd.openxmlformats-officedocument.spreadsheetml.comments+xml"/>
  <Override PartName="/xl/worksheets/sheet5.xml" ContentType="application/vnd.openxmlformats-officedocument.spreadsheetml.worksheet+xml"/>
  <Override PartName="/xl/threadedComments/threadedComment4.xml" ContentType="application/vnd.ms-excel.threadedcomments+xml"/>
  <Override PartName="/xl/threadedComments/threadedComment1.xml" ContentType="application/vnd.ms-excel.threadedcomments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threadedComments/threadedComment2.xml" ContentType="application/vnd.ms-excel.threadedcomments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4.xml" ContentType="application/vnd.openxmlformats-officedocument.spreadsheetml.comments+xml"/>
  <Override PartName="/xl/persons/person.xml" ContentType="application/vnd.ms-excel.person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Декабрь 2026" sheetId="1" state="visible" r:id="rId2"/>
    <sheet name="Ноябрь 2026" sheetId="2" state="visible" r:id="rId3"/>
    <sheet name="Октябрь 2026" sheetId="3" state="visible" r:id="rId4"/>
    <sheet name="Сентябрь 2026" sheetId="4" state="visible" r:id="rId5"/>
    <sheet name="Август 2026" sheetId="5" state="visible" r:id="rId6"/>
    <sheet name="Июль 2026" sheetId="6" state="visible" r:id="rId7"/>
    <sheet name="Июнь 2026" sheetId="7" state="visible" r:id="rId8"/>
    <sheet name="Май 2026" sheetId="8" state="visible" r:id="rId9"/>
    <sheet name="Апрель 2026" sheetId="9" state="visible" r:id="rId10"/>
    <sheet name="Март 2026" sheetId="10" state="visible" r:id="rId11"/>
    <sheet name="Февраль 2026" sheetId="11" state="visible" r:id="rId12"/>
    <sheet name="Январь 2026" sheetId="12" state="visible" r:id="rId13"/>
    <sheet name="Декабрь 2025" sheetId="13" state="visible" r:id="rId14"/>
    <sheet name="ТЕСТ" sheetId="14" state="visible" r:id="rId15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tc={475E7BDE-FAD9-5D8A-BC2E-257431067E7C}</author>
    <author>tc={3963C6CD-4325-F865-0998-E24A44CC1F64}</author>
  </authors>
  <commentList>
    <comment ref="E108" authorId="0" xr:uid="{475E7BDE-FAD9-5D8A-BC2E-257431067E7C}">
      <text>
        <r>
          <rPr>
            <b/>
            <sz val="9"/>
            <rFont val="Tahoma"/>
          </rPr>
          <t xml:space="preserve">Кирилл Качаев:</t>
        </r>
        <r>
          <rPr>
            <sz val="9"/>
            <rFont val="Tahoma"/>
          </rPr>
          <t xml:space="preserve">
Помощь по задаче БАТ t0350579
</t>
        </r>
      </text>
    </comment>
    <comment ref="I108" authorId="1" xr:uid="{3963C6CD-4325-F865-0998-E24A44CC1F64}">
      <text>
        <r>
          <rPr>
            <b/>
            <sz val="9"/>
            <rFont val="Tahoma"/>
          </rPr>
          <t xml:space="preserve">Кирилл Качаев:</t>
        </r>
        <r>
          <rPr>
            <sz val="9"/>
            <rFont val="Tahoma"/>
          </rPr>
          <t xml:space="preserve">
+1ч, без обеда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tc={2439F724-3FE9-F023-FBEF-1175AC9C5AB2}</author>
    <author>tc={4810C791-D9BF-2EA9-E1A8-CFB1750571E7}</author>
  </authors>
  <commentList>
    <comment ref="A23" authorId="0" xr:uid="{2439F724-3FE9-F023-FBEF-1175AC9C5AB2}">
      <text>
        <r>
          <rPr>
            <b/>
            <sz val="9"/>
            <rFont val="Tahoma"/>
          </rPr>
          <t xml:space="preserve">Пётр Пулиший:</t>
        </r>
        <r>
          <rPr>
            <sz val="9"/>
            <rFont val="Tahoma"/>
          </rPr>
          <t xml:space="preserve">
1-я неделя закрытия в 1-ой линии
</t>
        </r>
      </text>
    </comment>
    <comment ref="K72" authorId="1" xr:uid="{4810C791-D9BF-2EA9-E1A8-CFB1750571E7}">
      <text>
        <r>
          <rPr>
            <b/>
            <sz val="9"/>
            <rFont val="Tahoma"/>
          </rPr>
          <t xml:space="preserve">Артем Рычков:</t>
        </r>
        <r>
          <rPr>
            <sz val="9"/>
            <rFont val="Tahoma"/>
          </rPr>
          <t xml:space="preserve">
Помощь с критом по Часцам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tc={175CC56F-FE24-AEEE-C231-9D5DB13BD641}</author>
    <author>tc={DB09666D-143E-1267-86E7-0311343E2BCD}</author>
  </authors>
  <commentList>
    <comment ref="G60" authorId="0" xr:uid="{175CC56F-FE24-AEEE-C231-9D5DB13BD641}">
      <text>
        <r>
          <rPr>
            <b/>
            <sz val="9"/>
            <rFont val="Tahoma"/>
          </rPr>
          <t xml:space="preserve">Артем Рычков:</t>
        </r>
        <r>
          <rPr>
            <sz val="9"/>
            <rFont val="Tahoma"/>
          </rPr>
          <t xml:space="preserve">
Проблема с каширой
</t>
        </r>
      </text>
    </comment>
    <comment ref="I60" authorId="1" xr:uid="{DB09666D-143E-1267-86E7-0311343E2BCD}">
      <text>
        <r>
          <rPr>
            <b/>
            <sz val="9"/>
            <rFont val="Tahoma"/>
          </rPr>
          <t xml:space="preserve">Артем Рычков:</t>
        </r>
        <r>
          <rPr>
            <sz val="9"/>
            <rFont val="Tahoma"/>
          </rPr>
          <t xml:space="preserve">
Проблема с ответ хранением в клевере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tc={DBD721D0-E8F6-174C-94CB-6C3366CD331C}</author>
  </authors>
  <commentList>
    <comment ref="O47" authorId="0" xr:uid="{DBD721D0-E8F6-174C-94CB-6C3366CD331C}">
      <text>
        <r>
          <rPr>
            <b/>
            <sz val="9"/>
            <rFont val="Tahoma"/>
          </rPr>
          <t xml:space="preserve">Артем Рычков:</t>
        </r>
        <r>
          <rPr>
            <sz val="9"/>
            <rFont val="Tahoma"/>
          </rPr>
          <t xml:space="preserve">
Проблема с приемкой перемещением в Константиново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tc={6C710758-1F03-F4EF-4FB7-8E698AA0DCA4}</author>
  </authors>
  <commentList>
    <comment ref="I66" authorId="0" xr:uid="{6C710758-1F03-F4EF-4FB7-8E698AA0DCA4}">
      <text>
        <r>
          <rPr>
            <b/>
            <sz val="9"/>
            <rFont val="Tahoma"/>
          </rPr>
          <t xml:space="preserve">Артем Рычков:</t>
        </r>
        <r>
          <rPr>
            <sz val="9"/>
            <rFont val="Tahoma"/>
          </rPr>
          <t xml:space="preserve">
Проблмы с РЗ в Константиново
</t>
        </r>
      </text>
    </comment>
  </commentList>
</comments>
</file>

<file path=xl/sharedStrings.xml><?xml version="1.0" encoding="utf-8"?>
<sst xmlns="http://schemas.openxmlformats.org/spreadsheetml/2006/main" count="126" uniqueCount="126">
  <si>
    <t xml:space="preserve">     </t>
  </si>
  <si>
    <t>11-20</t>
  </si>
  <si>
    <t>Отпуск\больничный</t>
  </si>
  <si>
    <t>6-18</t>
  </si>
  <si>
    <t>12</t>
  </si>
  <si>
    <t>18-6</t>
  </si>
  <si>
    <t xml:space="preserve">Поддержка Черкизово</t>
  </si>
  <si>
    <t>8-20</t>
  </si>
  <si>
    <t>20-8</t>
  </si>
  <si>
    <t>9-21</t>
  </si>
  <si>
    <t>21-9</t>
  </si>
  <si>
    <t>10-22</t>
  </si>
  <si>
    <t>22-10</t>
  </si>
  <si>
    <t xml:space="preserve">у всех указано свое местное время</t>
  </si>
  <si>
    <t xml:space="preserve">Администраторы 1с</t>
  </si>
  <si>
    <t xml:space="preserve">кол. рч\мес</t>
  </si>
  <si>
    <t xml:space="preserve">ДЖ рч\мес</t>
  </si>
  <si>
    <t>пн</t>
  </si>
  <si>
    <t>вт</t>
  </si>
  <si>
    <t>ср</t>
  </si>
  <si>
    <t>чт</t>
  </si>
  <si>
    <t>пт</t>
  </si>
  <si>
    <t>сб</t>
  </si>
  <si>
    <t>вс</t>
  </si>
  <si>
    <t>Неделя</t>
  </si>
  <si>
    <t>Итог</t>
  </si>
  <si>
    <t>Ч/Мес</t>
  </si>
  <si>
    <t>День</t>
  </si>
  <si>
    <t>Ночь</t>
  </si>
  <si>
    <t>Кол.смен</t>
  </si>
  <si>
    <t xml:space="preserve">Часовой пояс</t>
  </si>
  <si>
    <t>Нетронин</t>
  </si>
  <si>
    <t>9-18</t>
  </si>
  <si>
    <t>8</t>
  </si>
  <si>
    <t xml:space="preserve">МСК +3</t>
  </si>
  <si>
    <t>Рычков</t>
  </si>
  <si>
    <t>Колобашкин</t>
  </si>
  <si>
    <t>18-3</t>
  </si>
  <si>
    <t>МСК</t>
  </si>
  <si>
    <t>Игумнов</t>
  </si>
  <si>
    <t>Душин</t>
  </si>
  <si>
    <t>ф</t>
  </si>
  <si>
    <t>Юращик</t>
  </si>
  <si>
    <t>Дащенко</t>
  </si>
  <si>
    <t xml:space="preserve">МСК +4</t>
  </si>
  <si>
    <t>Пузырь</t>
  </si>
  <si>
    <t>Голышев</t>
  </si>
  <si>
    <t>Торубара</t>
  </si>
  <si>
    <t>Стрыгин</t>
  </si>
  <si>
    <t xml:space="preserve">МСК +2</t>
  </si>
  <si>
    <t>Фрик</t>
  </si>
  <si>
    <t>Истрашкин</t>
  </si>
  <si>
    <t>Колмогорцев</t>
  </si>
  <si>
    <t>10</t>
  </si>
  <si>
    <t>8-17</t>
  </si>
  <si>
    <t>9</t>
  </si>
  <si>
    <t>7</t>
  </si>
  <si>
    <t>4</t>
  </si>
  <si>
    <t>21-10</t>
  </si>
  <si>
    <t>9-22</t>
  </si>
  <si>
    <t xml:space="preserve">                                                                                      </t>
  </si>
  <si>
    <t>Карузина</t>
  </si>
  <si>
    <t>Раимова</t>
  </si>
  <si>
    <t>Войтехович</t>
  </si>
  <si>
    <t>Васильев</t>
  </si>
  <si>
    <t>Рожнева</t>
  </si>
  <si>
    <t>Качаев</t>
  </si>
  <si>
    <t>21-11</t>
  </si>
  <si>
    <t>9-23</t>
  </si>
  <si>
    <t>21-12</t>
  </si>
  <si>
    <t>9-24</t>
  </si>
  <si>
    <t>10-19</t>
  </si>
  <si>
    <t>8,5</t>
  </si>
  <si>
    <t>9-17</t>
  </si>
  <si>
    <t>12-21</t>
  </si>
  <si>
    <t>13-21</t>
  </si>
  <si>
    <t>14-21</t>
  </si>
  <si>
    <t>11-21</t>
  </si>
  <si>
    <t>8-16</t>
  </si>
  <si>
    <t>10-20</t>
  </si>
  <si>
    <t>13-22</t>
  </si>
  <si>
    <t>11</t>
  </si>
  <si>
    <t xml:space="preserve"> </t>
  </si>
  <si>
    <t>2,5</t>
  </si>
  <si>
    <t>Будовская</t>
  </si>
  <si>
    <t>21-7</t>
  </si>
  <si>
    <t>0,5</t>
  </si>
  <si>
    <t xml:space="preserve">           </t>
  </si>
  <si>
    <t>9,5</t>
  </si>
  <si>
    <t>6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</si>
  <si>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</si>
  <si>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</si>
  <si>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</si>
  <si>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</si>
  <si>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</si>
  <si>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</si>
  <si>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</si>
  <si>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</si>
  <si>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</si>
  <si>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</si>
  <si>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</si>
  <si>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</si>
  <si>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</si>
  <si>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</si>
  <si>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</si>
  <si>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</si>
  <si>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</si>
  <si>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</si>
  <si>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</si>
  <si>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</si>
  <si>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</si>
  <si>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1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</si>
  <si>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</si>
  <si>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</si>
  <si>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</si>
  <si>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</si>
  <si>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</si>
  <si>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</si>
  <si>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</si>
  <si>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</si>
  <si>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</si>
  <si>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</si>
  <si>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</si>
  <si>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02.01.2026</t>
  </si>
  <si>
    <t>03.01.2026</t>
  </si>
  <si>
    <t>04.01.2026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</si>
</sst>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\-m"/>
    <numFmt numFmtId="165" formatCode="dd\.mm\.yyyy"/>
    <numFmt numFmtId="166" formatCode="dd/mm/yyyy"/>
  </numFmts>
  <fonts count="32">
    <font>
      <sz val="10.000000"/>
      <color theme="1"/>
      <name val="Calibri"/>
      <scheme val="minor"/>
    </font>
    <font>
      <sz val="11.000000"/>
      <color theme="1"/>
      <name val="Calibri"/>
      <scheme val="minor"/>
    </font>
    <font>
      <sz val="11.000000"/>
      <color indexed="5"/>
      <name val="Calibri"/>
    </font>
    <font>
      <sz val="11.000000"/>
      <name val="Calibri"/>
    </font>
    <font>
      <sz val="11.000000"/>
      <color rgb="FFFF3B3B"/>
      <name val="Calibri"/>
    </font>
    <font>
      <sz val="11.000000"/>
      <color theme="1"/>
      <name val="Calibri"/>
    </font>
    <font>
      <sz val="10.000000"/>
      <color theme="1"/>
      <name val="Calibri"/>
    </font>
    <font>
      <b/>
      <sz val="13.000000"/>
      <name val="Calibri"/>
    </font>
    <font>
      <b/>
      <sz val="14.000000"/>
      <name val="Calibri"/>
    </font>
    <font>
      <b/>
      <sz val="11.000000"/>
      <name val="Calibri"/>
    </font>
    <font>
      <sz val="10.000000"/>
      <color theme="1"/>
      <name val="Arial"/>
    </font>
    <font>
      <b/>
      <sz val="11.000000"/>
      <color theme="1"/>
      <name val="Calibri"/>
    </font>
    <font>
      <b/>
      <sz val="10.000000"/>
      <color theme="1"/>
      <name val="Calibri"/>
    </font>
    <font>
      <sz val="11.000000"/>
      <color rgb="FF1F1F1F"/>
      <name val="Calibri"/>
    </font>
    <font>
      <sz val="8.000000"/>
      <color theme="1"/>
      <name val="Calibri"/>
    </font>
    <font>
      <sz val="11.000000"/>
      <name val="Calibri"/>
      <scheme val="minor"/>
    </font>
    <font>
      <sz val="11.000000"/>
      <color indexed="2"/>
      <name val="Calibri"/>
    </font>
    <font>
      <sz val="11.000000"/>
      <color indexed="2"/>
      <name val="Calibri"/>
      <scheme val="minor"/>
    </font>
    <font>
      <sz val="10.000000"/>
      <color indexed="2"/>
      <name val="Arial"/>
    </font>
    <font>
      <sz val="11.000000"/>
      <color theme="1"/>
      <name val="Arial"/>
    </font>
    <font>
      <sz val="10.000000"/>
      <name val="Calibri"/>
      <scheme val="minor"/>
    </font>
    <font>
      <sz val="11.000000"/>
      <color indexed="5"/>
      <name val="Calibri"/>
      <scheme val="minor"/>
    </font>
    <font>
      <sz val="11.000000"/>
      <color rgb="FFFF3B3B"/>
      <name val="Calibri"/>
      <scheme val="minor"/>
    </font>
    <font>
      <b/>
      <sz val="13.000000"/>
      <name val="Calibri"/>
      <scheme val="minor"/>
    </font>
    <font>
      <b/>
      <sz val="14.000000"/>
      <name val="Calibri"/>
      <scheme val="minor"/>
    </font>
    <font>
      <b/>
      <sz val="11.000000"/>
      <name val="Calibri"/>
      <scheme val="minor"/>
    </font>
    <font>
      <sz val="10.000000"/>
      <name val="Arial"/>
    </font>
    <font>
      <b/>
      <sz val="10.000000"/>
      <name val="Calibri"/>
      <scheme val="minor"/>
    </font>
    <font>
      <sz val="11.000000"/>
      <color rgb="FF1F1F1F"/>
      <name val="Calibri"/>
      <scheme val="minor"/>
    </font>
    <font>
      <sz val="11.000000"/>
      <color theme="1" tint="0"/>
      <name val="Calibri"/>
      <scheme val="minor"/>
    </font>
    <font>
      <sz val="10.000000"/>
      <color indexed="2"/>
      <name val="Calibri"/>
      <scheme val="minor"/>
    </font>
    <font>
      <sz val="11.000000"/>
      <color rgb="FF0070C0"/>
      <name val="Calibri"/>
      <scheme val="minor"/>
    </font>
  </fonts>
  <fills count="67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3B3B"/>
        <bgColor rgb="FFFF3B3B"/>
      </patternFill>
    </fill>
    <fill>
      <patternFill patternType="solid">
        <fgColor theme="0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indexed="7"/>
      </patternFill>
    </fill>
    <fill>
      <patternFill patternType="solid">
        <fgColor theme="0"/>
        <bgColor rgb="FFA64D79"/>
      </patternFill>
    </fill>
    <fill>
      <patternFill patternType="solid">
        <fgColor theme="0"/>
        <bgColor rgb="FFDA9D9A"/>
      </patternFill>
    </fill>
    <fill>
      <patternFill patternType="solid">
        <fgColor theme="0"/>
        <bgColor rgb="FF741B47"/>
      </patternFill>
    </fill>
    <fill>
      <patternFill patternType="solid">
        <fgColor indexed="50"/>
        <bgColor indexed="50"/>
      </patternFill>
    </fill>
    <fill>
      <patternFill patternType="solid">
        <fgColor rgb="FF2E75B5"/>
        <bgColor rgb="FF2E75B5"/>
      </patternFill>
    </fill>
    <fill>
      <patternFill patternType="solid">
        <fgColor rgb="FFFFD965"/>
        <bgColor rgb="FFFFD965"/>
      </patternFill>
    </fill>
    <fill>
      <patternFill patternType="solid">
        <fgColor rgb="FFFFD966"/>
        <bgColor rgb="FFFFD9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indexed="65"/>
      </patternFill>
    </fill>
    <fill>
      <patternFill patternType="solid">
        <fgColor rgb="FF871313"/>
        <bgColor rgb="FF871313"/>
      </patternFill>
    </fill>
    <fill>
      <patternFill patternType="solid">
        <fgColor rgb="FF5B9BD5"/>
        <bgColor rgb="FF5B9BD5"/>
      </patternFill>
    </fill>
    <fill>
      <patternFill patternType="solid">
        <fgColor indexed="5"/>
        <bgColor rgb="FF0070C0"/>
      </patternFill>
    </fill>
    <fill>
      <patternFill patternType="solid">
        <fgColor indexed="5"/>
      </patternFill>
    </fill>
    <fill>
      <patternFill patternType="solid">
        <fgColor indexed="5"/>
        <bgColor rgb="FFFFC000"/>
      </patternFill>
    </fill>
    <fill>
      <patternFill patternType="solid">
        <fgColor theme="0"/>
        <bgColor indexed="5"/>
      </patternFill>
    </fill>
    <fill>
      <patternFill patternType="solid">
        <fgColor theme="4"/>
        <bgColor theme="4"/>
      </patternFill>
    </fill>
    <fill>
      <patternFill patternType="solid">
        <fgColor indexed="2"/>
        <bgColor indexed="2"/>
      </patternFill>
    </fill>
    <fill>
      <patternFill patternType="solid">
        <fgColor indexed="2"/>
        <bgColor rgb="FFFFC000"/>
      </patternFill>
    </fill>
    <fill>
      <patternFill patternType="solid">
        <fgColor indexed="5"/>
        <bgColor rgb="FF92D050"/>
      </patternFill>
    </fill>
    <fill>
      <patternFill patternType="solid">
        <fgColor rgb="FFFFC000"/>
        <bgColor indexed="2"/>
      </patternFill>
    </fill>
    <fill>
      <patternFill patternType="solid">
        <fgColor indexed="5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92D050"/>
      </patternFill>
    </fill>
    <fill>
      <patternFill patternType="solid">
        <fgColor rgb="FFFFC000"/>
      </patternFill>
    </fill>
    <fill>
      <patternFill patternType="solid">
        <fgColor rgb="FF0070C0"/>
        <bgColor rgb="FFDA9D9A"/>
      </patternFill>
    </fill>
    <fill>
      <patternFill patternType="solid">
        <fgColor theme="0"/>
        <bgColor rgb="FFFFC000"/>
      </patternFill>
    </fill>
    <fill>
      <patternFill patternType="solid">
        <fgColor rgb="FF92D050"/>
        <bgColor indexed="5"/>
      </patternFill>
    </fill>
    <fill>
      <patternFill patternType="solid">
        <fgColor theme="2"/>
        <bgColor indexed="5"/>
      </patternFill>
    </fill>
    <fill>
      <patternFill patternType="solid">
        <fgColor theme="2" tint="-0.34998626667073579"/>
        <bgColor theme="2" tint="-0.34998626667073579"/>
      </patternFill>
    </fill>
    <fill>
      <patternFill patternType="solid">
        <fgColor indexed="5"/>
        <bgColor indexed="6"/>
      </patternFill>
    </fill>
    <fill>
      <patternFill patternType="solid">
        <fgColor theme="0"/>
        <bgColor theme="5"/>
      </patternFill>
    </fill>
    <fill>
      <patternFill patternType="solid">
        <fgColor rgb="FFFFC000"/>
        <bgColor theme="0"/>
      </patternFill>
    </fill>
    <fill>
      <patternFill patternType="solid">
        <fgColor theme="0"/>
        <bgColor indexed="6"/>
      </patternFill>
    </fill>
    <fill>
      <patternFill patternType="solid">
        <fgColor rgb="FFFFC000"/>
        <bgColor indexed="5"/>
      </patternFill>
    </fill>
    <fill>
      <patternFill patternType="solid">
        <fgColor rgb="FF92D050"/>
        <bgColor rgb="FFDA9D9A"/>
      </patternFill>
    </fill>
    <fill>
      <patternFill patternType="solid">
        <fgColor rgb="FFFFC000"/>
        <bgColor indexed="6"/>
      </patternFill>
    </fill>
    <fill>
      <patternFill patternType="solid">
        <fgColor rgb="FF0070C0"/>
      </patternFill>
    </fill>
    <fill>
      <patternFill patternType="solid">
        <fgColor theme="0"/>
        <bgColor rgb="FF0070C0"/>
      </patternFill>
    </fill>
    <fill>
      <patternFill patternType="solid">
        <fgColor rgb="FF0070C0"/>
        <bgColor rgb="FFFFC000"/>
      </patternFill>
    </fill>
    <fill>
      <patternFill patternType="solid">
        <fgColor rgb="FFFFC000"/>
        <bgColor rgb="FF0070C0"/>
      </patternFill>
    </fill>
    <fill>
      <patternFill patternType="solid">
        <fgColor theme="8" tint="0.39997558519241921"/>
        <bgColor rgb="FF5B9BD5"/>
      </patternFill>
    </fill>
    <fill>
      <patternFill patternType="solid">
        <fgColor theme="0" tint="0"/>
        <bgColor theme="0" tint="0"/>
      </patternFill>
    </fill>
    <fill>
      <patternFill patternType="solid">
        <fgColor rgb="FF92D050"/>
        <bgColor rgb="FF871313"/>
      </patternFill>
    </fill>
    <fill>
      <patternFill patternType="solid">
        <fgColor theme="2"/>
        <bgColor theme="0"/>
      </patternFill>
    </fill>
    <fill>
      <patternFill patternType="solid">
        <fgColor theme="2"/>
        <bgColor rgb="FF0070C0"/>
      </patternFill>
    </fill>
    <fill>
      <patternFill patternType="solid">
        <fgColor rgb="FF0070C0"/>
        <bgColor theme="0"/>
      </patternFill>
    </fill>
    <fill>
      <patternFill patternType="solid">
        <fgColor rgb="FFFF3B3B"/>
      </patternFill>
    </fill>
    <fill>
      <patternFill patternType="solid">
        <fgColor indexed="50"/>
      </patternFill>
    </fill>
    <fill>
      <patternFill patternType="solid">
        <fgColor rgb="FF2E75B5"/>
      </patternFill>
    </fill>
    <fill>
      <patternFill patternType="solid">
        <fgColor rgb="FFFFD965"/>
      </patternFill>
    </fill>
    <fill>
      <patternFill patternType="solid">
        <fgColor rgb="FFFFD966"/>
      </patternFill>
    </fill>
    <fill>
      <patternFill patternType="solid">
        <fgColor rgb="FF548DD4"/>
      </patternFill>
    </fill>
    <fill>
      <patternFill patternType="solid">
        <fgColor rgb="FF92D050"/>
      </patternFill>
    </fill>
    <fill>
      <patternFill patternType="solid">
        <fgColor rgb="FF871313"/>
      </patternFill>
    </fill>
    <fill>
      <patternFill patternType="solid">
        <fgColor rgb="FF5B9BD5"/>
      </patternFill>
    </fill>
    <fill>
      <patternFill patternType="solid">
        <fgColor indexed="2"/>
      </patternFill>
    </fill>
    <fill>
      <patternFill patternType="solid">
        <fgColor theme="7" tint="0"/>
        <bgColor theme="7" tint="0"/>
      </patternFill>
    </fill>
    <fill>
      <patternFill patternType="solid">
        <fgColor theme="8" tint="0"/>
        <bgColor theme="8" tint="0"/>
      </patternFill>
    </fill>
  </fills>
  <borders count="95">
    <border>
      <left style="none"/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none"/>
      <right style="none"/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auto="1"/>
      </bottom>
      <diagonal style="none"/>
    </border>
    <border>
      <left style="none"/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auto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none"/>
      <bottom style="thin">
        <color theme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928">
    <xf fontId="0" fillId="0" borderId="0" numFmtId="0" xfId="0"/>
    <xf fontId="0" fillId="0" borderId="1" numFmtId="0" xfId="0" applyBorder="1"/>
    <xf fontId="2" fillId="2" borderId="2" numFmtId="49" xfId="0" applyNumberFormat="1" applyFont="1" applyFill="1" applyBorder="1" applyAlignment="1">
      <alignment horizontal="center" vertical="center"/>
    </xf>
    <xf fontId="3" fillId="2" borderId="2" numFmtId="0" xfId="0" applyFont="1" applyFill="1" applyBorder="1" applyAlignment="1">
      <alignment horizontal="center" vertical="center" wrapText="1"/>
    </xf>
    <xf fontId="4" fillId="3" borderId="2" numFmtId="49" xfId="0" applyNumberFormat="1" applyFont="1" applyFill="1" applyBorder="1" applyAlignment="1">
      <alignment horizontal="center" vertical="center"/>
    </xf>
    <xf fontId="3" fillId="3" borderId="2" numFmtId="0" xfId="0" applyFont="1" applyFill="1" applyBorder="1" applyAlignment="1">
      <alignment horizontal="center" vertical="center" wrapText="1"/>
    </xf>
    <xf fontId="3" fillId="0" borderId="0" numFmtId="0" xfId="0" applyFont="1" applyAlignment="1">
      <alignment horizontal="left" vertical="center"/>
    </xf>
    <xf fontId="3" fillId="0" borderId="0" numFmtId="0" xfId="0" applyFont="1" applyAlignment="1">
      <alignment vertical="center"/>
    </xf>
    <xf fontId="5" fillId="4" borderId="0" numFmtId="0" xfId="0" applyFont="1" applyFill="1" applyAlignment="1">
      <alignment horizontal="center" vertical="center"/>
    </xf>
    <xf fontId="5" fillId="4" borderId="0" numFmtId="0" xfId="0" applyFont="1" applyFill="1"/>
    <xf fontId="3" fillId="4" borderId="0" numFmtId="0" xfId="0" applyFont="1" applyFill="1" applyAlignment="1">
      <alignment vertical="center"/>
    </xf>
    <xf fontId="3" fillId="4" borderId="0" numFmtId="0" xfId="0" applyFont="1" applyFill="1" applyAlignment="1">
      <alignment horizontal="center" vertical="center"/>
    </xf>
    <xf fontId="3" fillId="0" borderId="0" numFmtId="1" xfId="0" applyNumberFormat="1" applyFont="1" applyAlignment="1">
      <alignment horizontal="center" vertical="center"/>
    </xf>
    <xf fontId="0" fillId="0" borderId="0" numFmtId="49" xfId="0" applyNumberFormat="1"/>
    <xf fontId="3" fillId="0" borderId="1" numFmtId="0" xfId="0" applyFont="1" applyBorder="1" applyAlignment="1">
      <alignment horizontal="left" vertical="center"/>
    </xf>
    <xf fontId="3" fillId="5" borderId="2" numFmtId="49" xfId="0" applyNumberFormat="1" applyFont="1" applyFill="1" applyBorder="1" applyAlignment="1">
      <alignment horizontal="center" vertical="center"/>
    </xf>
    <xf fontId="3" fillId="6" borderId="2" numFmtId="49" xfId="0" applyNumberFormat="1" applyFont="1" applyFill="1" applyBorder="1" applyAlignment="1">
      <alignment horizontal="center" vertical="center"/>
    </xf>
    <xf fontId="3" fillId="0" borderId="3" numFmtId="0" xfId="0" applyFont="1" applyBorder="1" applyAlignment="1">
      <alignment horizontal="left" vertical="center"/>
    </xf>
    <xf fontId="0" fillId="4" borderId="0" numFmtId="0" xfId="0" applyFill="1"/>
    <xf fontId="0" fillId="4" borderId="0" numFmtId="0" xfId="0" applyFill="1" applyAlignment="1">
      <alignment horizontal="center"/>
    </xf>
    <xf fontId="0" fillId="7" borderId="0" numFmtId="0" xfId="0" applyFill="1"/>
    <xf fontId="0" fillId="0" borderId="0" numFmtId="0" xfId="0"/>
    <xf fontId="0" fillId="0" borderId="4" numFmtId="0" xfId="0" applyBorder="1"/>
    <xf fontId="6" fillId="8" borderId="0" numFmtId="164" xfId="0" applyNumberFormat="1" applyFont="1" applyFill="1"/>
    <xf fontId="6" fillId="8" borderId="0" numFmtId="0" xfId="0" applyFont="1" applyFill="1"/>
    <xf fontId="5" fillId="4" borderId="0" numFmtId="0" xfId="0" applyFont="1" applyFill="1" applyAlignment="1">
      <alignment vertical="center"/>
    </xf>
    <xf fontId="5" fillId="9" borderId="0" numFmtId="49" xfId="0" applyNumberFormat="1" applyFont="1" applyFill="1" applyAlignment="1">
      <alignment horizontal="center" vertical="center"/>
    </xf>
    <xf fontId="5" fillId="9" borderId="0" numFmtId="0" xfId="0" applyFont="1" applyFill="1" applyAlignment="1">
      <alignment horizontal="center" vertical="center"/>
    </xf>
    <xf fontId="3" fillId="4" borderId="0" numFmtId="0" xfId="0" applyFont="1" applyFill="1" applyAlignment="1">
      <alignment horizontal="left" vertical="center"/>
    </xf>
    <xf fontId="6" fillId="10" borderId="0" numFmtId="0" xfId="0" applyFont="1" applyFill="1"/>
    <xf fontId="3" fillId="0" borderId="5" numFmtId="0" xfId="0" applyFont="1" applyBorder="1" applyAlignment="1">
      <alignment vertical="center"/>
    </xf>
    <xf fontId="7" fillId="3" borderId="5" numFmtId="0" xfId="0" applyFont="1" applyFill="1" applyBorder="1" applyAlignment="1">
      <alignment vertical="center"/>
    </xf>
    <xf fontId="3" fillId="0" borderId="5" numFmtId="0" xfId="0" applyFont="1" applyBorder="1" applyAlignment="1">
      <alignment horizontal="center" vertical="center"/>
    </xf>
    <xf fontId="0" fillId="0" borderId="5" numFmtId="0" xfId="0" applyBorder="1"/>
    <xf fontId="8" fillId="0" borderId="6" numFmtId="0" xfId="0" applyFont="1" applyBorder="1" applyAlignment="1">
      <alignment horizontal="center" vertical="center"/>
    </xf>
    <xf fontId="8" fillId="0" borderId="7" numFmtId="0" xfId="0" applyFont="1" applyBorder="1" applyAlignment="1">
      <alignment horizontal="center" vertical="center"/>
    </xf>
    <xf fontId="8" fillId="0" borderId="8" numFmtId="0" xfId="0" applyFont="1" applyBorder="1" applyAlignment="1">
      <alignment horizontal="center" vertical="center"/>
    </xf>
    <xf fontId="9" fillId="11" borderId="9" numFmtId="0" xfId="0" applyFont="1" applyFill="1" applyBorder="1" applyAlignment="1">
      <alignment horizontal="center" vertical="center"/>
    </xf>
    <xf fontId="3" fillId="0" borderId="10" numFmtId="0" xfId="0" applyFont="1" applyBorder="1" applyAlignment="1">
      <alignment horizontal="center" vertical="center"/>
    </xf>
    <xf fontId="9" fillId="12" borderId="11" numFmtId="0" xfId="0" applyFont="1" applyFill="1" applyBorder="1" applyAlignment="1">
      <alignment horizontal="center" vertical="center"/>
    </xf>
    <xf fontId="9" fillId="12" borderId="8" numFmtId="0" xfId="0" applyFont="1" applyFill="1" applyBorder="1" applyAlignment="1">
      <alignment horizontal="center" vertical="center"/>
    </xf>
    <xf fontId="3" fillId="0" borderId="12" numFmtId="1" xfId="0" applyNumberFormat="1" applyFont="1" applyBorder="1" applyAlignment="1">
      <alignment horizontal="center" vertical="center"/>
    </xf>
    <xf fontId="10" fillId="0" borderId="13" numFmtId="0" xfId="0" applyFont="1" applyBorder="1"/>
    <xf fontId="11" fillId="13" borderId="14" numFmtId="0" xfId="0" applyFont="1" applyFill="1" applyBorder="1" applyAlignment="1">
      <alignment horizontal="center"/>
    </xf>
    <xf fontId="10" fillId="13" borderId="14" numFmtId="0" xfId="0" applyFont="1" applyFill="1" applyBorder="1"/>
    <xf fontId="11" fillId="14" borderId="14" numFmtId="0" xfId="0" applyFont="1" applyFill="1" applyBorder="1" applyAlignment="1">
      <alignment horizontal="center"/>
    </xf>
    <xf fontId="10" fillId="14" borderId="14" numFmtId="0" xfId="0" applyFont="1" applyFill="1" applyBorder="1"/>
    <xf fontId="11" fillId="13" borderId="15" numFmtId="0" xfId="0" applyFont="1" applyFill="1" applyBorder="1" applyAlignment="1">
      <alignment horizontal="center"/>
    </xf>
    <xf fontId="11" fillId="13" borderId="16" numFmtId="0" xfId="0" applyFont="1" applyFill="1" applyBorder="1" applyAlignment="1">
      <alignment horizontal="center"/>
    </xf>
    <xf fontId="10" fillId="0" borderId="2" numFmtId="0" xfId="0" applyFont="1" applyBorder="1"/>
    <xf fontId="10" fillId="0" borderId="2" numFmtId="1" xfId="0" applyNumberFormat="1" applyFont="1" applyBorder="1"/>
    <xf fontId="5" fillId="0" borderId="17" numFmtId="0" xfId="0" applyFont="1" applyBorder="1"/>
    <xf fontId="5" fillId="0" borderId="18" numFmtId="0" xfId="0" applyFont="1" applyBorder="1" applyAlignment="1">
      <alignment horizontal="center"/>
    </xf>
    <xf fontId="12" fillId="5" borderId="18" numFmtId="165" xfId="0" applyNumberFormat="1" applyFont="1" applyFill="1" applyBorder="1" applyAlignment="1">
      <alignment horizontal="center"/>
    </xf>
    <xf fontId="10" fillId="5" borderId="18" numFmtId="165" xfId="0" applyNumberFormat="1" applyFont="1" applyFill="1" applyBorder="1"/>
    <xf fontId="11" fillId="13" borderId="18" numFmtId="49" xfId="0" applyNumberFormat="1" applyFont="1" applyFill="1" applyBorder="1" applyAlignment="1">
      <alignment horizontal="center"/>
    </xf>
    <xf fontId="11" fillId="13" borderId="18" numFmtId="0" xfId="0" applyFont="1" applyFill="1" applyBorder="1" applyAlignment="1">
      <alignment horizontal="center"/>
    </xf>
    <xf fontId="10" fillId="0" borderId="18" numFmtId="14" xfId="0" applyNumberFormat="1" applyFont="1" applyBorder="1"/>
    <xf fontId="10" fillId="0" borderId="18" numFmtId="0" xfId="0" applyFont="1" applyBorder="1"/>
    <xf fontId="10" fillId="0" borderId="19" numFmtId="0" xfId="0" applyFont="1" applyBorder="1"/>
    <xf fontId="5" fillId="5" borderId="2" numFmtId="49" xfId="0" applyNumberFormat="1" applyFont="1" applyFill="1" applyBorder="1" applyAlignment="1">
      <alignment horizontal="center"/>
    </xf>
    <xf fontId="5" fillId="15" borderId="2" numFmtId="49" xfId="0" applyNumberFormat="1" applyFont="1" applyFill="1" applyBorder="1" applyAlignment="1">
      <alignment horizontal="center"/>
    </xf>
    <xf fontId="5" fillId="0" borderId="2" numFmtId="1" xfId="0" applyNumberFormat="1" applyFont="1" applyBorder="1" applyAlignment="1">
      <alignment horizontal="center"/>
    </xf>
    <xf fontId="5" fillId="0" borderId="20" numFmtId="0" xfId="0" applyFont="1" applyBorder="1"/>
    <xf fontId="11" fillId="16" borderId="18" numFmtId="49" xfId="0" applyNumberFormat="1" applyFont="1" applyFill="1" applyBorder="1" applyAlignment="1">
      <alignment horizontal="center"/>
    </xf>
    <xf fontId="3" fillId="16" borderId="18" numFmtId="49" xfId="0" applyNumberFormat="1" applyFont="1" applyFill="1" applyBorder="1" applyAlignment="1">
      <alignment horizontal="center"/>
    </xf>
    <xf fontId="3" fillId="0" borderId="18" numFmtId="49" xfId="0" applyNumberFormat="1" applyFont="1" applyBorder="1" applyAlignment="1">
      <alignment horizontal="center"/>
    </xf>
    <xf fontId="5" fillId="0" borderId="18" numFmtId="49" xfId="0" applyNumberFormat="1" applyFont="1" applyBorder="1" applyAlignment="1">
      <alignment horizontal="center"/>
    </xf>
    <xf fontId="11" fillId="17" borderId="18" numFmtId="49" xfId="0" applyNumberFormat="1" applyFont="1" applyFill="1" applyBorder="1" applyAlignment="1">
      <alignment horizontal="center"/>
    </xf>
    <xf fontId="5" fillId="0" borderId="18" numFmtId="1" xfId="0" applyNumberFormat="1" applyFont="1" applyBorder="1" applyAlignment="1">
      <alignment horizontal="center"/>
    </xf>
    <xf fontId="11" fillId="0" borderId="18" numFmtId="49" xfId="0" applyNumberFormat="1" applyFont="1" applyBorder="1" applyAlignment="1">
      <alignment horizontal="center"/>
    </xf>
    <xf fontId="10" fillId="6" borderId="18" numFmtId="49" xfId="0" applyNumberFormat="1" applyFont="1" applyFill="1" applyBorder="1" applyAlignment="1">
      <alignment horizontal="center"/>
    </xf>
    <xf fontId="10" fillId="5" borderId="18" numFmtId="49" xfId="0" applyNumberFormat="1" applyFont="1" applyFill="1" applyBorder="1" applyAlignment="1">
      <alignment horizontal="center"/>
    </xf>
    <xf fontId="5" fillId="0" borderId="21" numFmtId="1" xfId="0" applyNumberFormat="1" applyFont="1" applyBorder="1" applyAlignment="1">
      <alignment horizontal="center"/>
    </xf>
    <xf fontId="5" fillId="0" borderId="2" numFmtId="0" xfId="0" applyFont="1" applyBorder="1"/>
    <xf fontId="11" fillId="18" borderId="18" numFmtId="49" xfId="0" applyNumberFormat="1" applyFont="1" applyFill="1" applyBorder="1" applyAlignment="1">
      <alignment horizontal="center"/>
    </xf>
    <xf fontId="5" fillId="6" borderId="18" numFmtId="49" xfId="0" applyNumberFormat="1" applyFont="1" applyFill="1" applyBorder="1" applyAlignment="1">
      <alignment horizontal="center"/>
    </xf>
    <xf fontId="5" fillId="5" borderId="18" numFmtId="49" xfId="0" applyNumberFormat="1" applyFont="1" applyFill="1" applyBorder="1" applyAlignment="1">
      <alignment horizontal="center"/>
    </xf>
    <xf fontId="3" fillId="6" borderId="18" numFmtId="49" xfId="0" applyNumberFormat="1" applyFont="1" applyFill="1" applyBorder="1" applyAlignment="1">
      <alignment horizontal="center"/>
    </xf>
    <xf fontId="13" fillId="17" borderId="2" numFmtId="0" xfId="0" applyFont="1" applyFill="1" applyBorder="1"/>
    <xf fontId="6" fillId="0" borderId="0" numFmtId="0" xfId="0" applyFont="1"/>
    <xf fontId="11" fillId="19" borderId="18" numFmtId="49" xfId="0" applyNumberFormat="1" applyFont="1" applyFill="1" applyBorder="1" applyAlignment="1">
      <alignment horizontal="center"/>
    </xf>
    <xf fontId="3" fillId="0" borderId="18" numFmtId="49" xfId="0" applyNumberFormat="1" applyFont="1" applyBorder="1" applyAlignment="1">
      <alignment horizontal="center" vertical="center"/>
    </xf>
    <xf fontId="3" fillId="5" borderId="18" numFmtId="49" xfId="0" applyNumberFormat="1" applyFont="1" applyFill="1" applyBorder="1" applyAlignment="1">
      <alignment horizontal="center"/>
    </xf>
    <xf fontId="10" fillId="5" borderId="22" numFmtId="49" xfId="0" applyNumberFormat="1" applyFont="1" applyFill="1" applyBorder="1" applyAlignment="1">
      <alignment horizontal="center"/>
    </xf>
    <xf fontId="5" fillId="0" borderId="23" numFmtId="1" xfId="0" applyNumberFormat="1" applyFont="1" applyBorder="1" applyAlignment="1">
      <alignment horizontal="center"/>
    </xf>
    <xf fontId="5" fillId="0" borderId="24" numFmtId="1" xfId="0" applyNumberFormat="1" applyFont="1" applyBorder="1" applyAlignment="1">
      <alignment horizontal="center"/>
    </xf>
    <xf fontId="0" fillId="0" borderId="18" numFmtId="0" xfId="0" applyBorder="1"/>
    <xf fontId="9" fillId="19" borderId="18" numFmtId="49" xfId="0" applyNumberFormat="1" applyFont="1" applyFill="1" applyBorder="1" applyAlignment="1">
      <alignment horizontal="center" vertical="center"/>
    </xf>
    <xf fontId="3" fillId="6" borderId="0" numFmtId="49" xfId="0" applyNumberFormat="1" applyFont="1" applyFill="1" applyAlignment="1">
      <alignment horizontal="center"/>
    </xf>
    <xf fontId="5" fillId="0" borderId="25" numFmtId="1" xfId="0" applyNumberFormat="1" applyFont="1" applyBorder="1" applyAlignment="1">
      <alignment horizontal="center"/>
    </xf>
    <xf fontId="5" fillId="0" borderId="0" numFmtId="0" xfId="0" applyFont="1"/>
    <xf fontId="11" fillId="0" borderId="18" numFmtId="0" xfId="0" applyFont="1" applyBorder="1" applyAlignment="1">
      <alignment horizontal="center"/>
    </xf>
    <xf fontId="10" fillId="17" borderId="18" numFmtId="49" xfId="0" applyNumberFormat="1" applyFont="1" applyFill="1" applyBorder="1"/>
    <xf fontId="10" fillId="0" borderId="18" numFmtId="49" xfId="0" applyNumberFormat="1" applyFont="1" applyBorder="1"/>
    <xf fontId="10" fillId="0" borderId="26" numFmtId="0" xfId="0" applyFont="1" applyBorder="1"/>
    <xf fontId="10" fillId="0" borderId="0" numFmtId="0" xfId="0" applyFont="1"/>
    <xf fontId="9" fillId="0" borderId="18" numFmtId="0" xfId="0" applyFont="1" applyBorder="1" applyAlignment="1">
      <alignment horizontal="center" vertical="center"/>
    </xf>
    <xf fontId="3" fillId="0" borderId="18" numFmtId="0" xfId="0" applyFont="1" applyBorder="1" applyAlignment="1">
      <alignment horizontal="center" vertical="center"/>
    </xf>
    <xf fontId="3" fillId="0" borderId="25" numFmtId="0" xfId="0" applyFont="1" applyBorder="1" applyAlignment="1">
      <alignment horizontal="center" vertical="center"/>
    </xf>
    <xf fontId="3" fillId="0" borderId="2" numFmtId="1" xfId="0" applyNumberFormat="1" applyFont="1" applyBorder="1" applyAlignment="1">
      <alignment horizontal="center" vertical="center"/>
    </xf>
    <xf fontId="9" fillId="13" borderId="18" numFmtId="0" xfId="0" applyFont="1" applyFill="1" applyBorder="1" applyAlignment="1">
      <alignment horizontal="center" vertical="center"/>
    </xf>
    <xf fontId="9" fillId="14" borderId="18" numFmtId="0" xfId="0" applyFont="1" applyFill="1" applyBorder="1" applyAlignment="1">
      <alignment horizontal="center" vertical="center"/>
    </xf>
    <xf fontId="9" fillId="13" borderId="18" numFmtId="49" xfId="0" applyNumberFormat="1" applyFont="1" applyFill="1" applyBorder="1" applyAlignment="1">
      <alignment horizontal="center" vertical="center"/>
    </xf>
    <xf fontId="3" fillId="0" borderId="18" numFmtId="14" xfId="0" applyNumberFormat="1" applyFont="1" applyBorder="1" applyAlignment="1">
      <alignment horizontal="center" vertical="center"/>
    </xf>
    <xf fontId="3" fillId="0" borderId="19" numFmtId="0" xfId="0" applyFont="1" applyBorder="1" applyAlignment="1">
      <alignment horizontal="center" vertical="center"/>
    </xf>
    <xf fontId="5" fillId="15" borderId="2" numFmtId="49" xfId="0" applyNumberFormat="1" applyFont="1" applyFill="1" applyBorder="1" applyAlignment="1">
      <alignment horizontal="center" vertical="center"/>
    </xf>
    <xf fontId="3" fillId="20" borderId="18" numFmtId="49" xfId="0" applyNumberFormat="1" applyFont="1" applyFill="1" applyBorder="1" applyAlignment="1">
      <alignment horizontal="center"/>
    </xf>
    <xf fontId="3" fillId="21" borderId="18" numFmtId="49" xfId="0" applyNumberFormat="1" applyFont="1" applyFill="1" applyBorder="1" applyAlignment="1">
      <alignment horizontal="center"/>
    </xf>
    <xf fontId="3" fillId="21" borderId="18" numFmtId="49" xfId="0" applyNumberFormat="1" applyFont="1" applyFill="1" applyBorder="1" applyAlignment="1">
      <alignment horizontal="center" vertical="center"/>
    </xf>
    <xf fontId="3" fillId="22" borderId="18" numFmtId="49" xfId="0" applyNumberFormat="1" applyFont="1" applyFill="1" applyBorder="1" applyAlignment="1">
      <alignment horizontal="center"/>
    </xf>
    <xf fontId="5" fillId="21" borderId="18" numFmtId="49" xfId="0" applyNumberFormat="1" applyFont="1" applyFill="1" applyBorder="1" applyAlignment="1">
      <alignment horizontal="center"/>
    </xf>
    <xf fontId="3" fillId="5" borderId="0" numFmtId="49" xfId="0" applyNumberFormat="1" applyFont="1" applyFill="1" applyAlignment="1">
      <alignment horizontal="center"/>
    </xf>
    <xf fontId="11" fillId="0" borderId="0" numFmtId="49" xfId="0" applyNumberFormat="1" applyFont="1" applyAlignment="1">
      <alignment horizontal="center"/>
    </xf>
    <xf fontId="9" fillId="0" borderId="18" numFmtId="49" xfId="0" applyNumberFormat="1" applyFont="1" applyBorder="1" applyAlignment="1">
      <alignment horizontal="center" vertical="center"/>
    </xf>
    <xf fontId="3" fillId="0" borderId="26" numFmtId="0" xfId="0" applyFont="1" applyBorder="1" applyAlignment="1">
      <alignment horizontal="center" vertical="center"/>
    </xf>
    <xf fontId="5" fillId="13" borderId="18" numFmtId="0" xfId="0" applyFont="1" applyFill="1" applyBorder="1" applyAlignment="1">
      <alignment horizontal="center"/>
    </xf>
    <xf fontId="5" fillId="0" borderId="25" numFmtId="0" xfId="0" applyFont="1" applyBorder="1" applyAlignment="1">
      <alignment horizontal="center"/>
    </xf>
    <xf fontId="5" fillId="0" borderId="18" numFmtId="14" xfId="0" applyNumberFormat="1" applyFont="1" applyBorder="1" applyAlignment="1">
      <alignment horizontal="center"/>
    </xf>
    <xf fontId="5" fillId="0" borderId="19" numFmtId="0" xfId="0" applyFont="1" applyBorder="1" applyAlignment="1">
      <alignment horizontal="center"/>
    </xf>
    <xf fontId="3" fillId="23" borderId="18" numFmtId="49" xfId="0" applyNumberFormat="1" applyFont="1" applyFill="1" applyBorder="1" applyAlignment="1">
      <alignment horizontal="center"/>
    </xf>
    <xf fontId="11" fillId="24" borderId="18" numFmtId="49" xfId="0" applyNumberFormat="1" applyFont="1" applyFill="1" applyBorder="1" applyAlignment="1">
      <alignment horizontal="center"/>
    </xf>
    <xf fontId="3" fillId="2" borderId="18" numFmtId="49" xfId="0" applyNumberFormat="1" applyFont="1" applyFill="1" applyBorder="1" applyAlignment="1">
      <alignment horizontal="center"/>
    </xf>
    <xf fontId="5" fillId="2" borderId="18" numFmtId="49" xfId="0" applyNumberFormat="1" applyFont="1" applyFill="1" applyBorder="1" applyAlignment="1">
      <alignment horizontal="center"/>
    </xf>
    <xf fontId="0" fillId="2" borderId="18" numFmtId="0" xfId="0" applyFill="1" applyBorder="1"/>
    <xf fontId="9" fillId="24" borderId="18" numFmtId="49" xfId="0" applyNumberFormat="1" applyFont="1" applyFill="1" applyBorder="1" applyAlignment="1">
      <alignment horizontal="center" vertical="center"/>
    </xf>
    <xf fontId="5" fillId="0" borderId="26" numFmtId="0" xfId="0" applyFont="1" applyBorder="1" applyAlignment="1">
      <alignment horizontal="center"/>
    </xf>
    <xf fontId="3" fillId="0" borderId="27" numFmtId="0" xfId="0" applyFont="1" applyBorder="1" applyAlignment="1">
      <alignment horizontal="center" vertical="center"/>
    </xf>
    <xf fontId="3" fillId="0" borderId="27" numFmtId="1" xfId="0" applyNumberFormat="1" applyFont="1" applyBorder="1" applyAlignment="1">
      <alignment horizontal="center" vertical="center"/>
    </xf>
    <xf fontId="11" fillId="14" borderId="18" numFmtId="0" xfId="0" applyFont="1" applyFill="1" applyBorder="1" applyAlignment="1">
      <alignment horizontal="center"/>
    </xf>
    <xf fontId="9" fillId="16" borderId="18" numFmtId="49" xfId="0" applyNumberFormat="1" applyFont="1" applyFill="1" applyBorder="1" applyAlignment="1">
      <alignment horizontal="center"/>
    </xf>
    <xf fontId="0" fillId="5" borderId="18" numFmtId="0" xfId="0" applyFill="1" applyBorder="1"/>
    <xf fontId="3" fillId="2" borderId="18" numFmtId="49" xfId="0" applyNumberFormat="1" applyFont="1" applyFill="1" applyBorder="1" applyAlignment="1">
      <alignment horizontal="center" vertical="center"/>
    </xf>
    <xf fontId="3" fillId="6" borderId="28" numFmtId="49" xfId="0" applyNumberFormat="1" applyFont="1" applyFill="1" applyBorder="1" applyAlignment="1">
      <alignment horizontal="center"/>
    </xf>
    <xf fontId="5" fillId="0" borderId="29" numFmtId="0" xfId="0" applyFont="1" applyBorder="1" applyAlignment="1">
      <alignment horizontal="center"/>
    </xf>
    <xf fontId="11" fillId="17" borderId="30" numFmtId="49" xfId="0" applyNumberFormat="1" applyFont="1" applyFill="1" applyBorder="1" applyAlignment="1">
      <alignment horizontal="center"/>
    </xf>
    <xf fontId="5" fillId="0" borderId="29" numFmtId="49" xfId="0" applyNumberFormat="1" applyFont="1" applyBorder="1" applyAlignment="1">
      <alignment horizontal="center"/>
    </xf>
    <xf fontId="11" fillId="0" borderId="29" numFmtId="0" xfId="0" applyFont="1" applyBorder="1" applyAlignment="1">
      <alignment horizontal="center"/>
    </xf>
    <xf fontId="5" fillId="0" borderId="31" numFmtId="0" xfId="0" applyFont="1" applyBorder="1" applyAlignment="1">
      <alignment horizontal="center"/>
    </xf>
    <xf fontId="3" fillId="0" borderId="27" numFmtId="0" xfId="0" applyFont="1" applyBorder="1" applyAlignment="1">
      <alignment vertical="center"/>
    </xf>
    <xf fontId="3" fillId="0" borderId="32" numFmtId="0" xfId="0" applyFont="1" applyBorder="1" applyAlignment="1">
      <alignment vertical="center"/>
    </xf>
    <xf fontId="5" fillId="0" borderId="13" numFmtId="0" xfId="0" applyFont="1" applyBorder="1" applyAlignment="1">
      <alignment horizontal="center"/>
    </xf>
    <xf fontId="5" fillId="13" borderId="14" numFmtId="0" xfId="0" applyFont="1" applyFill="1" applyBorder="1" applyAlignment="1">
      <alignment horizontal="center"/>
    </xf>
    <xf fontId="5" fillId="0" borderId="2" numFmtId="0" xfId="0" applyFont="1" applyBorder="1" applyAlignment="1">
      <alignment horizontal="center"/>
    </xf>
    <xf fontId="12" fillId="25" borderId="18" numFmtId="165" xfId="0" applyNumberFormat="1" applyFont="1" applyFill="1" applyBorder="1" applyAlignment="1">
      <alignment horizontal="center"/>
    </xf>
    <xf fontId="12" fillId="26" borderId="18" numFmtId="165" xfId="0" applyNumberFormat="1" applyFont="1" applyFill="1" applyBorder="1" applyAlignment="1">
      <alignment horizontal="center"/>
    </xf>
    <xf fontId="10" fillId="26" borderId="18" numFmtId="165" xfId="0" applyNumberFormat="1" applyFont="1" applyFill="1" applyBorder="1"/>
    <xf fontId="5" fillId="0" borderId="14" numFmtId="0" xfId="0" applyFont="1" applyBorder="1" applyAlignment="1">
      <alignment horizontal="center"/>
    </xf>
    <xf fontId="3" fillId="27" borderId="18" numFmtId="49" xfId="0" applyNumberFormat="1" applyFont="1" applyFill="1" applyBorder="1" applyAlignment="1">
      <alignment horizontal="center"/>
    </xf>
    <xf fontId="10" fillId="6" borderId="22" numFmtId="49" xfId="0" applyNumberFormat="1" applyFont="1" applyFill="1" applyBorder="1" applyAlignment="1">
      <alignment horizontal="center"/>
    </xf>
    <xf fontId="0" fillId="21" borderId="18" numFmtId="0" xfId="0" applyFill="1" applyBorder="1"/>
    <xf fontId="10" fillId="26" borderId="33" numFmtId="165" xfId="0" applyNumberFormat="1" applyFont="1" applyFill="1" applyBorder="1"/>
    <xf fontId="11" fillId="17" borderId="29" numFmtId="49" xfId="0" applyNumberFormat="1" applyFont="1" applyFill="1" applyBorder="1" applyAlignment="1">
      <alignment horizontal="center"/>
    </xf>
    <xf fontId="3" fillId="0" borderId="0" numFmtId="0" xfId="0" applyFont="1" applyAlignment="1">
      <alignment horizontal="center" vertical="center"/>
    </xf>
    <xf fontId="0" fillId="0" borderId="0" numFmtId="0" xfId="0" applyAlignment="1">
      <alignment horizontal="center"/>
    </xf>
    <xf fontId="3" fillId="0" borderId="34" numFmtId="0" xfId="0" applyFont="1" applyBorder="1" applyAlignment="1">
      <alignment vertical="center"/>
    </xf>
    <xf fontId="3" fillId="5" borderId="18" numFmtId="49" xfId="0" applyNumberFormat="1" applyFont="1" applyFill="1" applyBorder="1" applyAlignment="1">
      <alignment horizontal="center" vertical="center"/>
    </xf>
    <xf fontId="10" fillId="5" borderId="31" numFmtId="165" xfId="0" applyNumberFormat="1" applyFont="1" applyFill="1" applyBorder="1"/>
    <xf fontId="10" fillId="17" borderId="29" numFmtId="49" xfId="0" applyNumberFormat="1" applyFont="1" applyFill="1" applyBorder="1"/>
    <xf fontId="10" fillId="0" borderId="29" numFmtId="49" xfId="0" applyNumberFormat="1" applyFont="1" applyBorder="1"/>
    <xf fontId="10" fillId="0" borderId="29" numFmtId="0" xfId="0" applyFont="1" applyBorder="1"/>
    <xf fontId="10" fillId="0" borderId="31" numFmtId="0" xfId="0" applyFont="1" applyBorder="1"/>
    <xf fontId="9" fillId="0" borderId="20" numFmtId="0" xfId="0" applyFont="1" applyBorder="1" applyAlignment="1">
      <alignment horizontal="center" vertical="center"/>
    </xf>
    <xf fontId="9" fillId="0" borderId="27" numFmtId="0" xfId="0" applyFont="1" applyBorder="1" applyAlignment="1">
      <alignment horizontal="center" vertical="center"/>
    </xf>
    <xf fontId="9" fillId="0" borderId="25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13" numFmtId="0" xfId="0" applyFont="1" applyBorder="1" applyAlignment="1">
      <alignment horizontal="center" vertical="center"/>
    </xf>
    <xf fontId="9" fillId="13" borderId="14" numFmtId="0" xfId="0" applyFont="1" applyFill="1" applyBorder="1" applyAlignment="1">
      <alignment horizontal="center" vertical="center"/>
    </xf>
    <xf fontId="9" fillId="14" borderId="14" numFmtId="0" xfId="0" applyFont="1" applyFill="1" applyBorder="1" applyAlignment="1">
      <alignment horizontal="center" vertical="center"/>
    </xf>
    <xf fontId="9" fillId="13" borderId="15" numFmtId="0" xfId="0" applyFont="1" applyFill="1" applyBorder="1" applyAlignment="1">
      <alignment horizontal="center" vertical="center"/>
    </xf>
    <xf fontId="9" fillId="13" borderId="16" numFmtId="0" xfId="0" applyFont="1" applyFill="1" applyBorder="1" applyAlignment="1">
      <alignment horizontal="center" vertical="center"/>
    </xf>
    <xf fontId="12" fillId="28" borderId="18" numFmtId="165" xfId="0" applyNumberFormat="1" applyFont="1" applyFill="1" applyBorder="1" applyAlignment="1">
      <alignment horizontal="center"/>
    </xf>
    <xf fontId="3" fillId="5" borderId="25" numFmtId="49" xfId="0" applyNumberFormat="1" applyFont="1" applyFill="1" applyBorder="1" applyAlignment="1">
      <alignment horizontal="center" vertical="center"/>
    </xf>
    <xf fontId="5" fillId="6" borderId="0" numFmtId="49" xfId="0" applyNumberFormat="1" applyFont="1" applyFill="1" applyAlignment="1">
      <alignment horizontal="center"/>
    </xf>
    <xf fontId="3" fillId="5" borderId="0" numFmtId="49" xfId="0" applyNumberFormat="1" applyFont="1" applyFill="1" applyAlignment="1">
      <alignment horizontal="center" vertical="center"/>
    </xf>
    <xf fontId="9" fillId="0" borderId="29" numFmtId="0" xfId="0" applyFont="1" applyBorder="1" applyAlignment="1">
      <alignment horizontal="center" vertical="center"/>
    </xf>
    <xf fontId="9" fillId="0" borderId="29" numFmtId="49" xfId="0" applyNumberFormat="1" applyFont="1" applyBorder="1" applyAlignment="1">
      <alignment horizontal="center" vertical="center"/>
    </xf>
    <xf fontId="3" fillId="0" borderId="29" numFmtId="49" xfId="0" applyNumberFormat="1" applyFont="1" applyBorder="1" applyAlignment="1">
      <alignment horizontal="center" vertical="center"/>
    </xf>
    <xf fontId="3" fillId="0" borderId="31" numFmtId="0" xfId="0" applyFont="1" applyBorder="1" applyAlignment="1">
      <alignment horizontal="center" vertical="center"/>
    </xf>
    <xf fontId="9" fillId="0" borderId="15" numFmtId="0" xfId="0" applyFont="1" applyBorder="1" applyAlignment="1">
      <alignment horizontal="center" vertical="center"/>
    </xf>
    <xf fontId="9" fillId="0" borderId="4" numFmtId="0" xfId="0" applyFont="1" applyBorder="1" applyAlignment="1">
      <alignment horizontal="center" vertical="center"/>
    </xf>
    <xf fontId="9" fillId="0" borderId="16" numFmtId="0" xfId="0" applyFont="1" applyBorder="1" applyAlignment="1">
      <alignment horizontal="center" vertical="center"/>
    </xf>
    <xf fontId="3" fillId="23" borderId="0" numFmtId="49" xfId="0" applyNumberFormat="1" applyFont="1" applyFill="1" applyAlignment="1">
      <alignment horizontal="center"/>
    </xf>
    <xf fontId="5" fillId="23" borderId="18" numFmtId="49" xfId="0" applyNumberFormat="1" applyFont="1" applyFill="1" applyBorder="1" applyAlignment="1">
      <alignment horizontal="center"/>
    </xf>
    <xf fontId="5" fillId="23" borderId="0" numFmtId="49" xfId="0" applyNumberFormat="1" applyFont="1" applyFill="1" applyAlignment="1">
      <alignment horizontal="center"/>
    </xf>
    <xf fontId="3" fillId="0" borderId="18" numFmtId="2" xfId="0" applyNumberFormat="1" applyFont="1" applyBorder="1" applyAlignment="1">
      <alignment horizontal="center"/>
    </xf>
    <xf fontId="3" fillId="20" borderId="18" numFmtId="2" xfId="0" applyNumberFormat="1" applyFont="1" applyFill="1" applyBorder="1" applyAlignment="1">
      <alignment horizontal="center"/>
    </xf>
    <xf fontId="3" fillId="21" borderId="18" numFmtId="2" xfId="0" applyNumberFormat="1" applyFont="1" applyFill="1" applyBorder="1" applyAlignment="1">
      <alignment horizontal="center"/>
    </xf>
    <xf fontId="3" fillId="29" borderId="0" numFmtId="49" xfId="0" applyNumberFormat="1" applyFont="1" applyFill="1" applyAlignment="1">
      <alignment horizontal="center"/>
    </xf>
    <xf fontId="3" fillId="29" borderId="18" numFmtId="2" xfId="0" applyNumberFormat="1" applyFont="1" applyFill="1" applyBorder="1" applyAlignment="1">
      <alignment horizontal="center"/>
    </xf>
    <xf fontId="3" fillId="22" borderId="18" numFmtId="2" xfId="0" applyNumberFormat="1" applyFont="1" applyFill="1" applyBorder="1" applyAlignment="1">
      <alignment horizontal="center"/>
    </xf>
    <xf fontId="11" fillId="17" borderId="18" numFmtId="1" xfId="0" applyNumberFormat="1" applyFont="1" applyFill="1" applyBorder="1" applyAlignment="1">
      <alignment horizontal="center"/>
    </xf>
    <xf fontId="10" fillId="5" borderId="35" numFmtId="165" xfId="0" applyNumberFormat="1" applyFont="1" applyFill="1" applyBorder="1"/>
    <xf fontId="3" fillId="0" borderId="20" numFmtId="0" xfId="0" applyFont="1" applyBorder="1" applyAlignment="1">
      <alignment horizontal="center" vertical="center"/>
    </xf>
    <xf fontId="5" fillId="5" borderId="25" numFmtId="49" xfId="0" applyNumberFormat="1" applyFont="1" applyFill="1" applyBorder="1" applyAlignment="1">
      <alignment horizontal="center"/>
    </xf>
    <xf fontId="5" fillId="4" borderId="18" numFmtId="49" xfId="0" applyNumberFormat="1" applyFont="1" applyFill="1" applyBorder="1" applyAlignment="1">
      <alignment horizontal="center"/>
    </xf>
    <xf fontId="3" fillId="23" borderId="18" numFmtId="49" xfId="0" applyNumberFormat="1" applyFont="1" applyFill="1" applyBorder="1" applyAlignment="1">
      <alignment horizontal="center" vertical="center"/>
    </xf>
    <xf fontId="5" fillId="0" borderId="15" numFmtId="0" xfId="0" applyFont="1" applyBorder="1" applyAlignment="1">
      <alignment horizontal="center"/>
    </xf>
    <xf fontId="3" fillId="16" borderId="0" numFmtId="49" xfId="0" applyNumberFormat="1" applyFont="1" applyFill="1" applyAlignment="1">
      <alignment horizontal="center"/>
    </xf>
    <xf fontId="3" fillId="16" borderId="22" numFmtId="49" xfId="0" applyNumberFormat="1" applyFont="1" applyFill="1" applyBorder="1" applyAlignment="1">
      <alignment horizontal="center"/>
    </xf>
    <xf fontId="3" fillId="30" borderId="18" numFmtId="49" xfId="0" applyNumberFormat="1" applyFont="1" applyFill="1" applyBorder="1" applyAlignment="1">
      <alignment horizontal="center"/>
    </xf>
    <xf fontId="5" fillId="30" borderId="18" numFmtId="49" xfId="0" applyNumberFormat="1" applyFont="1" applyFill="1" applyBorder="1" applyAlignment="1">
      <alignment horizontal="center"/>
    </xf>
    <xf fontId="11" fillId="16" borderId="36" numFmtId="49" xfId="0" applyNumberFormat="1" applyFont="1" applyFill="1" applyBorder="1" applyAlignment="1">
      <alignment horizontal="center"/>
    </xf>
    <xf fontId="11" fillId="16" borderId="37" numFmtId="49" xfId="0" applyNumberFormat="1" applyFont="1" applyFill="1" applyBorder="1" applyAlignment="1">
      <alignment horizontal="center"/>
    </xf>
    <xf fontId="11" fillId="19" borderId="36" numFmtId="49" xfId="0" applyNumberFormat="1" applyFont="1" applyFill="1" applyBorder="1" applyAlignment="1">
      <alignment horizontal="center"/>
    </xf>
    <xf fontId="11" fillId="19" borderId="37" numFmtId="49" xfId="0" applyNumberFormat="1" applyFont="1" applyFill="1" applyBorder="1" applyAlignment="1">
      <alignment horizontal="center"/>
    </xf>
    <xf fontId="9" fillId="19" borderId="37" numFmtId="49" xfId="0" applyNumberFormat="1" applyFont="1" applyFill="1" applyBorder="1" applyAlignment="1">
      <alignment horizontal="center" vertical="center"/>
    </xf>
    <xf fontId="11" fillId="0" borderId="2" numFmtId="0" xfId="0" applyFont="1" applyBorder="1" applyAlignment="1">
      <alignment horizontal="center"/>
    </xf>
    <xf fontId="11" fillId="13" borderId="20" numFmtId="0" xfId="0" applyFont="1" applyFill="1" applyBorder="1" applyAlignment="1">
      <alignment horizontal="center"/>
    </xf>
    <xf fontId="11" fillId="13" borderId="25" numFmtId="0" xfId="0" applyFont="1" applyFill="1" applyBorder="1" applyAlignment="1">
      <alignment horizontal="center"/>
    </xf>
    <xf fontId="12" fillId="5" borderId="33" numFmtId="165" xfId="0" applyNumberFormat="1" applyFont="1" applyFill="1" applyBorder="1" applyAlignment="1">
      <alignment horizontal="center"/>
    </xf>
    <xf fontId="12" fillId="5" borderId="38" numFmtId="165" xfId="0" applyNumberFormat="1" applyFont="1" applyFill="1" applyBorder="1" applyAlignment="1">
      <alignment horizontal="center"/>
    </xf>
    <xf fontId="10" fillId="5" borderId="33" numFmtId="165" xfId="0" applyNumberFormat="1" applyFont="1" applyFill="1" applyBorder="1"/>
    <xf fontId="11" fillId="13" borderId="2" numFmtId="49" xfId="0" applyNumberFormat="1" applyFont="1" applyFill="1" applyBorder="1" applyAlignment="1">
      <alignment horizontal="center"/>
    </xf>
    <xf fontId="11" fillId="13" borderId="2" numFmtId="0" xfId="0" applyFont="1" applyFill="1" applyBorder="1" applyAlignment="1">
      <alignment horizontal="center"/>
    </xf>
    <xf fontId="10" fillId="0" borderId="2" numFmtId="14" xfId="0" applyNumberFormat="1" applyFont="1" applyBorder="1"/>
    <xf fontId="10" fillId="0" borderId="14" numFmtId="0" xfId="0" applyFont="1" applyBorder="1"/>
    <xf fontId="11" fillId="18" borderId="37" numFmtId="49" xfId="0" applyNumberFormat="1" applyFont="1" applyFill="1" applyBorder="1" applyAlignment="1">
      <alignment horizontal="center"/>
    </xf>
    <xf fontId="11" fillId="17" borderId="21" numFmtId="49" xfId="0" applyNumberFormat="1" applyFont="1" applyFill="1" applyBorder="1" applyAlignment="1">
      <alignment horizontal="center"/>
    </xf>
    <xf fontId="11" fillId="0" borderId="37" numFmtId="49" xfId="0" applyNumberFormat="1" applyFont="1" applyBorder="1" applyAlignment="1">
      <alignment horizontal="center"/>
    </xf>
    <xf fontId="11" fillId="17" borderId="39" numFmtId="49" xfId="0" applyNumberFormat="1" applyFont="1" applyFill="1" applyBorder="1" applyAlignment="1">
      <alignment horizontal="center"/>
    </xf>
    <xf fontId="5" fillId="0" borderId="13" numFmtId="1" xfId="0" applyNumberFormat="1" applyFont="1" applyBorder="1" applyAlignment="1">
      <alignment horizontal="center"/>
    </xf>
    <xf fontId="11" fillId="0" borderId="40" numFmtId="49" xfId="0" applyNumberFormat="1" applyFont="1" applyBorder="1" applyAlignment="1">
      <alignment horizontal="center"/>
    </xf>
    <xf fontId="14" fillId="30" borderId="18" numFmtId="49" xfId="0" applyNumberFormat="1" applyFont="1" applyFill="1" applyBorder="1" applyAlignment="1">
      <alignment horizontal="center"/>
    </xf>
    <xf fontId="6" fillId="30" borderId="18" numFmtId="49" xfId="0" applyNumberFormat="1" applyFont="1" applyFill="1" applyBorder="1" applyAlignment="1">
      <alignment horizontal="center"/>
    </xf>
    <xf fontId="0" fillId="6" borderId="18" numFmtId="0" xfId="0" applyFill="1" applyBorder="1"/>
    <xf fontId="1" fillId="6" borderId="18" numFmtId="0" xfId="0" applyFont="1" applyFill="1" applyBorder="1" applyAlignment="1">
      <alignment horizontal="center"/>
    </xf>
    <xf fontId="5" fillId="0" borderId="0" numFmtId="1" xfId="0" applyNumberFormat="1" applyFont="1" applyAlignment="1">
      <alignment horizontal="center"/>
    </xf>
    <xf fontId="11" fillId="17" borderId="41" numFmtId="49" xfId="0" applyNumberFormat="1" applyFont="1" applyFill="1" applyBorder="1" applyAlignment="1">
      <alignment horizontal="center"/>
    </xf>
    <xf fontId="5" fillId="0" borderId="29" numFmtId="1" xfId="0" applyNumberFormat="1" applyFont="1" applyBorder="1" applyAlignment="1">
      <alignment horizontal="center"/>
    </xf>
    <xf fontId="11" fillId="0" borderId="36" numFmtId="49" xfId="0" applyNumberFormat="1" applyFont="1" applyBorder="1" applyAlignment="1">
      <alignment horizontal="center"/>
    </xf>
    <xf fontId="10" fillId="5" borderId="38" numFmtId="165" xfId="0" applyNumberFormat="1" applyFont="1" applyFill="1" applyBorder="1"/>
    <xf fontId="10" fillId="17" borderId="2" numFmtId="49" xfId="0" applyNumberFormat="1" applyFont="1" applyFill="1" applyBorder="1"/>
    <xf fontId="10" fillId="0" borderId="2" numFmtId="49" xfId="0" applyNumberFormat="1" applyFont="1" applyBorder="1"/>
    <xf fontId="9" fillId="13" borderId="20" numFmtId="0" xfId="0" applyFont="1" applyFill="1" applyBorder="1" applyAlignment="1">
      <alignment horizontal="center" vertical="center"/>
    </xf>
    <xf fontId="9" fillId="13" borderId="25" numFmtId="0" xfId="0" applyFont="1" applyFill="1" applyBorder="1" applyAlignment="1">
      <alignment horizontal="center" vertical="center"/>
    </xf>
    <xf fontId="9" fillId="13" borderId="2" numFmtId="49" xfId="0" applyNumberFormat="1" applyFont="1" applyFill="1" applyBorder="1" applyAlignment="1">
      <alignment horizontal="center" vertical="center"/>
    </xf>
    <xf fontId="9" fillId="13" borderId="2" numFmtId="0" xfId="0" applyFont="1" applyFill="1" applyBorder="1" applyAlignment="1">
      <alignment horizontal="center" vertical="center"/>
    </xf>
    <xf fontId="3" fillId="0" borderId="2" numFmtId="14" xfId="0" applyNumberFormat="1" applyFont="1" applyBorder="1" applyAlignment="1">
      <alignment horizontal="center" vertical="center"/>
    </xf>
    <xf fontId="3" fillId="0" borderId="14" numFmtId="0" xfId="0" applyFont="1" applyBorder="1" applyAlignment="1">
      <alignment horizontal="center" vertical="center"/>
    </xf>
    <xf fontId="5" fillId="0" borderId="39" numFmtId="1" xfId="0" applyNumberFormat="1" applyFont="1" applyBorder="1" applyAlignment="1">
      <alignment horizontal="center"/>
    </xf>
    <xf fontId="13" fillId="17" borderId="25" numFmtId="0" xfId="0" applyFont="1" applyFill="1" applyBorder="1"/>
    <xf fontId="5" fillId="0" borderId="25" numFmtId="0" xfId="0" applyFont="1" applyBorder="1"/>
    <xf fontId="3" fillId="6" borderId="18" numFmtId="49" xfId="0" applyNumberFormat="1" applyFont="1" applyFill="1" applyBorder="1" applyAlignment="1">
      <alignment horizontal="center" vertical="center"/>
    </xf>
    <xf fontId="5" fillId="0" borderId="41" numFmtId="1" xfId="0" applyNumberFormat="1" applyFont="1" applyBorder="1" applyAlignment="1">
      <alignment horizontal="center"/>
    </xf>
    <xf fontId="9" fillId="0" borderId="2" numFmtId="0" xfId="0" applyFont="1" applyBorder="1" applyAlignment="1">
      <alignment horizontal="center" vertical="center"/>
    </xf>
    <xf fontId="9" fillId="0" borderId="2" numFmtId="49" xfId="0" applyNumberFormat="1" applyFont="1" applyBorder="1" applyAlignment="1">
      <alignment horizontal="center" vertical="center"/>
    </xf>
    <xf fontId="3" fillId="0" borderId="2" numFmtId="49" xfId="0" applyNumberFormat="1" applyFont="1" applyBorder="1" applyAlignment="1">
      <alignment horizontal="center" vertical="center"/>
    </xf>
    <xf fontId="5" fillId="0" borderId="20" numFmtId="0" xfId="0" applyFont="1" applyBorder="1" applyAlignment="1">
      <alignment horizontal="center"/>
    </xf>
    <xf fontId="5" fillId="0" borderId="2" numFmtId="14" xfId="0" applyNumberFormat="1" applyFont="1" applyBorder="1" applyAlignment="1">
      <alignment horizontal="center"/>
    </xf>
    <xf fontId="11" fillId="24" borderId="37" numFmtId="49" xfId="0" applyNumberFormat="1" applyFont="1" applyFill="1" applyBorder="1" applyAlignment="1">
      <alignment horizontal="center"/>
    </xf>
    <xf fontId="5" fillId="5" borderId="0" numFmtId="49" xfId="0" applyNumberFormat="1" applyFont="1" applyFill="1" applyAlignment="1">
      <alignment horizontal="center"/>
    </xf>
    <xf fontId="9" fillId="24" borderId="37" numFmtId="49" xfId="0" applyNumberFormat="1" applyFont="1" applyFill="1" applyBorder="1" applyAlignment="1">
      <alignment horizontal="center" vertical="center"/>
    </xf>
    <xf fontId="11" fillId="17" borderId="2" numFmtId="49" xfId="0" applyNumberFormat="1" applyFont="1" applyFill="1" applyBorder="1" applyAlignment="1">
      <alignment horizontal="center"/>
    </xf>
    <xf fontId="5" fillId="0" borderId="2" numFmtId="49" xfId="0" applyNumberFormat="1" applyFont="1" applyBorder="1" applyAlignment="1">
      <alignment horizontal="center"/>
    </xf>
    <xf fontId="3" fillId="31" borderId="18" numFmtId="49" xfId="0" applyNumberFormat="1" applyFont="1" applyFill="1" applyBorder="1" applyAlignment="1">
      <alignment horizontal="center"/>
    </xf>
    <xf fontId="3" fillId="4" borderId="18" numFmtId="49" xfId="0" applyNumberFormat="1" applyFont="1" applyFill="1" applyBorder="1" applyAlignment="1">
      <alignment horizontal="center"/>
    </xf>
    <xf fontId="5" fillId="20" borderId="18" numFmtId="49" xfId="0" applyNumberFormat="1" applyFont="1" applyFill="1" applyBorder="1" applyAlignment="1">
      <alignment horizontal="center"/>
    </xf>
    <xf fontId="3" fillId="22" borderId="28" numFmtId="49" xfId="0" applyNumberFormat="1" applyFont="1" applyFill="1" applyBorder="1" applyAlignment="1">
      <alignment horizontal="center" vertical="center"/>
    </xf>
    <xf fontId="3" fillId="22" borderId="0" numFmtId="49" xfId="0" applyNumberFormat="1" applyFont="1" applyFill="1" applyAlignment="1">
      <alignment horizontal="center" vertical="center"/>
    </xf>
    <xf fontId="3" fillId="16" borderId="42" numFmtId="49" xfId="0" applyNumberFormat="1" applyFont="1" applyFill="1" applyBorder="1" applyAlignment="1">
      <alignment horizontal="center"/>
    </xf>
    <xf fontId="5" fillId="0" borderId="0" numFmtId="49" xfId="0" applyNumberFormat="1" applyFont="1" applyAlignment="1">
      <alignment horizontal="center"/>
    </xf>
    <xf fontId="10" fillId="5" borderId="0" numFmtId="49" xfId="0" applyNumberFormat="1" applyFont="1" applyFill="1" applyAlignment="1">
      <alignment horizontal="center"/>
    </xf>
    <xf fontId="5" fillId="6" borderId="42" numFmtId="49" xfId="0" applyNumberFormat="1" applyFont="1" applyFill="1" applyBorder="1" applyAlignment="1">
      <alignment horizontal="center"/>
    </xf>
    <xf fontId="10" fillId="6" borderId="28" numFmtId="49" xfId="0" applyNumberFormat="1" applyFont="1" applyFill="1" applyBorder="1" applyAlignment="1">
      <alignment horizontal="center"/>
    </xf>
    <xf fontId="3" fillId="6" borderId="0" numFmtId="49" xfId="0" applyNumberFormat="1" applyFont="1" applyFill="1" applyAlignment="1">
      <alignment horizontal="center" vertical="center"/>
    </xf>
    <xf fontId="10" fillId="5" borderId="28" numFmtId="49" xfId="0" applyNumberFormat="1" applyFont="1" applyFill="1" applyBorder="1" applyAlignment="1">
      <alignment horizontal="center"/>
    </xf>
    <xf fontId="11" fillId="18" borderId="43" numFmtId="49" xfId="0" applyNumberFormat="1" applyFont="1" applyFill="1" applyBorder="1" applyAlignment="1">
      <alignment horizontal="center"/>
    </xf>
    <xf fontId="10" fillId="6" borderId="0" numFmtId="49" xfId="0" applyNumberFormat="1" applyFont="1" applyFill="1" applyAlignment="1">
      <alignment horizontal="center"/>
    </xf>
    <xf fontId="5" fillId="5" borderId="42" numFmtId="49" xfId="0" applyNumberFormat="1" applyFont="1" applyFill="1" applyBorder="1" applyAlignment="1">
      <alignment horizontal="center"/>
    </xf>
    <xf fontId="3" fillId="27" borderId="0" numFmtId="49" xfId="0" applyNumberFormat="1" applyFont="1" applyFill="1" applyAlignment="1">
      <alignment horizontal="center"/>
    </xf>
    <xf fontId="11" fillId="16" borderId="40" numFmtId="49" xfId="0" applyNumberFormat="1" applyFont="1" applyFill="1" applyBorder="1" applyAlignment="1">
      <alignment horizontal="center"/>
    </xf>
    <xf fontId="11" fillId="30" borderId="18" numFmtId="49" xfId="0" applyNumberFormat="1" applyFont="1" applyFill="1" applyBorder="1" applyAlignment="1">
      <alignment horizontal="center"/>
    </xf>
    <xf fontId="3" fillId="0" borderId="0" numFmtId="49" xfId="0" applyNumberFormat="1" applyFont="1" applyAlignment="1">
      <alignment horizontal="center"/>
    </xf>
    <xf fontId="11" fillId="24" borderId="36" numFmtId="49" xfId="0" applyNumberFormat="1" applyFont="1" applyFill="1" applyBorder="1" applyAlignment="1">
      <alignment horizontal="center"/>
    </xf>
    <xf fontId="3" fillId="30" borderId="18" numFmtId="49" xfId="0" applyNumberFormat="1" applyFont="1" applyFill="1" applyBorder="1" applyAlignment="1">
      <alignment horizontal="center" vertical="center"/>
    </xf>
    <xf fontId="5" fillId="5" borderId="44" numFmtId="49" xfId="0" applyNumberFormat="1" applyFont="1" applyFill="1" applyBorder="1" applyAlignment="1">
      <alignment horizontal="center"/>
    </xf>
    <xf fontId="3" fillId="5" borderId="44" numFmtId="49" xfId="0" applyNumberFormat="1" applyFont="1" applyFill="1" applyBorder="1" applyAlignment="1">
      <alignment horizontal="center"/>
    </xf>
    <xf fontId="11" fillId="19" borderId="20" numFmtId="49" xfId="0" applyNumberFormat="1" applyFont="1" applyFill="1" applyBorder="1" applyAlignment="1">
      <alignment horizontal="center"/>
    </xf>
    <xf fontId="0" fillId="0" borderId="2" numFmtId="0" xfId="0" applyBorder="1" applyAlignment="1">
      <alignment horizontal="center"/>
    </xf>
    <xf fontId="0" fillId="0" borderId="2" numFmtId="0" xfId="0" applyBorder="1" applyAlignment="1">
      <alignment horizontal="center" vertical="center"/>
    </xf>
    <xf fontId="10" fillId="5" borderId="45" numFmtId="49" xfId="0" applyNumberFormat="1" applyFont="1" applyFill="1" applyBorder="1" applyAlignment="1">
      <alignment horizontal="center"/>
    </xf>
    <xf fontId="3" fillId="0" borderId="43" numFmtId="49" xfId="0" applyNumberFormat="1" applyFont="1" applyBorder="1" applyAlignment="1">
      <alignment horizontal="center" vertical="center"/>
    </xf>
    <xf fontId="5" fillId="30" borderId="0" numFmtId="49" xfId="0" applyNumberFormat="1" applyFont="1" applyFill="1" applyAlignment="1">
      <alignment horizontal="center"/>
    </xf>
    <xf fontId="11" fillId="0" borderId="20" numFmtId="0" xfId="0" applyFont="1" applyBorder="1" applyAlignment="1">
      <alignment horizontal="center"/>
    </xf>
    <xf fontId="11" fillId="17" borderId="25" numFmtId="49" xfId="0" applyNumberFormat="1" applyFont="1" applyFill="1" applyBorder="1" applyAlignment="1">
      <alignment horizontal="center"/>
    </xf>
    <xf fontId="5" fillId="0" borderId="20" numFmtId="1" xfId="0" applyNumberFormat="1" applyFont="1" applyBorder="1" applyAlignment="1">
      <alignment horizontal="center"/>
    </xf>
    <xf fontId="5" fillId="0" borderId="25" numFmtId="14" xfId="0" applyNumberFormat="1" applyFont="1" applyBorder="1" applyAlignment="1">
      <alignment horizontal="center"/>
    </xf>
    <xf fontId="11" fillId="0" borderId="46" numFmtId="49" xfId="0" applyNumberFormat="1" applyFont="1" applyBorder="1" applyAlignment="1">
      <alignment horizontal="center"/>
    </xf>
    <xf fontId="11" fillId="17" borderId="44" numFmtId="49" xfId="0" applyNumberFormat="1" applyFont="1" applyFill="1" applyBorder="1" applyAlignment="1">
      <alignment horizontal="center"/>
    </xf>
    <xf fontId="11" fillId="0" borderId="22" numFmtId="49" xfId="0" applyNumberFormat="1" applyFont="1" applyBorder="1" applyAlignment="1">
      <alignment horizontal="center"/>
    </xf>
    <xf fontId="0" fillId="0" borderId="44" numFmtId="0" xfId="0" applyBorder="1"/>
    <xf fontId="5" fillId="5" borderId="28" numFmtId="49" xfId="0" applyNumberFormat="1" applyFont="1" applyFill="1" applyBorder="1" applyAlignment="1">
      <alignment horizontal="center"/>
    </xf>
    <xf fontId="0" fillId="0" borderId="47" numFmtId="0" xfId="0" applyBorder="1"/>
    <xf fontId="5" fillId="6" borderId="2" numFmtId="49" xfId="0" applyNumberFormat="1" applyFont="1" applyFill="1" applyBorder="1" applyAlignment="1">
      <alignment horizontal="center"/>
    </xf>
    <xf fontId="3" fillId="6" borderId="2" numFmtId="49" xfId="0" applyNumberFormat="1" applyFont="1" applyFill="1" applyBorder="1" applyAlignment="1">
      <alignment horizontal="center"/>
    </xf>
    <xf fontId="12" fillId="5" borderId="43" numFmtId="165" xfId="0" applyNumberFormat="1" applyFont="1" applyFill="1" applyBorder="1" applyAlignment="1">
      <alignment horizontal="center"/>
    </xf>
    <xf fontId="11" fillId="0" borderId="25" numFmtId="0" xfId="0" applyFont="1" applyBorder="1" applyAlignment="1">
      <alignment horizontal="center"/>
    </xf>
    <xf fontId="9" fillId="0" borderId="48" numFmtId="0" xfId="0" applyFont="1" applyBorder="1" applyAlignment="1">
      <alignment horizontal="center" vertical="center"/>
    </xf>
    <xf fontId="5" fillId="0" borderId="13" numFmtId="0" xfId="0" applyFont="1" applyBorder="1"/>
    <xf fontId="5" fillId="5" borderId="22" numFmtId="49" xfId="0" applyNumberFormat="1" applyFont="1" applyFill="1" applyBorder="1" applyAlignment="1">
      <alignment horizontal="center"/>
    </xf>
    <xf fontId="11" fillId="19" borderId="43" numFmtId="49" xfId="0" applyNumberFormat="1" applyFont="1" applyFill="1" applyBorder="1" applyAlignment="1">
      <alignment horizontal="center"/>
    </xf>
    <xf fontId="3" fillId="0" borderId="0" numFmtId="49" xfId="0" applyNumberFormat="1" applyFont="1" applyAlignment="1">
      <alignment horizontal="center" vertical="center"/>
    </xf>
    <xf fontId="11" fillId="17" borderId="43" numFmtId="49" xfId="0" applyNumberFormat="1" applyFont="1" applyFill="1" applyBorder="1" applyAlignment="1">
      <alignment horizontal="center"/>
    </xf>
    <xf fontId="5" fillId="0" borderId="43" numFmtId="1" xfId="0" applyNumberFormat="1" applyFont="1" applyBorder="1" applyAlignment="1">
      <alignment horizontal="center"/>
    </xf>
    <xf fontId="11" fillId="0" borderId="43" numFmtId="49" xfId="0" applyNumberFormat="1" applyFont="1" applyBorder="1" applyAlignment="1">
      <alignment horizontal="center"/>
    </xf>
    <xf fontId="5" fillId="0" borderId="43" numFmtId="0" xfId="0" applyFont="1" applyBorder="1"/>
    <xf fontId="3" fillId="5" borderId="42" numFmtId="49" xfId="0" applyNumberFormat="1" applyFont="1" applyFill="1" applyBorder="1" applyAlignment="1">
      <alignment horizontal="center"/>
    </xf>
    <xf fontId="5" fillId="0" borderId="29" numFmtId="0" xfId="0" applyFont="1" applyBorder="1"/>
    <xf fontId="11" fillId="13" borderId="25" numFmtId="49" xfId="0" applyNumberFormat="1" applyFont="1" applyFill="1" applyBorder="1" applyAlignment="1">
      <alignment horizontal="center"/>
    </xf>
    <xf fontId="3" fillId="2" borderId="0" numFmtId="49" xfId="0" applyNumberFormat="1" applyFont="1" applyFill="1" applyAlignment="1">
      <alignment horizontal="center"/>
    </xf>
    <xf fontId="3" fillId="2" borderId="22" numFmtId="49" xfId="0" applyNumberFormat="1" applyFont="1" applyFill="1" applyBorder="1" applyAlignment="1">
      <alignment horizontal="center"/>
    </xf>
    <xf fontId="3" fillId="0" borderId="38" numFmtId="0" xfId="0" applyFont="1" applyBorder="1" applyAlignment="1">
      <alignment horizontal="center" vertical="center"/>
    </xf>
    <xf fontId="11" fillId="13" borderId="27" numFmtId="0" xfId="0" applyFont="1" applyFill="1" applyBorder="1" applyAlignment="1">
      <alignment horizontal="center"/>
    </xf>
    <xf fontId="3" fillId="0" borderId="18" numFmtId="0" xfId="0" applyFont="1" applyBorder="1" applyAlignment="1">
      <alignment vertical="center"/>
    </xf>
    <xf fontId="0" fillId="21" borderId="0" numFmtId="0" xfId="0" applyFill="1"/>
    <xf fontId="10" fillId="20" borderId="0" numFmtId="49" xfId="0" applyNumberFormat="1" applyFont="1" applyFill="1" applyAlignment="1">
      <alignment horizontal="center"/>
    </xf>
    <xf fontId="8" fillId="0" borderId="49" numFmtId="0" xfId="0" applyFont="1" applyBorder="1" applyAlignment="1">
      <alignment horizontal="center" vertical="center"/>
    </xf>
    <xf fontId="8" fillId="0" borderId="50" numFmtId="0" xfId="0" applyFont="1" applyBorder="1" applyAlignment="1">
      <alignment horizontal="center" vertical="center"/>
    </xf>
    <xf fontId="8" fillId="0" borderId="51" numFmtId="0" xfId="0" applyFont="1" applyBorder="1" applyAlignment="1">
      <alignment horizontal="center" vertical="center"/>
    </xf>
    <xf fontId="5" fillId="0" borderId="44" numFmtId="1" xfId="0" applyNumberFormat="1" applyFont="1" applyBorder="1" applyAlignment="1">
      <alignment horizontal="center"/>
    </xf>
    <xf fontId="11" fillId="0" borderId="28" numFmtId="49" xfId="0" applyNumberFormat="1" applyFont="1" applyBorder="1" applyAlignment="1">
      <alignment horizontal="center"/>
    </xf>
    <xf fontId="11" fillId="0" borderId="52" numFmtId="49" xfId="0" applyNumberFormat="1" applyFont="1" applyBorder="1" applyAlignment="1">
      <alignment horizontal="center"/>
    </xf>
    <xf fontId="5" fillId="0" borderId="3" numFmtId="1" xfId="0" applyNumberFormat="1" applyFont="1" applyBorder="1" applyAlignment="1">
      <alignment horizontal="center"/>
    </xf>
    <xf fontId="5" fillId="32" borderId="18" numFmtId="49" xfId="0" applyNumberFormat="1" applyFont="1" applyFill="1" applyBorder="1" applyAlignment="1">
      <alignment horizontal="center"/>
    </xf>
    <xf fontId="3" fillId="32" borderId="18" numFmtId="49" xfId="0" applyNumberFormat="1" applyFont="1" applyFill="1" applyBorder="1" applyAlignment="1">
      <alignment horizontal="center"/>
    </xf>
    <xf fontId="5" fillId="33" borderId="2" numFmtId="0" xfId="0" applyFont="1" applyFill="1" applyBorder="1" applyAlignment="1">
      <alignment horizontal="center" vertical="center"/>
    </xf>
    <xf fontId="3" fillId="0" borderId="25" numFmtId="14" xfId="0" applyNumberFormat="1" applyFont="1" applyBorder="1" applyAlignment="1">
      <alignment horizontal="center" vertical="center"/>
    </xf>
    <xf fontId="11" fillId="21" borderId="18" numFmtId="49" xfId="0" applyNumberFormat="1" applyFont="1" applyFill="1" applyBorder="1" applyAlignment="1">
      <alignment horizontal="center"/>
    </xf>
    <xf fontId="3" fillId="21" borderId="0" numFmtId="49" xfId="0" applyNumberFormat="1" applyFont="1" applyFill="1" applyAlignment="1">
      <alignment horizontal="center"/>
    </xf>
    <xf fontId="10" fillId="30" borderId="18" numFmtId="49" xfId="0" applyNumberFormat="1" applyFont="1" applyFill="1" applyBorder="1" applyAlignment="1">
      <alignment horizontal="center"/>
    </xf>
    <xf fontId="5" fillId="0" borderId="53" numFmtId="1" xfId="0" applyNumberFormat="1" applyFont="1" applyBorder="1" applyAlignment="1">
      <alignment horizontal="center"/>
    </xf>
    <xf fontId="5" fillId="20" borderId="0" numFmtId="49" xfId="0" applyNumberFormat="1" applyFont="1" applyFill="1" applyAlignment="1">
      <alignment horizontal="center"/>
    </xf>
    <xf fontId="3" fillId="20" borderId="18" numFmtId="49" xfId="0" applyNumberFormat="1" applyFont="1" applyFill="1" applyBorder="1" applyAlignment="1">
      <alignment horizontal="center" vertical="center"/>
    </xf>
    <xf fontId="3" fillId="29" borderId="18" numFmtId="49" xfId="0" applyNumberFormat="1" applyFont="1" applyFill="1" applyBorder="1" applyAlignment="1">
      <alignment horizontal="center"/>
    </xf>
    <xf fontId="3" fillId="21" borderId="0" numFmtId="49" xfId="0" applyNumberFormat="1" applyFont="1" applyFill="1" applyAlignment="1">
      <alignment horizontal="center" vertical="center"/>
    </xf>
    <xf fontId="5" fillId="34" borderId="18" numFmtId="49" xfId="0" applyNumberFormat="1" applyFont="1" applyFill="1" applyBorder="1" applyAlignment="1">
      <alignment horizontal="center"/>
    </xf>
    <xf fontId="3" fillId="34" borderId="42" numFmtId="49" xfId="0" applyNumberFormat="1" applyFont="1" applyFill="1" applyBorder="1" applyAlignment="1">
      <alignment horizontal="center"/>
    </xf>
    <xf fontId="0" fillId="4" borderId="18" numFmtId="0" xfId="0" applyFill="1" applyBorder="1"/>
    <xf fontId="10" fillId="22" borderId="0" numFmtId="49" xfId="0" applyNumberFormat="1" applyFont="1" applyFill="1" applyAlignment="1">
      <alignment horizontal="center"/>
    </xf>
    <xf fontId="10" fillId="22" borderId="22" numFmtId="49" xfId="0" applyNumberFormat="1" applyFont="1" applyFill="1" applyBorder="1" applyAlignment="1">
      <alignment horizontal="center"/>
    </xf>
    <xf fontId="3" fillId="22" borderId="0" numFmtId="49" xfId="0" applyNumberFormat="1" applyFont="1" applyFill="1" applyAlignment="1">
      <alignment horizontal="center"/>
    </xf>
    <xf fontId="3" fillId="22" borderId="18" numFmtId="49" xfId="0" applyNumberFormat="1" applyFont="1" applyFill="1" applyBorder="1" applyAlignment="1">
      <alignment horizontal="center" vertical="center"/>
    </xf>
    <xf fontId="10" fillId="22" borderId="18" numFmtId="49" xfId="0" applyNumberFormat="1" applyFont="1" applyFill="1" applyBorder="1" applyAlignment="1">
      <alignment horizontal="center"/>
    </xf>
    <xf fontId="5" fillId="22" borderId="0" numFmtId="49" xfId="0" applyNumberFormat="1" applyFont="1" applyFill="1" applyAlignment="1">
      <alignment horizontal="center"/>
    </xf>
    <xf fontId="5" fillId="22" borderId="28" numFmtId="49" xfId="0" applyNumberFormat="1" applyFont="1" applyFill="1" applyBorder="1" applyAlignment="1">
      <alignment horizontal="center"/>
    </xf>
    <xf fontId="0" fillId="21" borderId="47" numFmtId="0" xfId="0" applyFill="1" applyBorder="1"/>
    <xf fontId="5" fillId="20" borderId="2" numFmtId="49" xfId="0" applyNumberFormat="1" applyFont="1" applyFill="1" applyBorder="1" applyAlignment="1">
      <alignment horizontal="center"/>
    </xf>
    <xf fontId="3" fillId="20" borderId="2" numFmtId="49" xfId="0" applyNumberFormat="1" applyFont="1" applyFill="1" applyBorder="1" applyAlignment="1">
      <alignment horizontal="center"/>
    </xf>
    <xf fontId="3" fillId="20" borderId="0" numFmtId="49" xfId="0" applyNumberFormat="1" applyFont="1" applyFill="1" applyAlignment="1">
      <alignment horizontal="center"/>
    </xf>
    <xf fontId="3" fillId="0" borderId="48" numFmtId="0" xfId="0" applyFont="1" applyBorder="1" applyAlignment="1">
      <alignment vertical="center"/>
    </xf>
    <xf fontId="3" fillId="0" borderId="48" numFmtId="0" xfId="0" applyFont="1" applyBorder="1" applyAlignment="1">
      <alignment horizontal="center" vertical="center"/>
    </xf>
    <xf fontId="5" fillId="0" borderId="37" numFmtId="0" xfId="0" applyFont="1" applyBorder="1" applyAlignment="1">
      <alignment horizontal="center"/>
    </xf>
    <xf fontId="11" fillId="13" borderId="21" numFmtId="49" xfId="0" applyNumberFormat="1" applyFont="1" applyFill="1" applyBorder="1" applyAlignment="1">
      <alignment horizontal="center"/>
    </xf>
    <xf fontId="5" fillId="35" borderId="18" numFmtId="49" xfId="0" applyNumberFormat="1" applyFont="1" applyFill="1" applyBorder="1" applyAlignment="1">
      <alignment horizontal="center"/>
    </xf>
    <xf fontId="0" fillId="0" borderId="0" numFmtId="0" xfId="0">
      <protection hidden="0" locked="1"/>
    </xf>
    <xf fontId="0" fillId="0" borderId="54" numFmtId="0" xfId="0" applyBorder="1">
      <protection hidden="0" locked="1"/>
    </xf>
    <xf fontId="0" fillId="0" borderId="55" numFmtId="0" xfId="0" applyBorder="1">
      <protection hidden="0" locked="1"/>
    </xf>
    <xf fontId="0" fillId="0" borderId="56" numFmtId="0" xfId="0" applyBorder="1">
      <protection hidden="0" locked="1"/>
    </xf>
    <xf fontId="1" fillId="5" borderId="18" numFmtId="0" xfId="0" applyFont="1" applyFill="1" applyBorder="1" applyAlignment="1">
      <alignment horizontal="center" vertical="center"/>
    </xf>
    <xf fontId="1" fillId="0" borderId="18" numFmtId="0" xfId="0" applyFont="1" applyBorder="1"/>
    <xf fontId="1" fillId="6" borderId="18" numFmtId="0" xfId="0" applyFont="1" applyFill="1" applyBorder="1" applyAlignment="1">
      <alignment horizontal="center" vertical="center"/>
    </xf>
    <xf fontId="1" fillId="0" borderId="18" numFmtId="0" xfId="0" applyFont="1" applyBorder="1" applyAlignment="1">
      <alignment horizontal="center" vertical="center"/>
    </xf>
    <xf fontId="1" fillId="6" borderId="0" numFmtId="0" xfId="0" applyFont="1" applyFill="1" applyAlignment="1">
      <alignment horizontal="center" vertical="center"/>
    </xf>
    <xf fontId="5" fillId="0" borderId="14" numFmtId="0" xfId="0" applyFont="1" applyBorder="1"/>
    <xf fontId="11" fillId="0" borderId="57" numFmtId="0" xfId="0" applyFont="1" applyBorder="1" applyAlignment="1">
      <alignment horizontal="center"/>
    </xf>
    <xf fontId="11" fillId="17" borderId="58" numFmtId="49" xfId="0" applyNumberFormat="1" applyFont="1" applyFill="1" applyBorder="1" applyAlignment="1">
      <alignment horizontal="center"/>
    </xf>
    <xf fontId="5" fillId="0" borderId="14" numFmtId="49" xfId="0" applyNumberFormat="1" applyFont="1" applyBorder="1" applyAlignment="1">
      <alignment horizontal="center"/>
    </xf>
    <xf fontId="5" fillId="0" borderId="37" numFmtId="1" xfId="0" applyNumberFormat="1" applyFont="1" applyBorder="1" applyAlignment="1">
      <alignment horizontal="center"/>
    </xf>
    <xf fontId="9" fillId="0" borderId="47" numFmtId="0" xfId="0" applyFont="1" applyBorder="1" applyAlignment="1">
      <alignment horizontal="center" vertical="center"/>
    </xf>
    <xf fontId="9" fillId="0" borderId="59" numFmtId="0" xfId="0" applyFont="1" applyBorder="1" applyAlignment="1">
      <alignment horizontal="center" vertical="center"/>
    </xf>
    <xf fontId="9" fillId="0" borderId="45" numFmtId="0" xfId="0" applyFont="1" applyBorder="1" applyAlignment="1">
      <alignment horizontal="center" vertical="center"/>
    </xf>
    <xf fontId="3" fillId="0" borderId="21" numFmtId="0" xfId="0" applyFont="1" applyBorder="1" applyAlignment="1">
      <alignment horizontal="center" vertical="center"/>
    </xf>
    <xf fontId="3" fillId="0" borderId="25" numFmtId="1" xfId="0" applyNumberFormat="1" applyFont="1" applyBorder="1" applyAlignment="1">
      <alignment horizontal="center" vertical="center"/>
    </xf>
    <xf fontId="3" fillId="0" borderId="29" numFmtId="0" xfId="0" applyFont="1" applyBorder="1" applyAlignment="1">
      <alignment vertical="center"/>
    </xf>
    <xf fontId="9" fillId="13" borderId="47" numFmtId="0" xfId="0" applyFont="1" applyFill="1" applyBorder="1" applyAlignment="1">
      <alignment horizontal="center" vertical="center"/>
    </xf>
    <xf fontId="9" fillId="13" borderId="45" numFmtId="0" xfId="0" applyFont="1" applyFill="1" applyBorder="1" applyAlignment="1">
      <alignment horizontal="center" vertical="center"/>
    </xf>
    <xf fontId="3" fillId="0" borderId="60" numFmtId="0" xfId="0" applyFont="1" applyBorder="1" applyAlignment="1">
      <alignment horizontal="center" vertical="center"/>
    </xf>
    <xf fontId="9" fillId="13" borderId="60" numFmtId="49" xfId="0" applyNumberFormat="1" applyFont="1" applyFill="1" applyBorder="1" applyAlignment="1">
      <alignment horizontal="center" vertical="center"/>
    </xf>
    <xf fontId="9" fillId="13" borderId="60" numFmtId="0" xfId="0" applyFont="1" applyFill="1" applyBorder="1" applyAlignment="1">
      <alignment horizontal="center" vertical="center"/>
    </xf>
    <xf fontId="3" fillId="0" borderId="21" numFmtId="166" xfId="0" applyNumberFormat="1" applyFont="1" applyBorder="1" applyAlignment="1">
      <alignment horizontal="center" vertical="center"/>
    </xf>
    <xf fontId="0" fillId="0" borderId="42" numFmtId="0" xfId="0" applyBorder="1">
      <protection hidden="0" locked="1"/>
    </xf>
    <xf fontId="0" fillId="0" borderId="28" numFmtId="0" xfId="0" applyBorder="1">
      <protection hidden="0" locked="1"/>
    </xf>
    <xf fontId="6" fillId="0" borderId="2" numFmtId="0" xfId="0" applyFont="1" applyBorder="1"/>
    <xf fontId="0" fillId="0" borderId="18" numFmtId="0" xfId="0" applyBorder="1">
      <protection hidden="0" locked="1"/>
    </xf>
    <xf fontId="0" fillId="0" borderId="32" numFmtId="0" xfId="0" applyBorder="1">
      <protection hidden="0" locked="1"/>
    </xf>
    <xf fontId="0" fillId="0" borderId="61" numFmtId="0" xfId="0" applyBorder="1">
      <protection hidden="0" locked="1"/>
    </xf>
    <xf fontId="0" fillId="0" borderId="62" numFmtId="0" xfId="0" applyBorder="1">
      <protection hidden="0" locked="1"/>
    </xf>
    <xf fontId="11" fillId="19" borderId="2" numFmtId="49" xfId="0" applyNumberFormat="1" applyFont="1" applyFill="1" applyBorder="1" applyAlignment="1">
      <alignment horizontal="center"/>
    </xf>
    <xf fontId="2" fillId="2" borderId="31" numFmtId="49" xfId="0" applyNumberFormat="1" applyFont="1" applyFill="1" applyBorder="1" applyAlignment="1">
      <alignment horizontal="center" vertical="center"/>
    </xf>
    <xf fontId="3" fillId="2" borderId="31" numFmtId="0" xfId="0" applyFont="1" applyFill="1" applyBorder="1" applyAlignment="1">
      <alignment horizontal="center" vertical="center" wrapText="1"/>
    </xf>
    <xf fontId="2" fillId="2" borderId="33" numFmtId="49" xfId="0" applyNumberFormat="1" applyFont="1" applyFill="1" applyBorder="1" applyAlignment="1">
      <alignment horizontal="center" vertical="center"/>
    </xf>
    <xf fontId="3" fillId="2" borderId="33" numFmtId="0" xfId="0" applyFont="1" applyFill="1" applyBorder="1" applyAlignment="1">
      <alignment horizontal="center" vertical="center" wrapText="1"/>
    </xf>
    <xf fontId="2" fillId="2" borderId="14" numFmtId="49" xfId="0" applyNumberFormat="1" applyFont="1" applyFill="1" applyBorder="1" applyAlignment="1">
      <alignment horizontal="center" vertical="center"/>
    </xf>
    <xf fontId="3" fillId="2" borderId="14" numFmtId="0" xfId="0" applyFont="1" applyFill="1" applyBorder="1" applyAlignment="1">
      <alignment horizontal="center" vertical="center" wrapText="1"/>
    </xf>
    <xf fontId="0" fillId="0" borderId="63" numFmtId="0" xfId="0" applyBorder="1">
      <protection hidden="0" locked="1"/>
    </xf>
    <xf fontId="0" fillId="0" borderId="64" numFmtId="0" xfId="0" applyBorder="1">
      <protection hidden="0" locked="1"/>
    </xf>
    <xf fontId="9" fillId="19" borderId="57" numFmtId="49" xfId="0" applyNumberFormat="1" applyFont="1" applyFill="1" applyBorder="1" applyAlignment="1">
      <alignment horizontal="center" vertical="center"/>
    </xf>
    <xf fontId="0" fillId="0" borderId="47" numFmtId="0" xfId="0" applyBorder="1">
      <protection hidden="0" locked="1"/>
    </xf>
    <xf fontId="0" fillId="0" borderId="59" numFmtId="0" xfId="0" applyBorder="1">
      <protection hidden="0" locked="1"/>
    </xf>
    <xf fontId="9" fillId="0" borderId="22" numFmtId="49" xfId="0" applyNumberFormat="1" applyFont="1" applyBorder="1" applyAlignment="1">
      <alignment horizontal="center" vertical="center"/>
    </xf>
    <xf fontId="3" fillId="0" borderId="65" numFmtId="49" xfId="0" applyNumberFormat="1" applyFont="1" applyBorder="1" applyAlignment="1">
      <alignment horizontal="center" vertical="center"/>
    </xf>
    <xf fontId="9" fillId="0" borderId="21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/>
    </xf>
    <xf fontId="11" fillId="13" borderId="47" numFmtId="0" xfId="0" applyFont="1" applyFill="1" applyBorder="1" applyAlignment="1">
      <alignment horizontal="center"/>
    </xf>
    <xf fontId="11" fillId="13" borderId="45" numFmtId="0" xfId="0" applyFont="1" applyFill="1" applyBorder="1" applyAlignment="1">
      <alignment horizontal="center"/>
    </xf>
    <xf fontId="5" fillId="0" borderId="21" numFmtId="0" xfId="0" applyFont="1" applyBorder="1" applyAlignment="1">
      <alignment horizontal="center"/>
    </xf>
    <xf fontId="5" fillId="0" borderId="60" numFmtId="0" xfId="0" applyFont="1" applyBorder="1" applyAlignment="1">
      <alignment horizontal="center"/>
    </xf>
    <xf fontId="11" fillId="13" borderId="60" numFmtId="49" xfId="0" applyNumberFormat="1" applyFont="1" applyFill="1" applyBorder="1" applyAlignment="1">
      <alignment horizontal="center"/>
    </xf>
    <xf fontId="11" fillId="13" borderId="60" numFmtId="0" xfId="0" applyFont="1" applyFill="1" applyBorder="1" applyAlignment="1">
      <alignment horizontal="center"/>
    </xf>
    <xf fontId="5" fillId="0" borderId="21" numFmtId="166" xfId="0" applyNumberFormat="1" applyFont="1" applyBorder="1" applyAlignment="1">
      <alignment horizontal="center"/>
    </xf>
    <xf fontId="5" fillId="35" borderId="60" numFmtId="49" xfId="0" applyNumberFormat="1" applyFont="1" applyFill="1" applyBorder="1" applyAlignment="1">
      <alignment horizontal="center"/>
    </xf>
    <xf fontId="0" fillId="0" borderId="66" numFmtId="0" xfId="0" applyBorder="1">
      <protection hidden="0" locked="1"/>
    </xf>
    <xf fontId="0" fillId="0" borderId="48" numFmtId="0" xfId="0" applyBorder="1">
      <protection hidden="0" locked="1"/>
    </xf>
    <xf fontId="0" fillId="0" borderId="67" numFmtId="0" xfId="0" applyBorder="1">
      <protection hidden="0" locked="1"/>
    </xf>
    <xf fontId="11" fillId="16" borderId="2" numFmtId="49" xfId="0" applyNumberFormat="1" applyFont="1" applyFill="1" applyBorder="1" applyAlignment="1">
      <alignment horizontal="center"/>
    </xf>
    <xf fontId="5" fillId="35" borderId="43" numFmtId="49" xfId="0" applyNumberFormat="1" applyFont="1" applyFill="1" applyBorder="1" applyAlignment="1">
      <alignment horizontal="center"/>
    </xf>
    <xf fontId="0" fillId="0" borderId="65" numFmtId="0" xfId="0" applyBorder="1">
      <protection hidden="0" locked="1"/>
    </xf>
    <xf fontId="2" fillId="2" borderId="18" numFmtId="49" xfId="0" applyNumberFormat="1" applyFont="1" applyFill="1" applyBorder="1" applyAlignment="1">
      <alignment horizontal="center" vertical="center"/>
    </xf>
    <xf fontId="3" fillId="2" borderId="18" numFmtId="0" xfId="0" applyFont="1" applyFill="1" applyBorder="1" applyAlignment="1">
      <alignment horizontal="center" vertical="center" wrapText="1"/>
    </xf>
    <xf fontId="15" fillId="0" borderId="18" numFmtId="0" xfId="0" applyFont="1" applyBorder="1"/>
    <xf fontId="5" fillId="0" borderId="14" numFmtId="1" xfId="0" applyNumberFormat="1" applyFont="1" applyBorder="1" applyAlignment="1">
      <alignment horizontal="center"/>
    </xf>
    <xf fontId="11" fillId="0" borderId="21" numFmtId="0" xfId="0" applyFont="1" applyBorder="1" applyAlignment="1">
      <alignment horizontal="center"/>
    </xf>
    <xf fontId="3" fillId="0" borderId="45" numFmtId="0" xfId="0" applyFont="1" applyBorder="1" applyAlignment="1">
      <alignment horizontal="center" vertical="center"/>
    </xf>
    <xf fontId="3" fillId="0" borderId="46" numFmtId="0" xfId="0" applyFont="1" applyBorder="1" applyAlignment="1">
      <alignment horizontal="center" vertical="center"/>
    </xf>
    <xf fontId="3" fillId="0" borderId="68" numFmtId="0" xfId="0" applyFont="1" applyBorder="1" applyAlignment="1">
      <alignment horizontal="center" vertical="center"/>
    </xf>
    <xf fontId="5" fillId="35" borderId="44" numFmtId="49" xfId="0" applyNumberFormat="1" applyFont="1" applyFill="1" applyBorder="1" applyAlignment="1">
      <alignment horizontal="center"/>
    </xf>
    <xf fontId="0" fillId="0" borderId="60" numFmtId="0" xfId="0" applyBorder="1">
      <protection hidden="0" locked="1"/>
    </xf>
    <xf fontId="5" fillId="35" borderId="65" numFmtId="49" xfId="0" applyNumberFormat="1" applyFont="1" applyFill="1" applyBorder="1" applyAlignment="1">
      <alignment horizontal="center"/>
    </xf>
    <xf fontId="0" fillId="0" borderId="69" numFmtId="0" xfId="0" applyBorder="1">
      <protection hidden="0" locked="1"/>
    </xf>
    <xf fontId="0" fillId="0" borderId="70" numFmtId="0" xfId="0" applyBorder="1">
      <protection hidden="0" locked="1"/>
    </xf>
    <xf fontId="0" fillId="0" borderId="45" numFmtId="0" xfId="0" applyBorder="1">
      <protection hidden="0" locked="1"/>
    </xf>
    <xf fontId="3" fillId="0" borderId="3" numFmtId="0" xfId="0" applyFont="1" applyBorder="1" applyAlignment="1">
      <alignment vertical="center"/>
    </xf>
    <xf fontId="0" fillId="0" borderId="71" numFmtId="0" xfId="0" applyBorder="1">
      <protection hidden="0" locked="1"/>
    </xf>
    <xf fontId="6" fillId="0" borderId="20" numFmtId="0" xfId="0" applyFont="1" applyBorder="1"/>
    <xf fontId="11" fillId="13" borderId="13" numFmtId="0" xfId="0" applyFont="1" applyFill="1" applyBorder="1" applyAlignment="1">
      <alignment horizontal="center"/>
    </xf>
    <xf fontId="5" fillId="13" borderId="13" numFmtId="0" xfId="0" applyFont="1" applyFill="1" applyBorder="1" applyAlignment="1">
      <alignment horizontal="center"/>
    </xf>
    <xf fontId="11" fillId="14" borderId="13" numFmtId="0" xfId="0" applyFont="1" applyFill="1" applyBorder="1" applyAlignment="1">
      <alignment horizontal="center"/>
    </xf>
    <xf fontId="12" fillId="5" borderId="14" numFmtId="165" xfId="0" applyNumberFormat="1" applyFont="1" applyFill="1" applyBorder="1" applyAlignment="1">
      <alignment horizontal="center"/>
    </xf>
    <xf fontId="12" fillId="25" borderId="14" numFmtId="165" xfId="0" applyNumberFormat="1" applyFont="1" applyFill="1" applyBorder="1" applyAlignment="1">
      <alignment horizontal="center"/>
    </xf>
    <xf fontId="10" fillId="5" borderId="14" numFmtId="165" xfId="0" applyNumberFormat="1" applyFont="1" applyFill="1" applyBorder="1"/>
    <xf fontId="5" fillId="36" borderId="18" numFmtId="49" xfId="0" applyNumberFormat="1" applyFont="1" applyFill="1" applyBorder="1" applyAlignment="1">
      <alignment horizontal="center"/>
    </xf>
    <xf fontId="11" fillId="0" borderId="27" numFmtId="49" xfId="0" applyNumberFormat="1" applyFont="1" applyBorder="1" applyAlignment="1">
      <alignment horizontal="center"/>
    </xf>
    <xf fontId="3" fillId="0" borderId="14" numFmtId="49" xfId="0" applyNumberFormat="1" applyFont="1" applyBorder="1" applyAlignment="1">
      <alignment horizontal="center"/>
    </xf>
    <xf fontId="3" fillId="0" borderId="14" numFmtId="49" xfId="0" applyNumberFormat="1" applyFont="1" applyBorder="1" applyAlignment="1">
      <alignment horizontal="center" vertical="center"/>
    </xf>
    <xf fontId="5" fillId="0" borderId="56" numFmtId="0" xfId="0" applyFont="1" applyBorder="1" applyAlignment="1">
      <alignment horizontal="right"/>
    </xf>
    <xf fontId="10" fillId="0" borderId="18" numFmtId="49" xfId="0" applyNumberFormat="1" applyFont="1" applyBorder="1" applyAlignment="1">
      <alignment horizontal="center"/>
    </xf>
    <xf fontId="3" fillId="0" borderId="72" numFmtId="49" xfId="0" applyNumberFormat="1" applyFont="1" applyBorder="1" applyAlignment="1">
      <alignment horizontal="center" vertical="center"/>
    </xf>
    <xf fontId="3" fillId="0" borderId="73" numFmtId="49" xfId="0" applyNumberFormat="1" applyFont="1" applyBorder="1" applyAlignment="1">
      <alignment horizontal="center"/>
    </xf>
    <xf fontId="5" fillId="0" borderId="28" numFmtId="49" xfId="0" applyNumberFormat="1" applyFont="1" applyBorder="1" applyAlignment="1">
      <alignment horizontal="center"/>
    </xf>
    <xf fontId="1" fillId="0" borderId="0" numFmtId="0" xfId="0" applyFont="1" applyAlignment="1">
      <alignment horizontal="center" vertical="center"/>
    </xf>
    <xf fontId="1" fillId="5" borderId="0" numFmtId="0" xfId="0" applyFont="1" applyFill="1" applyAlignment="1">
      <alignment horizontal="center" vertical="center"/>
    </xf>
    <xf fontId="1" fillId="0" borderId="43" numFmtId="0" xfId="0" applyFont="1" applyBorder="1"/>
    <xf fontId="11" fillId="0" borderId="14" numFmtId="0" xfId="0" applyFont="1" applyBorder="1" applyAlignment="1">
      <alignment horizontal="center"/>
    </xf>
    <xf fontId="12" fillId="25" borderId="33" numFmtId="165" xfId="0" applyNumberFormat="1" applyFont="1" applyFill="1" applyBorder="1" applyAlignment="1">
      <alignment horizontal="center"/>
    </xf>
    <xf fontId="11" fillId="17" borderId="14" numFmtId="49" xfId="0" applyNumberFormat="1" applyFont="1" applyFill="1" applyBorder="1" applyAlignment="1">
      <alignment horizontal="center"/>
    </xf>
    <xf fontId="3" fillId="0" borderId="31" numFmtId="0" xfId="0" applyFont="1" applyBorder="1" applyAlignment="1">
      <alignment vertical="center"/>
    </xf>
    <xf fontId="5" fillId="35" borderId="0" numFmtId="49" xfId="0" applyNumberFormat="1" applyFont="1" applyFill="1" applyAlignment="1">
      <alignment horizontal="center"/>
    </xf>
    <xf fontId="1" fillId="0" borderId="18" numFmtId="0" xfId="0" applyFont="1" applyBorder="1">
      <protection hidden="0" locked="1"/>
    </xf>
    <xf fontId="9" fillId="0" borderId="65" numFmtId="49" xfId="0" applyNumberFormat="1" applyFont="1" applyBorder="1" applyAlignment="1">
      <alignment horizontal="center" vertical="center"/>
    </xf>
    <xf fontId="12" fillId="26" borderId="0" numFmtId="165" xfId="0" applyNumberFormat="1" applyFont="1" applyFill="1" applyAlignment="1">
      <alignment horizontal="center"/>
    </xf>
    <xf fontId="5" fillId="36" borderId="0" numFmtId="49" xfId="0" applyNumberFormat="1" applyFont="1" applyFill="1" applyAlignment="1">
      <alignment horizontal="center"/>
    </xf>
    <xf fontId="1" fillId="0" borderId="0" numFmtId="0" xfId="0" applyFont="1">
      <protection hidden="0" locked="1"/>
    </xf>
    <xf fontId="5" fillId="13" borderId="0" numFmtId="0" xfId="0" applyFont="1" applyFill="1" applyAlignment="1">
      <alignment horizontal="center"/>
    </xf>
    <xf fontId="3" fillId="2" borderId="0" numFmtId="0" xfId="0" applyFont="1" applyFill="1" applyAlignment="1">
      <alignment horizontal="center" vertical="center" wrapText="1"/>
    </xf>
    <xf fontId="5" fillId="6" borderId="28" numFmtId="49" xfId="0" applyNumberFormat="1" applyFont="1" applyFill="1" applyBorder="1" applyAlignment="1">
      <alignment horizontal="center"/>
    </xf>
    <xf fontId="5" fillId="6" borderId="43" numFmtId="49" xfId="0" applyNumberFormat="1" applyFont="1" applyFill="1" applyBorder="1" applyAlignment="1">
      <alignment horizontal="center"/>
    </xf>
    <xf fontId="1" fillId="6" borderId="43" numFmtId="0" xfId="0" applyFont="1" applyFill="1" applyBorder="1" applyAlignment="1">
      <alignment horizontal="center" vertical="center"/>
    </xf>
    <xf fontId="5" fillId="0" borderId="22" numFmtId="49" xfId="0" applyNumberFormat="1" applyFont="1" applyBorder="1" applyAlignment="1">
      <alignment horizontal="center"/>
    </xf>
    <xf fontId="12" fillId="5" borderId="0" numFmtId="165" xfId="0" applyNumberFormat="1" applyFont="1" applyFill="1" applyAlignment="1">
      <alignment horizontal="center"/>
    </xf>
    <xf fontId="1" fillId="5" borderId="18" numFmtId="0" xfId="0" applyFont="1" applyFill="1" applyBorder="1" applyAlignment="1">
      <alignment horizontal="center" vertical="center" wrapText="1"/>
    </xf>
    <xf fontId="2" fillId="0" borderId="18" numFmtId="49" xfId="0" applyNumberFormat="1" applyFont="1" applyBorder="1" applyAlignment="1">
      <alignment horizontal="center" vertical="center"/>
    </xf>
    <xf fontId="3" fillId="0" borderId="18" numFmtId="0" xfId="0" applyFont="1" applyBorder="1" applyAlignment="1">
      <alignment horizontal="center" vertical="center" wrapText="1"/>
    </xf>
    <xf fontId="1" fillId="6" borderId="18" numFmtId="0" xfId="0" applyFont="1" applyFill="1" applyBorder="1" applyAlignment="1">
      <alignment horizontal="center" vertical="center" wrapText="1"/>
    </xf>
    <xf fontId="1" fillId="5" borderId="42" numFmtId="0" xfId="0" applyFont="1" applyFill="1" applyBorder="1" applyAlignment="1">
      <alignment horizontal="center" vertical="center"/>
    </xf>
    <xf fontId="3" fillId="0" borderId="74" numFmtId="0" xfId="0" applyFont="1" applyBorder="1" applyAlignment="1">
      <alignment vertical="center"/>
    </xf>
    <xf fontId="3" fillId="0" borderId="74" numFmtId="0" xfId="0" applyFont="1" applyBorder="1" applyAlignment="1">
      <alignment horizontal="center" vertical="center"/>
    </xf>
    <xf fontId="3" fillId="0" borderId="4" numFmtId="0" xfId="0" applyFont="1" applyBorder="1" applyAlignment="1">
      <alignment vertical="center"/>
    </xf>
    <xf fontId="3" fillId="0" borderId="4" numFmtId="0" xfId="0" applyFont="1" applyBorder="1" applyAlignment="1">
      <alignment horizontal="center" vertical="center"/>
    </xf>
    <xf fontId="3" fillId="0" borderId="4" numFmtId="1" xfId="0" applyNumberFormat="1" applyFont="1" applyBorder="1" applyAlignment="1">
      <alignment horizontal="center" vertical="center"/>
    </xf>
    <xf fontId="7" fillId="3" borderId="5" numFmtId="0" xfId="0" applyFont="1" applyFill="1" applyBorder="1" applyAlignment="1">
      <alignment horizontal="center" vertical="center"/>
    </xf>
    <xf fontId="5" fillId="13" borderId="2" numFmtId="0" xfId="0" applyFont="1" applyFill="1" applyBorder="1" applyAlignment="1">
      <alignment horizontal="center"/>
    </xf>
    <xf fontId="11" fillId="14" borderId="2" numFmtId="0" xfId="0" applyFont="1" applyFill="1" applyBorder="1" applyAlignment="1">
      <alignment horizontal="center"/>
    </xf>
    <xf fontId="5" fillId="37" borderId="18" numFmtId="49" xfId="0" applyNumberFormat="1" applyFont="1" applyFill="1" applyBorder="1" applyAlignment="1">
      <alignment horizontal="center"/>
    </xf>
    <xf fontId="1" fillId="37" borderId="18" numFmtId="0" xfId="0" applyFont="1" applyFill="1" applyBorder="1" applyAlignment="1">
      <alignment horizontal="center" vertical="center"/>
    </xf>
    <xf fontId="16" fillId="37" borderId="18" numFmtId="49" xfId="0" applyNumberFormat="1" applyFont="1" applyFill="1" applyBorder="1" applyAlignment="1">
      <alignment horizontal="center"/>
    </xf>
    <xf fontId="17" fillId="37" borderId="18" numFmtId="0" xfId="0" applyFont="1" applyFill="1" applyBorder="1" applyAlignment="1">
      <alignment horizontal="center" vertical="center"/>
    </xf>
    <xf fontId="18" fillId="37" borderId="18" numFmtId="49" xfId="0" applyNumberFormat="1" applyFont="1" applyFill="1" applyBorder="1" applyAlignment="1">
      <alignment horizontal="center"/>
    </xf>
    <xf fontId="12" fillId="5" borderId="31" numFmtId="165" xfId="0" applyNumberFormat="1" applyFont="1" applyFill="1" applyBorder="1" applyAlignment="1">
      <alignment horizontal="center"/>
    </xf>
    <xf fontId="12" fillId="5" borderId="29" numFmtId="165" xfId="0" applyNumberFormat="1" applyFont="1" applyFill="1" applyBorder="1" applyAlignment="1">
      <alignment horizontal="center"/>
    </xf>
    <xf fontId="10" fillId="5" borderId="73" numFmtId="165" xfId="0" applyNumberFormat="1" applyFont="1" applyFill="1" applyBorder="1"/>
    <xf fontId="3" fillId="0" borderId="54" numFmtId="49" xfId="0" applyNumberFormat="1" applyFont="1" applyBorder="1" applyAlignment="1">
      <alignment horizontal="center"/>
    </xf>
    <xf fontId="3" fillId="0" borderId="56" numFmtId="49" xfId="0" applyNumberFormat="1" applyFont="1" applyBorder="1" applyAlignment="1">
      <alignment horizontal="center"/>
    </xf>
    <xf fontId="11" fillId="17" borderId="0" numFmtId="49" xfId="0" applyNumberFormat="1" applyFont="1" applyFill="1" applyAlignment="1">
      <alignment horizontal="center"/>
    </xf>
    <xf fontId="0" fillId="0" borderId="75" numFmtId="0" xfId="0" applyBorder="1">
      <protection hidden="0" locked="1"/>
    </xf>
    <xf fontId="0" fillId="0" borderId="76" numFmtId="0" xfId="0" applyBorder="1">
      <protection hidden="0" locked="1"/>
    </xf>
    <xf fontId="0" fillId="0" borderId="58" numFmtId="0" xfId="0" applyBorder="1">
      <protection hidden="0" locked="1"/>
    </xf>
    <xf fontId="0" fillId="0" borderId="57" numFmtId="0" xfId="0" applyBorder="1">
      <protection hidden="0" locked="1"/>
    </xf>
    <xf fontId="3" fillId="0" borderId="60" numFmtId="49" xfId="0" applyNumberFormat="1" applyFont="1" applyBorder="1" applyAlignment="1">
      <alignment horizontal="center"/>
    </xf>
    <xf fontId="3" fillId="22" borderId="77" numFmtId="49" xfId="0" applyNumberFormat="1" applyFont="1" applyFill="1" applyBorder="1" applyAlignment="1">
      <alignment horizontal="center"/>
    </xf>
    <xf fontId="3" fillId="22" borderId="35" numFmtId="49" xfId="0" applyNumberFormat="1" applyFont="1" applyFill="1" applyBorder="1" applyAlignment="1">
      <alignment horizontal="center"/>
    </xf>
    <xf fontId="5" fillId="21" borderId="14" numFmtId="49" xfId="0" applyNumberFormat="1" applyFont="1" applyFill="1" applyBorder="1" applyAlignment="1">
      <alignment horizontal="center"/>
    </xf>
    <xf fontId="3" fillId="29" borderId="35" numFmtId="49" xfId="0" applyNumberFormat="1" applyFont="1" applyFill="1" applyBorder="1" applyAlignment="1">
      <alignment horizontal="center"/>
    </xf>
    <xf fontId="5" fillId="21" borderId="35" numFmtId="49" xfId="0" applyNumberFormat="1" applyFont="1" applyFill="1" applyBorder="1" applyAlignment="1">
      <alignment horizontal="center"/>
    </xf>
    <xf fontId="3" fillId="38" borderId="35" numFmtId="49" xfId="0" applyNumberFormat="1" applyFont="1" applyFill="1" applyBorder="1" applyAlignment="1">
      <alignment horizontal="center" vertical="center"/>
    </xf>
    <xf fontId="5" fillId="38" borderId="35" numFmtId="0" xfId="0" applyFont="1" applyFill="1" applyBorder="1" applyAlignment="1">
      <alignment horizontal="right"/>
    </xf>
    <xf fontId="10" fillId="5" borderId="76" numFmtId="165" xfId="0" applyNumberFormat="1" applyFont="1" applyFill="1" applyBorder="1"/>
    <xf fontId="3" fillId="0" borderId="32" numFmtId="0" xfId="0" applyFont="1" applyBorder="1" applyAlignment="1">
      <alignment horizontal="center" vertical="center"/>
    </xf>
    <xf fontId="3" fillId="0" borderId="42" numFmtId="49" xfId="0" applyNumberFormat="1" applyFont="1" applyBorder="1" applyAlignment="1">
      <alignment horizontal="center"/>
    </xf>
    <xf fontId="3" fillId="29" borderId="14" numFmtId="49" xfId="0" applyNumberFormat="1" applyFont="1" applyFill="1" applyBorder="1" applyAlignment="1">
      <alignment horizontal="center"/>
    </xf>
    <xf fontId="3" fillId="38" borderId="14" numFmtId="49" xfId="0" applyNumberFormat="1" applyFont="1" applyFill="1" applyBorder="1" applyAlignment="1">
      <alignment horizontal="center" vertical="center"/>
    </xf>
    <xf fontId="5" fillId="38" borderId="57" numFmtId="0" xfId="0" applyFont="1" applyFill="1" applyBorder="1" applyAlignment="1">
      <alignment horizontal="right"/>
    </xf>
    <xf fontId="5" fillId="0" borderId="58" numFmtId="49" xfId="0" applyNumberFormat="1" applyFont="1" applyBorder="1" applyAlignment="1">
      <alignment horizontal="center"/>
    </xf>
    <xf fontId="5" fillId="5" borderId="47" numFmtId="49" xfId="0" applyNumberFormat="1" applyFont="1" applyFill="1" applyBorder="1" applyAlignment="1">
      <alignment horizontal="center"/>
    </xf>
    <xf fontId="3" fillId="0" borderId="31" numFmtId="49" xfId="0" applyNumberFormat="1" applyFont="1" applyBorder="1" applyAlignment="1">
      <alignment horizontal="center" vertical="center"/>
    </xf>
    <xf fontId="12" fillId="5" borderId="2" numFmtId="165" xfId="0" applyNumberFormat="1" applyFont="1" applyFill="1" applyBorder="1" applyAlignment="1">
      <alignment horizontal="center"/>
    </xf>
    <xf fontId="12" fillId="25" borderId="29" numFmtId="165" xfId="0" applyNumberFormat="1" applyFont="1" applyFill="1" applyBorder="1" applyAlignment="1">
      <alignment horizontal="center"/>
    </xf>
    <xf fontId="10" fillId="5" borderId="2" numFmtId="165" xfId="0" applyNumberFormat="1" applyFont="1" applyFill="1" applyBorder="1"/>
    <xf fontId="1" fillId="0" borderId="0" numFmtId="0" xfId="0" applyFont="1"/>
    <xf fontId="5" fillId="9" borderId="48" numFmtId="49" xfId="0" applyNumberFormat="1" applyFont="1" applyFill="1" applyBorder="1" applyAlignment="1">
      <alignment horizontal="center" vertical="center"/>
    </xf>
    <xf fontId="3" fillId="0" borderId="78" numFmtId="0" xfId="0" applyFont="1" applyBorder="1" applyAlignment="1">
      <alignment vertical="center"/>
    </xf>
    <xf fontId="3" fillId="39" borderId="79" numFmtId="0" xfId="0" applyFont="1" applyFill="1" applyBorder="1" applyAlignment="1">
      <alignment horizontal="center" vertical="center"/>
    </xf>
    <xf fontId="0" fillId="0" borderId="80" numFmtId="0" xfId="0" applyBorder="1"/>
    <xf fontId="3" fillId="4" borderId="5" numFmtId="0" xfId="0" applyFont="1" applyFill="1" applyBorder="1" applyAlignment="1">
      <alignment vertical="center"/>
    </xf>
    <xf fontId="5" fillId="0" borderId="2" numFmtId="166" xfId="0" applyNumberFormat="1" applyFont="1" applyBorder="1" applyAlignment="1">
      <alignment horizontal="center"/>
    </xf>
    <xf fontId="11" fillId="18" borderId="2" numFmtId="49" xfId="0" applyNumberFormat="1" applyFont="1" applyFill="1" applyBorder="1" applyAlignment="1">
      <alignment horizontal="center"/>
    </xf>
    <xf fontId="3" fillId="31" borderId="2" numFmtId="49" xfId="0" applyNumberFormat="1" applyFont="1" applyFill="1" applyBorder="1" applyAlignment="1">
      <alignment horizontal="center"/>
    </xf>
    <xf fontId="3" fillId="16" borderId="2" numFmtId="49" xfId="0" applyNumberFormat="1" applyFont="1" applyFill="1" applyBorder="1" applyAlignment="1">
      <alignment horizontal="center"/>
    </xf>
    <xf fontId="3" fillId="0" borderId="2" numFmtId="49" xfId="0" applyNumberFormat="1" applyFont="1" applyBorder="1" applyAlignment="1">
      <alignment horizontal="center"/>
    </xf>
    <xf fontId="3" fillId="31" borderId="13" numFmtId="49" xfId="0" applyNumberFormat="1" applyFont="1" applyFill="1" applyBorder="1" applyAlignment="1">
      <alignment horizontal="center"/>
    </xf>
    <xf fontId="3" fillId="16" borderId="13" numFmtId="49" xfId="0" applyNumberFormat="1" applyFont="1" applyFill="1" applyBorder="1" applyAlignment="1">
      <alignment horizontal="center"/>
    </xf>
    <xf fontId="3" fillId="0" borderId="13" numFmtId="49" xfId="0" applyNumberFormat="1" applyFont="1" applyBorder="1" applyAlignment="1">
      <alignment horizontal="center"/>
    </xf>
    <xf fontId="5" fillId="6" borderId="44" numFmtId="49" xfId="0" applyNumberFormat="1" applyFont="1" applyFill="1" applyBorder="1" applyAlignment="1">
      <alignment horizontal="center"/>
    </xf>
    <xf fontId="3" fillId="40" borderId="81" numFmtId="49" xfId="0" applyNumberFormat="1" applyFont="1" applyFill="1" applyBorder="1" applyAlignment="1">
      <alignment horizontal="center"/>
    </xf>
    <xf fontId="5" fillId="0" borderId="41" numFmtId="49" xfId="0" applyNumberFormat="1" applyFont="1" applyBorder="1" applyAlignment="1">
      <alignment horizontal="center"/>
    </xf>
    <xf fontId="3" fillId="41" borderId="14" numFmtId="49" xfId="0" applyNumberFormat="1" applyFont="1" applyFill="1" applyBorder="1" applyAlignment="1">
      <alignment horizontal="center" vertical="center"/>
    </xf>
    <xf fontId="5" fillId="41" borderId="82" numFmtId="0" xfId="0" applyFont="1" applyFill="1" applyBorder="1" applyAlignment="1">
      <alignment horizontal="right"/>
    </xf>
    <xf fontId="0" fillId="0" borderId="43" numFmtId="0" xfId="0" applyBorder="1"/>
    <xf fontId="3" fillId="6" borderId="81" numFmtId="49" xfId="0" applyNumberFormat="1" applyFont="1" applyFill="1" applyBorder="1" applyAlignment="1">
      <alignment horizontal="center"/>
    </xf>
    <xf fontId="5" fillId="6" borderId="81" numFmtId="49" xfId="0" applyNumberFormat="1" applyFont="1" applyFill="1" applyBorder="1" applyAlignment="1">
      <alignment horizontal="center"/>
    </xf>
    <xf fontId="10" fillId="6" borderId="43" numFmtId="49" xfId="0" applyNumberFormat="1" applyFont="1" applyFill="1" applyBorder="1" applyAlignment="1">
      <alignment horizontal="center"/>
    </xf>
    <xf fontId="1" fillId="5" borderId="65" numFmtId="0" xfId="0" applyFont="1" applyFill="1" applyBorder="1" applyAlignment="1">
      <alignment horizontal="center" vertical="center"/>
    </xf>
    <xf fontId="1" fillId="42" borderId="68" numFmtId="0" xfId="0" applyFont="1" applyFill="1" applyBorder="1" applyAlignment="1">
      <alignment horizontal="center" vertical="center"/>
    </xf>
    <xf fontId="1" fillId="5" borderId="60" numFmtId="0" xfId="0" applyFont="1" applyFill="1" applyBorder="1" applyAlignment="1">
      <alignment horizontal="center" vertical="center"/>
    </xf>
    <xf fontId="1" fillId="5" borderId="21" numFmtId="0" xfId="0" applyFont="1" applyFill="1" applyBorder="1" applyAlignment="1">
      <alignment horizontal="center" vertical="center"/>
    </xf>
    <xf fontId="1" fillId="0" borderId="31" numFmtId="49" xfId="0" applyNumberFormat="1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0" fillId="0" borderId="33" numFmtId="49" xfId="0" applyNumberFormat="1" applyBorder="1" applyAlignment="1">
      <alignment horizontal="center" vertical="center"/>
    </xf>
    <xf fontId="0" fillId="0" borderId="33" numFmtId="0" xfId="0" applyBorder="1" applyAlignment="1">
      <alignment horizontal="center" vertical="center"/>
    </xf>
    <xf fontId="1" fillId="0" borderId="18" numFmtId="49" xfId="0" applyNumberFormat="1" applyFont="1" applyBorder="1" applyAlignment="1">
      <alignment horizontal="center" vertical="center"/>
    </xf>
    <xf fontId="1" fillId="0" borderId="65" numFmtId="0" xfId="0" applyFont="1" applyBorder="1" applyAlignment="1">
      <alignment horizontal="center" vertical="center"/>
    </xf>
    <xf fontId="1" fillId="6" borderId="60" numFmtId="0" xfId="0" applyFont="1" applyFill="1" applyBorder="1" applyAlignment="1">
      <alignment horizontal="center" vertical="center"/>
    </xf>
    <xf fontId="1" fillId="6" borderId="58" numFmtId="0" xfId="0" applyFont="1" applyFill="1" applyBorder="1" applyAlignment="1">
      <alignment horizontal="center" vertical="center"/>
    </xf>
    <xf fontId="1" fillId="0" borderId="14" numFmtId="49" xfId="0" applyNumberFormat="1" applyFont="1" applyBorder="1" applyAlignment="1">
      <alignment horizontal="center" vertical="center"/>
    </xf>
    <xf fontId="1" fillId="0" borderId="37" numFmtId="0" xfId="0" applyFont="1" applyBorder="1" applyAlignment="1">
      <alignment horizontal="center" vertical="center"/>
    </xf>
    <xf fontId="1" fillId="5" borderId="68" numFmtId="0" xfId="0" applyFont="1" applyFill="1" applyBorder="1" applyAlignment="1">
      <alignment horizontal="center" vertical="center"/>
    </xf>
    <xf fontId="1" fillId="0" borderId="58" numFmtId="49" xfId="0" applyNumberFormat="1" applyFont="1" applyBorder="1" applyAlignment="1">
      <alignment horizontal="center" vertical="center"/>
    </xf>
    <xf fontId="1" fillId="0" borderId="75" numFmtId="49" xfId="0" applyNumberFormat="1" applyFont="1" applyBorder="1" applyAlignment="1">
      <alignment horizontal="center" vertical="center"/>
    </xf>
    <xf fontId="1" fillId="0" borderId="73" numFmtId="0" xfId="0" applyFont="1" applyBorder="1" applyAlignment="1">
      <alignment horizontal="center" vertical="center"/>
    </xf>
    <xf fontId="1" fillId="0" borderId="68" numFmtId="0" xfId="0" applyFont="1" applyBorder="1" applyAlignment="1">
      <alignment horizontal="center" vertical="center"/>
    </xf>
    <xf fontId="1" fillId="6" borderId="68" numFmtId="0" xfId="0" applyFont="1" applyFill="1" applyBorder="1" applyAlignment="1">
      <alignment horizontal="center" vertical="center"/>
    </xf>
    <xf fontId="1" fillId="6" borderId="21" numFmtId="0" xfId="0" applyFont="1" applyFill="1" applyBorder="1" applyAlignment="1">
      <alignment horizontal="center" vertical="center"/>
    </xf>
    <xf fontId="0" fillId="0" borderId="14" numFmtId="0" xfId="0" applyBorder="1" applyAlignment="1">
      <alignment horizontal="center" vertical="center"/>
    </xf>
    <xf fontId="9" fillId="19" borderId="2" numFmtId="49" xfId="0" applyNumberFormat="1" applyFont="1" applyFill="1" applyBorder="1" applyAlignment="1">
      <alignment horizontal="center" vertical="center"/>
    </xf>
    <xf fontId="19" fillId="0" borderId="0" numFmtId="0" xfId="0" applyFont="1"/>
    <xf fontId="9" fillId="14" borderId="2" numFmtId="0" xfId="0" applyFont="1" applyFill="1" applyBorder="1" applyAlignment="1">
      <alignment horizontal="center" vertical="center"/>
    </xf>
    <xf fontId="3" fillId="0" borderId="2" numFmtId="166" xfId="0" applyNumberFormat="1" applyFont="1" applyBorder="1" applyAlignment="1">
      <alignment horizontal="center" vertical="center"/>
    </xf>
    <xf fontId="3" fillId="16" borderId="44" numFmtId="49" xfId="0" applyNumberFormat="1" applyFont="1" applyFill="1" applyBorder="1" applyAlignment="1">
      <alignment horizontal="center"/>
    </xf>
    <xf fontId="3" fillId="0" borderId="44" numFmtId="49" xfId="0" applyNumberFormat="1" applyFont="1" applyBorder="1" applyAlignment="1">
      <alignment horizontal="center"/>
    </xf>
    <xf fontId="3" fillId="16" borderId="43" numFmtId="49" xfId="0" applyNumberFormat="1" applyFont="1" applyFill="1" applyBorder="1" applyAlignment="1">
      <alignment horizontal="center"/>
    </xf>
    <xf fontId="3" fillId="0" borderId="43" numFmtId="49" xfId="0" applyNumberFormat="1" applyFont="1" applyBorder="1" applyAlignment="1">
      <alignment horizontal="center"/>
    </xf>
    <xf fontId="1" fillId="0" borderId="60" numFmtId="0" xfId="0" applyFont="1" applyBorder="1" applyAlignment="1">
      <alignment horizontal="center" vertical="center"/>
    </xf>
    <xf fontId="1" fillId="6" borderId="65" numFmtId="0" xfId="0" applyFont="1" applyFill="1" applyBorder="1" applyAlignment="1">
      <alignment horizontal="center" vertical="center"/>
    </xf>
    <xf fontId="3" fillId="0" borderId="65" numFmtId="49" xfId="0" applyNumberFormat="1" applyFont="1" applyBorder="1" applyAlignment="1">
      <alignment horizontal="center"/>
    </xf>
    <xf fontId="0" fillId="0" borderId="65" numFmtId="0" xfId="0" applyBorder="1"/>
    <xf fontId="10" fillId="5" borderId="44" numFmtId="49" xfId="0" applyNumberFormat="1" applyFont="1" applyFill="1" applyBorder="1" applyAlignment="1">
      <alignment horizontal="center"/>
    </xf>
    <xf fontId="3" fillId="0" borderId="29" numFmtId="0" xfId="0" applyFont="1" applyBorder="1" applyAlignment="1">
      <alignment horizontal="center" vertical="center"/>
    </xf>
    <xf fontId="3" fillId="0" borderId="29" numFmtId="1" xfId="0" applyNumberFormat="1" applyFont="1" applyBorder="1" applyAlignment="1">
      <alignment horizontal="center" vertical="center"/>
    </xf>
    <xf fontId="5" fillId="16" borderId="18" numFmtId="49" xfId="0" applyNumberFormat="1" applyFont="1" applyFill="1" applyBorder="1" applyAlignment="1">
      <alignment horizontal="center"/>
    </xf>
    <xf fontId="5" fillId="16" borderId="44" numFmtId="49" xfId="0" applyNumberFormat="1" applyFont="1" applyFill="1" applyBorder="1" applyAlignment="1">
      <alignment horizontal="center"/>
    </xf>
    <xf fontId="5" fillId="43" borderId="44" numFmtId="49" xfId="0" applyNumberFormat="1" applyFont="1" applyFill="1" applyBorder="1" applyAlignment="1">
      <alignment horizontal="center"/>
    </xf>
    <xf fontId="5" fillId="16" borderId="43" numFmtId="49" xfId="0" applyNumberFormat="1" applyFont="1" applyFill="1" applyBorder="1" applyAlignment="1">
      <alignment horizontal="center"/>
    </xf>
    <xf fontId="5" fillId="43" borderId="43" numFmtId="49" xfId="0" applyNumberFormat="1" applyFont="1" applyFill="1" applyBorder="1" applyAlignment="1">
      <alignment horizontal="center"/>
    </xf>
    <xf fontId="5" fillId="43" borderId="18" numFmtId="49" xfId="0" applyNumberFormat="1" applyFont="1" applyFill="1" applyBorder="1" applyAlignment="1">
      <alignment horizontal="center"/>
    </xf>
    <xf fontId="5" fillId="16" borderId="0" numFmtId="49" xfId="0" applyNumberFormat="1" applyFont="1" applyFill="1" applyAlignment="1">
      <alignment horizontal="center"/>
    </xf>
    <xf fontId="5" fillId="2" borderId="60" numFmtId="49" xfId="0" applyNumberFormat="1" applyFont="1" applyFill="1" applyBorder="1" applyAlignment="1">
      <alignment horizontal="center"/>
    </xf>
    <xf fontId="3" fillId="2" borderId="60" numFmtId="49" xfId="0" applyNumberFormat="1" applyFont="1" applyFill="1" applyBorder="1" applyAlignment="1">
      <alignment horizontal="center"/>
    </xf>
    <xf fontId="5" fillId="0" borderId="4" numFmtId="0" xfId="0" applyFont="1" applyBorder="1"/>
    <xf fontId="5" fillId="5" borderId="57" numFmtId="49" xfId="0" applyNumberFormat="1" applyFont="1" applyFill="1" applyBorder="1" applyAlignment="1">
      <alignment horizontal="center"/>
    </xf>
    <xf fontId="5" fillId="0" borderId="57" numFmtId="49" xfId="0" applyNumberFormat="1" applyFont="1" applyBorder="1" applyAlignment="1">
      <alignment horizontal="center"/>
    </xf>
    <xf fontId="5" fillId="6" borderId="60" numFmtId="49" xfId="0" applyNumberFormat="1" applyFont="1" applyFill="1" applyBorder="1" applyAlignment="1">
      <alignment horizontal="center"/>
    </xf>
    <xf fontId="5" fillId="0" borderId="40" numFmtId="49" xfId="0" applyNumberFormat="1" applyFont="1" applyBorder="1" applyAlignment="1">
      <alignment horizontal="center"/>
    </xf>
    <xf fontId="5" fillId="5" borderId="65" numFmtId="49" xfId="0" applyNumberFormat="1" applyFont="1" applyFill="1" applyBorder="1" applyAlignment="1">
      <alignment horizontal="center"/>
    </xf>
    <xf fontId="5" fillId="16" borderId="60" numFmtId="49" xfId="0" applyNumberFormat="1" applyFont="1" applyFill="1" applyBorder="1" applyAlignment="1">
      <alignment horizontal="center"/>
    </xf>
    <xf fontId="3" fillId="0" borderId="58" numFmtId="49" xfId="0" applyNumberFormat="1" applyFont="1" applyBorder="1" applyAlignment="1">
      <alignment horizontal="center" vertical="center"/>
    </xf>
    <xf fontId="5" fillId="0" borderId="57" numFmtId="0" xfId="0" applyFont="1" applyBorder="1" applyAlignment="1">
      <alignment horizontal="right"/>
    </xf>
    <xf fontId="5" fillId="0" borderId="75" numFmtId="49" xfId="0" applyNumberFormat="1" applyFont="1" applyBorder="1" applyAlignment="1">
      <alignment horizontal="center"/>
    </xf>
    <xf fontId="5" fillId="0" borderId="60" numFmtId="49" xfId="0" applyNumberFormat="1" applyFont="1" applyBorder="1" applyAlignment="1">
      <alignment horizontal="center"/>
    </xf>
    <xf fontId="0" fillId="0" borderId="60" numFmtId="0" xfId="0" applyBorder="1"/>
    <xf fontId="3" fillId="16" borderId="60" numFmtId="49" xfId="0" applyNumberFormat="1" applyFont="1" applyFill="1" applyBorder="1" applyAlignment="1">
      <alignment horizontal="center"/>
    </xf>
    <xf fontId="5" fillId="0" borderId="37" numFmtId="49" xfId="0" applyNumberFormat="1" applyFont="1" applyBorder="1" applyAlignment="1">
      <alignment horizontal="center"/>
    </xf>
    <xf fontId="1" fillId="0" borderId="75" numFmtId="0" xfId="0" applyFont="1" applyBorder="1" applyAlignment="1">
      <alignment horizontal="center" vertical="center"/>
    </xf>
    <xf fontId="5" fillId="5" borderId="37" numFmtId="49" xfId="0" applyNumberFormat="1" applyFont="1" applyFill="1" applyBorder="1" applyAlignment="1">
      <alignment horizontal="center"/>
    </xf>
    <xf fontId="3" fillId="44" borderId="58" numFmtId="49" xfId="0" applyNumberFormat="1" applyFont="1" applyFill="1" applyBorder="1" applyAlignment="1">
      <alignment horizontal="center" vertical="center"/>
    </xf>
    <xf fontId="5" fillId="44" borderId="14" numFmtId="0" xfId="0" applyFont="1" applyFill="1" applyBorder="1" applyAlignment="1">
      <alignment horizontal="center"/>
    </xf>
    <xf fontId="3" fillId="5" borderId="14" numFmtId="49" xfId="0" applyNumberFormat="1" applyFont="1" applyFill="1" applyBorder="1" applyAlignment="1">
      <alignment horizontal="center"/>
    </xf>
    <xf fontId="5" fillId="32" borderId="14" numFmtId="49" xfId="0" applyNumberFormat="1" applyFont="1" applyFill="1" applyBorder="1" applyAlignment="1">
      <alignment horizontal="center"/>
    </xf>
    <xf fontId="3" fillId="45" borderId="18" numFmtId="49" xfId="0" applyNumberFormat="1" applyFont="1" applyFill="1" applyBorder="1" applyAlignment="1">
      <alignment horizontal="center"/>
    </xf>
    <xf fontId="0" fillId="45" borderId="18" numFmtId="0" xfId="0" applyFill="1" applyBorder="1"/>
    <xf fontId="3" fillId="32" borderId="18" numFmtId="49" xfId="0" applyNumberFormat="1" applyFont="1" applyFill="1" applyBorder="1" applyAlignment="1">
      <alignment horizontal="center" vertical="center"/>
    </xf>
    <xf fontId="5" fillId="45" borderId="18" numFmtId="49" xfId="0" applyNumberFormat="1" applyFont="1" applyFill="1" applyBorder="1" applyAlignment="1">
      <alignment horizontal="center"/>
    </xf>
    <xf fontId="12" fillId="5" borderId="13" numFmtId="165" xfId="0" applyNumberFormat="1" applyFont="1" applyFill="1" applyBorder="1" applyAlignment="1">
      <alignment horizontal="center"/>
    </xf>
    <xf fontId="10" fillId="5" borderId="83" numFmtId="165" xfId="0" applyNumberFormat="1" applyFont="1" applyFill="1" applyBorder="1"/>
    <xf fontId="11" fillId="0" borderId="13" numFmtId="0" xfId="0" applyFont="1" applyBorder="1" applyAlignment="1">
      <alignment horizontal="center"/>
    </xf>
    <xf fontId="5" fillId="0" borderId="38" numFmtId="0" xfId="0" applyFont="1" applyBorder="1" applyAlignment="1">
      <alignment horizontal="center"/>
    </xf>
    <xf fontId="5" fillId="15" borderId="13" numFmtId="49" xfId="0" applyNumberFormat="1" applyFont="1" applyFill="1" applyBorder="1" applyAlignment="1">
      <alignment horizontal="center"/>
    </xf>
    <xf fontId="3" fillId="34" borderId="2" numFmtId="49" xfId="0" applyNumberFormat="1" applyFont="1" applyFill="1" applyBorder="1" applyAlignment="1">
      <alignment horizontal="center"/>
    </xf>
    <xf fontId="3" fillId="6" borderId="20" numFmtId="49" xfId="0" applyNumberFormat="1" applyFont="1" applyFill="1" applyBorder="1" applyAlignment="1">
      <alignment horizontal="center"/>
    </xf>
    <xf fontId="3" fillId="6" borderId="25" numFmtId="49" xfId="0" applyNumberFormat="1" applyFont="1" applyFill="1" applyBorder="1" applyAlignment="1">
      <alignment horizontal="center"/>
    </xf>
    <xf fontId="5" fillId="46" borderId="2" numFmtId="49" xfId="0" applyNumberFormat="1" applyFont="1" applyFill="1" applyBorder="1" applyAlignment="1">
      <alignment horizontal="center"/>
    </xf>
    <xf fontId="0" fillId="45" borderId="2" numFmtId="0" xfId="0" applyFill="1" applyBorder="1"/>
    <xf fontId="3" fillId="30" borderId="2" numFmtId="49" xfId="0" applyNumberFormat="1" applyFont="1" applyFill="1" applyBorder="1" applyAlignment="1">
      <alignment horizontal="center"/>
    </xf>
    <xf fontId="3" fillId="5" borderId="20" numFmtId="49" xfId="0" applyNumberFormat="1" applyFont="1" applyFill="1" applyBorder="1" applyAlignment="1">
      <alignment horizontal="center" vertical="center"/>
    </xf>
    <xf fontId="5" fillId="5" borderId="25" numFmtId="0" xfId="0" applyFont="1" applyFill="1" applyBorder="1" applyAlignment="1">
      <alignment horizontal="center"/>
    </xf>
    <xf fontId="3" fillId="47" borderId="2" numFmtId="49" xfId="0" applyNumberFormat="1" applyFont="1" applyFill="1" applyBorder="1" applyAlignment="1">
      <alignment horizontal="center"/>
    </xf>
    <xf fontId="3" fillId="0" borderId="24" numFmtId="49" xfId="0" applyNumberFormat="1" applyFont="1" applyBorder="1" applyAlignment="1">
      <alignment horizontal="center"/>
    </xf>
    <xf fontId="3" fillId="46" borderId="2" numFmtId="49" xfId="0" applyNumberFormat="1" applyFont="1" applyFill="1" applyBorder="1" applyAlignment="1">
      <alignment horizontal="center"/>
    </xf>
    <xf fontId="3" fillId="0" borderId="20" numFmtId="49" xfId="0" applyNumberFormat="1" applyFont="1" applyBorder="1" applyAlignment="1">
      <alignment horizontal="center"/>
    </xf>
    <xf fontId="3" fillId="40" borderId="2" numFmtId="49" xfId="0" applyNumberFormat="1" applyFont="1" applyFill="1" applyBorder="1" applyAlignment="1">
      <alignment horizontal="center"/>
    </xf>
    <xf fontId="3" fillId="0" borderId="24" numFmtId="49" xfId="0" applyNumberFormat="1" applyFont="1" applyBorder="1" applyAlignment="1">
      <alignment horizontal="center" vertical="center"/>
    </xf>
    <xf fontId="5" fillId="45" borderId="2" numFmtId="49" xfId="0" applyNumberFormat="1" applyFont="1" applyFill="1" applyBorder="1" applyAlignment="1">
      <alignment horizontal="center"/>
    </xf>
    <xf fontId="0" fillId="45" borderId="0" numFmtId="0" xfId="0" applyFill="1"/>
    <xf fontId="5" fillId="34" borderId="2" numFmtId="49" xfId="0" applyNumberFormat="1" applyFont="1" applyFill="1" applyBorder="1" applyAlignment="1">
      <alignment horizontal="center"/>
    </xf>
    <xf fontId="3" fillId="0" borderId="20" numFmtId="49" xfId="0" applyNumberFormat="1" applyFont="1" applyBorder="1" applyAlignment="1">
      <alignment horizontal="center" vertical="center"/>
    </xf>
    <xf fontId="5" fillId="32" borderId="2" numFmtId="49" xfId="0" applyNumberFormat="1" applyFont="1" applyFill="1" applyBorder="1" applyAlignment="1">
      <alignment horizontal="center"/>
    </xf>
    <xf fontId="3" fillId="41" borderId="2" numFmtId="49" xfId="0" applyNumberFormat="1" applyFont="1" applyFill="1" applyBorder="1" applyAlignment="1">
      <alignment horizontal="center" vertical="center"/>
    </xf>
    <xf fontId="5" fillId="41" borderId="2" numFmtId="0" xfId="0" applyFont="1" applyFill="1" applyBorder="1" applyAlignment="1">
      <alignment horizontal="right"/>
    </xf>
    <xf fontId="3" fillId="5" borderId="2" numFmtId="49" xfId="0" applyNumberFormat="1" applyFont="1" applyFill="1" applyBorder="1" applyAlignment="1">
      <alignment horizontal="center"/>
    </xf>
    <xf fontId="3" fillId="9" borderId="2" numFmtId="49" xfId="0" applyNumberFormat="1" applyFont="1" applyFill="1" applyBorder="1" applyAlignment="1">
      <alignment horizontal="center"/>
    </xf>
    <xf fontId="3" fillId="40" borderId="27" numFmtId="49" xfId="0" applyNumberFormat="1" applyFont="1" applyFill="1" applyBorder="1" applyAlignment="1">
      <alignment horizontal="center"/>
    </xf>
    <xf fontId="5" fillId="32" borderId="25" numFmtId="49" xfId="0" applyNumberFormat="1" applyFont="1" applyFill="1" applyBorder="1" applyAlignment="1">
      <alignment horizontal="center"/>
    </xf>
    <xf fontId="3" fillId="41" borderId="13" numFmtId="49" xfId="0" applyNumberFormat="1" applyFont="1" applyFill="1" applyBorder="1" applyAlignment="1">
      <alignment horizontal="center" vertical="center"/>
    </xf>
    <xf fontId="3" fillId="34" borderId="13" numFmtId="49" xfId="0" applyNumberFormat="1" applyFont="1" applyFill="1" applyBorder="1" applyAlignment="1">
      <alignment horizontal="center"/>
    </xf>
    <xf fontId="3" fillId="34" borderId="20" numFmtId="49" xfId="0" applyNumberFormat="1" applyFont="1" applyFill="1" applyBorder="1" applyAlignment="1">
      <alignment horizontal="center"/>
    </xf>
    <xf fontId="3" fillId="5" borderId="27" numFmtId="49" xfId="0" applyNumberFormat="1" applyFont="1" applyFill="1" applyBorder="1" applyAlignment="1">
      <alignment horizontal="center"/>
    </xf>
    <xf fontId="5" fillId="32" borderId="27" numFmtId="49" xfId="0" applyNumberFormat="1" applyFont="1" applyFill="1" applyBorder="1" applyAlignment="1">
      <alignment horizontal="center"/>
    </xf>
    <xf fontId="1" fillId="0" borderId="29" numFmtId="49" xfId="0" applyNumberFormat="1" applyFont="1" applyBorder="1" applyAlignment="1">
      <alignment horizontal="center" vertical="center"/>
    </xf>
    <xf fontId="1" fillId="0" borderId="20" numFmtId="0" xfId="0" applyFont="1" applyBorder="1" applyAlignment="1">
      <alignment horizontal="center" vertical="center"/>
    </xf>
    <xf fontId="1" fillId="6" borderId="27" numFmtId="0" xfId="0" applyFont="1" applyFill="1" applyBorder="1" applyAlignment="1">
      <alignment horizontal="center" vertical="center"/>
    </xf>
    <xf fontId="1" fillId="6" borderId="25" numFmtId="0" xfId="0" applyFont="1" applyFill="1" applyBorder="1" applyAlignment="1">
      <alignment horizontal="center" vertical="center"/>
    </xf>
    <xf fontId="1" fillId="0" borderId="2" numFmtId="49" xfId="0" applyNumberFormat="1" applyFont="1" applyBorder="1" applyAlignment="1">
      <alignment horizontal="center" vertical="center"/>
    </xf>
    <xf fontId="1" fillId="0" borderId="13" numFmtId="49" xfId="0" applyNumberFormat="1" applyFont="1" applyBorder="1" applyAlignment="1">
      <alignment horizontal="center" vertical="center"/>
    </xf>
    <xf fontId="1" fillId="5" borderId="27" numFmtId="0" xfId="0" applyFont="1" applyFill="1" applyBorder="1" applyAlignment="1">
      <alignment horizontal="center" vertical="center"/>
    </xf>
    <xf fontId="1" fillId="5" borderId="16" numFmtId="0" xfId="0" applyFont="1" applyFill="1" applyBorder="1" applyAlignment="1">
      <alignment horizontal="center" vertical="center"/>
    </xf>
    <xf fontId="1" fillId="0" borderId="16" numFmtId="49" xfId="0" applyNumberFormat="1" applyFont="1" applyBorder="1" applyAlignment="1">
      <alignment horizontal="center" vertical="center"/>
    </xf>
    <xf fontId="1" fillId="5" borderId="29" numFmtId="49" xfId="0" applyNumberFormat="1" applyFont="1" applyFill="1" applyBorder="1" applyAlignment="1">
      <alignment horizontal="center" vertical="center"/>
    </xf>
    <xf fontId="1" fillId="5" borderId="2" numFmtId="0" xfId="0" applyFont="1" applyFill="1" applyBorder="1" applyAlignment="1">
      <alignment horizontal="center" vertical="center"/>
    </xf>
    <xf fontId="1" fillId="0" borderId="30" numFmtId="49" xfId="0" applyNumberFormat="1" applyFont="1" applyBorder="1" applyAlignment="1">
      <alignment horizontal="center" vertical="center"/>
    </xf>
    <xf fontId="1" fillId="48" borderId="27" numFmtId="0" xfId="0" applyFont="1" applyFill="1" applyBorder="1" applyAlignment="1">
      <alignment horizontal="center" vertical="center"/>
    </xf>
    <xf fontId="1" fillId="48" borderId="25" numFmtId="0" xfId="0" applyFont="1" applyFill="1" applyBorder="1" applyAlignment="1">
      <alignment horizontal="center" vertical="center"/>
    </xf>
    <xf fontId="1" fillId="6" borderId="4" numFmtId="0" xfId="0" applyFont="1" applyFill="1" applyBorder="1" applyAlignment="1">
      <alignment horizontal="center" vertical="center"/>
    </xf>
    <xf fontId="1" fillId="6" borderId="1" numFmtId="0" xfId="0" applyFont="1" applyFill="1" applyBorder="1" applyAlignment="1">
      <alignment horizontal="center" vertical="center"/>
    </xf>
    <xf fontId="1" fillId="0" borderId="24" numFmtId="49" xfId="0" applyNumberFormat="1" applyFont="1" applyBorder="1" applyAlignment="1">
      <alignment horizontal="center" vertical="center"/>
    </xf>
    <xf fontId="1" fillId="45" borderId="27" numFmtId="0" xfId="0" applyFont="1" applyFill="1" applyBorder="1" applyAlignment="1">
      <alignment horizontal="center" vertical="center"/>
    </xf>
    <xf fontId="1" fillId="47" borderId="16" numFmtId="0" xfId="0" applyFont="1" applyFill="1" applyBorder="1" applyAlignment="1">
      <alignment horizontal="center" vertical="center"/>
    </xf>
    <xf fontId="1" fillId="0" borderId="13" numFmtId="0" xfId="0" applyFont="1" applyBorder="1" applyAlignment="1">
      <alignment horizontal="center" vertical="center"/>
    </xf>
    <xf fontId="9" fillId="19" borderId="20" numFmtId="49" xfId="0" applyNumberFormat="1" applyFont="1" applyFill="1" applyBorder="1" applyAlignment="1">
      <alignment horizontal="center" vertical="center"/>
    </xf>
    <xf fontId="1" fillId="34" borderId="25" numFmtId="49" xfId="0" applyNumberFormat="1" applyFont="1" applyFill="1" applyBorder="1" applyAlignment="1">
      <alignment horizontal="center" vertical="center"/>
    </xf>
    <xf fontId="1" fillId="34" borderId="20" numFmtId="0" xfId="0" applyFont="1" applyFill="1" applyBorder="1" applyAlignment="1">
      <alignment horizontal="center" vertical="center"/>
    </xf>
    <xf fontId="10" fillId="5" borderId="29" numFmtId="165" xfId="0" applyNumberFormat="1" applyFont="1" applyFill="1" applyBorder="1"/>
    <xf fontId="4" fillId="3" borderId="0" numFmtId="49" xfId="0" applyNumberFormat="1" applyFont="1" applyFill="1" applyAlignment="1">
      <alignment horizontal="center" vertical="center"/>
    </xf>
    <xf fontId="11" fillId="49" borderId="2" numFmtId="49" xfId="0" applyNumberFormat="1" applyFont="1" applyFill="1" applyBorder="1" applyAlignment="1">
      <alignment horizontal="center"/>
    </xf>
    <xf fontId="3" fillId="30" borderId="2" numFmtId="49" xfId="0" applyNumberFormat="1" applyFont="1" applyFill="1" applyBorder="1" applyAlignment="1">
      <alignment horizontal="center" vertical="center"/>
    </xf>
    <xf fontId="3" fillId="0" borderId="13" numFmtId="49" xfId="0" applyNumberFormat="1" applyFont="1" applyBorder="1" applyAlignment="1">
      <alignment horizontal="center" vertical="center"/>
    </xf>
    <xf fontId="5" fillId="0" borderId="13" numFmtId="49" xfId="0" applyNumberFormat="1" applyFont="1" applyBorder="1" applyAlignment="1">
      <alignment horizontal="center"/>
    </xf>
    <xf fontId="3" fillId="30" borderId="13" numFmtId="49" xfId="0" applyNumberFormat="1" applyFont="1" applyFill="1" applyBorder="1" applyAlignment="1">
      <alignment horizontal="center"/>
    </xf>
    <xf fontId="5" fillId="0" borderId="15" numFmtId="49" xfId="0" applyNumberFormat="1" applyFont="1" applyBorder="1" applyAlignment="1">
      <alignment horizontal="center"/>
    </xf>
    <xf fontId="5" fillId="6" borderId="27" numFmtId="0" xfId="0" applyFont="1" applyFill="1" applyBorder="1" applyAlignment="1">
      <alignment horizontal="right"/>
    </xf>
    <xf fontId="1" fillId="6" borderId="48" numFmtId="0" xfId="0" applyFont="1" applyFill="1" applyBorder="1" applyAlignment="1">
      <alignment horizontal="center" vertical="center"/>
    </xf>
    <xf fontId="1" fillId="46" borderId="24" numFmtId="49" xfId="0" applyNumberFormat="1" applyFont="1" applyFill="1" applyBorder="1" applyAlignment="1">
      <alignment horizontal="center" vertical="center"/>
    </xf>
    <xf fontId="1" fillId="46" borderId="2" numFmtId="0" xfId="0" applyFont="1" applyFill="1" applyBorder="1" applyAlignment="1">
      <alignment horizontal="center" vertical="center"/>
    </xf>
    <xf fontId="1" fillId="0" borderId="29" numFmtId="0" xfId="0" applyFont="1" applyBorder="1" applyAlignment="1">
      <alignment horizontal="center" vertical="center"/>
    </xf>
    <xf fontId="1" fillId="5" borderId="25" numFmtId="0" xfId="0" applyFont="1" applyFill="1" applyBorder="1" applyAlignment="1">
      <alignment horizontal="center" vertical="center"/>
    </xf>
    <xf fontId="1" fillId="34" borderId="24" numFmtId="49" xfId="0" applyNumberFormat="1" applyFont="1" applyFill="1" applyBorder="1" applyAlignment="1">
      <alignment horizontal="center" vertical="center"/>
    </xf>
    <xf fontId="1" fillId="32" borderId="16" numFmtId="0" xfId="0" applyFont="1" applyFill="1" applyBorder="1" applyAlignment="1">
      <alignment horizontal="center" vertical="center"/>
    </xf>
    <xf fontId="1" fillId="46" borderId="29" numFmtId="49" xfId="0" applyNumberFormat="1" applyFont="1" applyFill="1" applyBorder="1" applyAlignment="1">
      <alignment horizontal="center" vertical="center"/>
    </xf>
    <xf fontId="1" fillId="46" borderId="20" numFmtId="0" xfId="0" applyFont="1" applyFill="1" applyBorder="1" applyAlignment="1">
      <alignment horizontal="center" vertical="center"/>
    </xf>
    <xf fontId="1" fillId="5" borderId="4" numFmtId="0" xfId="0" applyFont="1" applyFill="1" applyBorder="1" applyAlignment="1">
      <alignment horizontal="center" vertical="center"/>
    </xf>
    <xf fontId="3" fillId="3" borderId="0" numFmtId="0" xfId="0" applyFont="1" applyFill="1" applyAlignment="1">
      <alignment horizontal="center" vertical="center" wrapText="1"/>
    </xf>
    <xf fontId="5" fillId="41" borderId="15" numFmtId="0" xfId="0" applyFont="1" applyFill="1" applyBorder="1" applyAlignment="1">
      <alignment horizontal="right"/>
    </xf>
    <xf fontId="5" fillId="0" borderId="16" numFmtId="49" xfId="0" applyNumberFormat="1" applyFont="1" applyBorder="1" applyAlignment="1">
      <alignment horizontal="center"/>
    </xf>
    <xf fontId="1" fillId="42" borderId="0" numFmtId="0" xfId="0" applyFont="1" applyFill="1" applyAlignment="1">
      <alignment horizontal="center" vertical="center"/>
    </xf>
    <xf fontId="1" fillId="0" borderId="27" numFmtId="0" xfId="0" applyFont="1" applyBorder="1" applyAlignment="1">
      <alignment horizontal="center" vertical="center"/>
    </xf>
    <xf fontId="1" fillId="23" borderId="30" numFmtId="49" xfId="0" applyNumberFormat="1" applyFont="1" applyFill="1" applyBorder="1" applyAlignment="1">
      <alignment horizontal="center" vertical="center"/>
    </xf>
    <xf fontId="1" fillId="23" borderId="20" numFmtId="0" xfId="0" applyFont="1" applyFill="1" applyBorder="1" applyAlignment="1">
      <alignment horizontal="center" vertical="center"/>
    </xf>
    <xf fontId="1" fillId="6" borderId="30" numFmtId="0" xfId="0" applyFont="1" applyFill="1" applyBorder="1" applyAlignment="1">
      <alignment horizontal="center" vertical="center"/>
    </xf>
    <xf fontId="1" fillId="0" borderId="15" numFmtId="0" xfId="0" applyFont="1" applyBorder="1" applyAlignment="1">
      <alignment horizontal="center" vertical="center"/>
    </xf>
    <xf fontId="1" fillId="5" borderId="30" numFmtId="0" xfId="0" applyFont="1" applyFill="1" applyBorder="1"/>
    <xf fontId="1" fillId="32" borderId="27" numFmtId="0" xfId="0" applyFont="1" applyFill="1" applyBorder="1" applyAlignment="1">
      <alignment horizontal="center" vertical="center"/>
    </xf>
    <xf fontId="1" fillId="32" borderId="25" numFmtId="0" xfId="0" applyFont="1" applyFill="1" applyBorder="1" applyAlignment="1">
      <alignment horizontal="center" vertical="center"/>
    </xf>
    <xf fontId="1" fillId="6" borderId="16" numFmtId="0" xfId="0" applyFont="1" applyFill="1" applyBorder="1" applyAlignment="1">
      <alignment horizontal="center" vertical="center"/>
    </xf>
    <xf fontId="1" fillId="0" borderId="2" numFmtId="0" xfId="0" applyFont="1" applyBorder="1"/>
    <xf fontId="1" fillId="46" borderId="13" numFmtId="49" xfId="0" applyNumberFormat="1" applyFont="1" applyFill="1" applyBorder="1" applyAlignment="1">
      <alignment horizontal="center" vertical="center"/>
    </xf>
    <xf fontId="1" fillId="0" borderId="17" numFmtId="0" xfId="0" applyFont="1" applyBorder="1" applyAlignment="1">
      <alignment horizontal="center" vertical="center"/>
    </xf>
    <xf fontId="1" fillId="6" borderId="25" numFmtId="0" xfId="0" applyFont="1" applyFill="1" applyBorder="1"/>
    <xf fontId="12" fillId="26" borderId="2" numFmtId="165" xfId="0" applyNumberFormat="1" applyFont="1" applyFill="1" applyBorder="1" applyAlignment="1">
      <alignment horizontal="center"/>
    </xf>
    <xf fontId="10" fillId="26" borderId="2" numFmtId="165" xfId="0" applyNumberFormat="1" applyFont="1" applyFill="1" applyBorder="1"/>
    <xf fontId="5" fillId="0" borderId="25" numFmtId="49" xfId="0" applyNumberFormat="1" applyFont="1" applyBorder="1" applyAlignment="1">
      <alignment horizontal="center"/>
    </xf>
    <xf fontId="3" fillId="6" borderId="27" numFmtId="49" xfId="0" applyNumberFormat="1" applyFont="1" applyFill="1" applyBorder="1" applyAlignment="1">
      <alignment horizontal="center"/>
    </xf>
    <xf fontId="5" fillId="6" borderId="25" numFmtId="49" xfId="0" applyNumberFormat="1" applyFont="1" applyFill="1" applyBorder="1" applyAlignment="1">
      <alignment horizontal="center"/>
    </xf>
    <xf fontId="1" fillId="42" borderId="53" numFmtId="0" xfId="0" applyFont="1" applyFill="1" applyBorder="1" applyAlignment="1">
      <alignment horizontal="center" vertical="center"/>
    </xf>
    <xf fontId="1" fillId="5" borderId="48" numFmtId="0" xfId="0" applyFont="1" applyFill="1" applyBorder="1" applyAlignment="1">
      <alignment horizontal="center" vertical="center"/>
    </xf>
    <xf fontId="0" fillId="6" borderId="2" numFmtId="49" xfId="0" applyNumberFormat="1" applyFill="1" applyBorder="1" applyAlignment="1">
      <alignment horizontal="center" vertical="center"/>
    </xf>
    <xf fontId="0" fillId="6" borderId="2" numFmtId="0" xfId="0" applyFill="1" applyBorder="1" applyAlignment="1">
      <alignment horizontal="center" vertical="center"/>
    </xf>
    <xf fontId="1" fillId="0" borderId="43" numFmtId="0" xfId="0" applyFont="1" applyBorder="1" applyAlignment="1">
      <alignment horizontal="center" vertical="center"/>
    </xf>
    <xf fontId="0" fillId="5" borderId="2" numFmtId="49" xfId="0" applyNumberFormat="1" applyFill="1" applyBorder="1" applyAlignment="1">
      <alignment horizontal="center" vertical="center"/>
    </xf>
    <xf fontId="0" fillId="5" borderId="2" numFmtId="0" xfId="0" applyFill="1" applyBorder="1" applyAlignment="1">
      <alignment horizontal="center" vertical="center"/>
    </xf>
    <xf fontId="0" fillId="50" borderId="2" numFmtId="49" xfId="0" applyNumberFormat="1" applyFill="1" applyBorder="1" applyAlignment="1">
      <alignment horizontal="center" vertical="center"/>
    </xf>
    <xf fontId="0" fillId="50" borderId="2" numFmtId="0" xfId="0" applyFill="1" applyBorder="1" applyAlignment="1">
      <alignment horizontal="center" vertical="center"/>
    </xf>
    <xf fontId="1" fillId="0" borderId="1" numFmtId="49" xfId="0" applyNumberFormat="1" applyFont="1" applyBorder="1" applyAlignment="1">
      <alignment horizontal="center" vertical="center"/>
    </xf>
    <xf fontId="0" fillId="0" borderId="2" numFmtId="49" xfId="0" applyNumberFormat="1" applyBorder="1" applyAlignment="1">
      <alignment horizontal="center" vertical="center"/>
    </xf>
    <xf fontId="1" fillId="6" borderId="81" numFmtId="0" xfId="0" applyFont="1" applyFill="1" applyBorder="1" applyAlignment="1">
      <alignment horizontal="center" vertical="center"/>
    </xf>
    <xf fontId="1" fillId="6" borderId="39" numFmtId="0" xfId="0" applyFont="1" applyFill="1" applyBorder="1" applyAlignment="1">
      <alignment horizontal="center" vertical="center"/>
    </xf>
    <xf fontId="10" fillId="13" borderId="2" numFmtId="0" xfId="0" applyFont="1" applyFill="1" applyBorder="1"/>
    <xf fontId="10" fillId="14" borderId="2" numFmtId="0" xfId="0" applyFont="1" applyFill="1" applyBorder="1"/>
    <xf fontId="10" fillId="0" borderId="25" numFmtId="0" xfId="0" applyFont="1" applyBorder="1"/>
    <xf fontId="12" fillId="25" borderId="2" numFmtId="165" xfId="0" applyNumberFormat="1" applyFont="1" applyFill="1" applyBorder="1" applyAlignment="1">
      <alignment horizontal="center"/>
    </xf>
    <xf fontId="10" fillId="0" borderId="25" numFmtId="14" xfId="0" applyNumberFormat="1" applyFont="1" applyBorder="1"/>
    <xf fontId="0" fillId="0" borderId="2" numFmtId="0" xfId="0" applyBorder="1"/>
    <xf fontId="3" fillId="5" borderId="20" numFmtId="49" xfId="0" applyNumberFormat="1" applyFont="1" applyFill="1" applyBorder="1" applyAlignment="1">
      <alignment horizontal="center"/>
    </xf>
    <xf fontId="3" fillId="0" borderId="25" numFmtId="49" xfId="0" applyNumberFormat="1" applyFont="1" applyBorder="1" applyAlignment="1">
      <alignment horizontal="center"/>
    </xf>
    <xf fontId="3" fillId="45" borderId="2" numFmtId="49" xfId="0" applyNumberFormat="1" applyFont="1" applyFill="1" applyBorder="1" applyAlignment="1">
      <alignment horizontal="center"/>
    </xf>
    <xf fontId="3" fillId="45" borderId="2" numFmtId="49" xfId="0" applyNumberFormat="1" applyFont="1" applyFill="1" applyBorder="1" applyAlignment="1">
      <alignment horizontal="center" vertical="center"/>
    </xf>
    <xf fontId="3" fillId="0" borderId="29" numFmtId="49" xfId="0" applyNumberFormat="1" applyFont="1" applyBorder="1" applyAlignment="1">
      <alignment horizontal="center"/>
    </xf>
    <xf fontId="5" fillId="2" borderId="2" numFmtId="49" xfId="0" applyNumberFormat="1" applyFont="1" applyFill="1" applyBorder="1" applyAlignment="1">
      <alignment horizontal="center"/>
    </xf>
    <xf fontId="3" fillId="2" borderId="2" numFmtId="49" xfId="0" applyNumberFormat="1" applyFont="1" applyFill="1" applyBorder="1" applyAlignment="1">
      <alignment horizontal="center"/>
    </xf>
    <xf fontId="3" fillId="2" borderId="2" numFmtId="49" xfId="0" applyNumberFormat="1" applyFont="1" applyFill="1" applyBorder="1" applyAlignment="1">
      <alignment horizontal="center" vertical="center"/>
    </xf>
    <xf fontId="3" fillId="32" borderId="2" numFmtId="49" xfId="0" applyNumberFormat="1" applyFont="1" applyFill="1" applyBorder="1" applyAlignment="1">
      <alignment horizontal="center"/>
    </xf>
    <xf fontId="3" fillId="5" borderId="13" numFmtId="49" xfId="0" applyNumberFormat="1" applyFont="1" applyFill="1" applyBorder="1" applyAlignment="1">
      <alignment horizontal="center"/>
    </xf>
    <xf fontId="3" fillId="5" borderId="25" numFmtId="49" xfId="0" applyNumberFormat="1" applyFont="1" applyFill="1" applyBorder="1" applyAlignment="1">
      <alignment horizontal="center"/>
    </xf>
    <xf fontId="12" fillId="26" borderId="29" numFmtId="165" xfId="0" applyNumberFormat="1" applyFont="1" applyFill="1" applyBorder="1" applyAlignment="1">
      <alignment horizontal="center"/>
    </xf>
    <xf fontId="10" fillId="46" borderId="18" numFmtId="49" xfId="0" applyNumberFormat="1" applyFont="1" applyFill="1" applyBorder="1" applyAlignment="1">
      <alignment horizontal="center"/>
    </xf>
    <xf fontId="10" fillId="34" borderId="18" numFmtId="49" xfId="0" applyNumberFormat="1" applyFont="1" applyFill="1" applyBorder="1" applyAlignment="1">
      <alignment horizontal="center"/>
    </xf>
    <xf fontId="10" fillId="25" borderId="2" numFmtId="165" xfId="0" applyNumberFormat="1" applyFont="1" applyFill="1" applyBorder="1"/>
    <xf fontId="11" fillId="51" borderId="2" numFmtId="49" xfId="0" applyNumberFormat="1" applyFont="1" applyFill="1" applyBorder="1" applyAlignment="1">
      <alignment horizontal="center"/>
    </xf>
    <xf fontId="11" fillId="0" borderId="2" numFmtId="49" xfId="0" applyNumberFormat="1" applyFont="1" applyBorder="1" applyAlignment="1">
      <alignment horizontal="center"/>
    </xf>
    <xf fontId="0" fillId="32" borderId="2" numFmtId="0" xfId="0" applyFill="1" applyBorder="1"/>
    <xf fontId="3" fillId="32" borderId="2" numFmtId="49" xfId="0" applyNumberFormat="1" applyFont="1" applyFill="1" applyBorder="1" applyAlignment="1">
      <alignment horizontal="center" vertical="center"/>
    </xf>
    <xf fontId="3" fillId="47" borderId="13" numFmtId="49" xfId="0" applyNumberFormat="1" applyFont="1" applyFill="1" applyBorder="1" applyAlignment="1">
      <alignment horizontal="center" vertical="center"/>
    </xf>
    <xf fontId="3" fillId="48" borderId="13" numFmtId="49" xfId="0" applyNumberFormat="1" applyFont="1" applyFill="1" applyBorder="1" applyAlignment="1">
      <alignment horizontal="center"/>
    </xf>
    <xf fontId="0" fillId="0" borderId="45" numFmtId="0" xfId="0" applyBorder="1"/>
    <xf fontId="3" fillId="46" borderId="29" numFmtId="49" xfId="0" applyNumberFormat="1" applyFont="1" applyFill="1" applyBorder="1" applyAlignment="1">
      <alignment horizontal="center"/>
    </xf>
    <xf fontId="3" fillId="5" borderId="29" numFmtId="49" xfId="0" applyNumberFormat="1" applyFont="1" applyFill="1" applyBorder="1" applyAlignment="1">
      <alignment horizontal="center"/>
    </xf>
    <xf fontId="3" fillId="32" borderId="29" numFmtId="49" xfId="0" applyNumberFormat="1" applyFont="1" applyFill="1" applyBorder="1" applyAlignment="1">
      <alignment horizontal="center" vertical="center"/>
    </xf>
    <xf fontId="3" fillId="32" borderId="17" numFmtId="49" xfId="0" applyNumberFormat="1" applyFont="1" applyFill="1" applyBorder="1" applyAlignment="1">
      <alignment horizontal="center" vertical="center"/>
    </xf>
    <xf fontId="3" fillId="34" borderId="30" numFmtId="49" xfId="0" applyNumberFormat="1" applyFont="1" applyFill="1" applyBorder="1" applyAlignment="1">
      <alignment horizontal="center"/>
    </xf>
    <xf fontId="3" fillId="34" borderId="29" numFmtId="49" xfId="0" applyNumberFormat="1" applyFont="1" applyFill="1" applyBorder="1" applyAlignment="1">
      <alignment horizontal="center"/>
    </xf>
    <xf fontId="10" fillId="26" borderId="29" numFmtId="165" xfId="0" applyNumberFormat="1" applyFont="1" applyFill="1" applyBorder="1"/>
    <xf fontId="3" fillId="4" borderId="2" numFmtId="49" xfId="0" applyNumberFormat="1" applyFont="1" applyFill="1" applyBorder="1" applyAlignment="1">
      <alignment horizontal="center"/>
    </xf>
    <xf fontId="5" fillId="30" borderId="2" numFmtId="49" xfId="0" applyNumberFormat="1" applyFont="1" applyFill="1" applyBorder="1" applyAlignment="1">
      <alignment horizontal="center"/>
    </xf>
    <xf fontId="3" fillId="52" borderId="2" numFmtId="49" xfId="0" applyNumberFormat="1" applyFont="1" applyFill="1" applyBorder="1" applyAlignment="1">
      <alignment horizontal="center"/>
    </xf>
    <xf fontId="3" fillId="23" borderId="2" numFmtId="49" xfId="0" applyNumberFormat="1" applyFont="1" applyFill="1" applyBorder="1" applyAlignment="1">
      <alignment horizontal="center" vertical="center"/>
    </xf>
    <xf fontId="3" fillId="42" borderId="2" numFmtId="49" xfId="0" applyNumberFormat="1" applyFont="1" applyFill="1" applyBorder="1" applyAlignment="1">
      <alignment horizontal="center"/>
    </xf>
    <xf fontId="3" fillId="42" borderId="2" numFmtId="49" xfId="0" applyNumberFormat="1" applyFont="1" applyFill="1" applyBorder="1" applyAlignment="1">
      <alignment horizontal="center" vertical="center"/>
    </xf>
    <xf fontId="5" fillId="53" borderId="13" numFmtId="49" xfId="0" applyNumberFormat="1" applyFont="1" applyFill="1" applyBorder="1" applyAlignment="1">
      <alignment horizontal="center"/>
    </xf>
    <xf fontId="3" fillId="32" borderId="20" numFmtId="49" xfId="0" applyNumberFormat="1" applyFont="1" applyFill="1" applyBorder="1" applyAlignment="1">
      <alignment horizontal="center"/>
    </xf>
    <xf fontId="5" fillId="46" borderId="25" numFmtId="49" xfId="0" applyNumberFormat="1" applyFont="1" applyFill="1" applyBorder="1" applyAlignment="1">
      <alignment horizontal="center"/>
    </xf>
    <xf fontId="3" fillId="4" borderId="2" numFmtId="49" xfId="0" applyNumberFormat="1" applyFont="1" applyFill="1" applyBorder="1" applyAlignment="1">
      <alignment horizontal="center" vertical="center"/>
    </xf>
    <xf fontId="5" fillId="30" borderId="13" numFmtId="49" xfId="0" applyNumberFormat="1" applyFont="1" applyFill="1" applyBorder="1" applyAlignment="1">
      <alignment horizontal="center"/>
    </xf>
    <xf fontId="3" fillId="30" borderId="20" numFmtId="49" xfId="0" applyNumberFormat="1" applyFont="1" applyFill="1" applyBorder="1" applyAlignment="1">
      <alignment horizontal="center" vertical="center"/>
    </xf>
    <xf fontId="3" fillId="0" borderId="25" numFmtId="49" xfId="0" applyNumberFormat="1" applyFont="1" applyBorder="1" applyAlignment="1">
      <alignment horizontal="center" vertical="center"/>
    </xf>
    <xf fontId="3" fillId="6" borderId="13" numFmtId="49" xfId="0" applyNumberFormat="1" applyFont="1" applyFill="1" applyBorder="1" applyAlignment="1">
      <alignment horizontal="center"/>
    </xf>
    <xf fontId="5" fillId="46" borderId="29" numFmtId="49" xfId="0" applyNumberFormat="1" applyFont="1" applyFill="1" applyBorder="1" applyAlignment="1">
      <alignment horizontal="center"/>
    </xf>
    <xf fontId="5" fillId="46" borderId="17" numFmtId="49" xfId="0" applyNumberFormat="1" applyFont="1" applyFill="1" applyBorder="1" applyAlignment="1">
      <alignment horizontal="center"/>
    </xf>
    <xf fontId="5" fillId="50" borderId="13" numFmtId="49" xfId="0" applyNumberFormat="1" applyFont="1" applyFill="1" applyBorder="1" applyAlignment="1">
      <alignment horizontal="center"/>
    </xf>
    <xf fontId="3" fillId="50" borderId="13" numFmtId="49" xfId="0" applyNumberFormat="1" applyFont="1" applyFill="1" applyBorder="1" applyAlignment="1">
      <alignment horizontal="center"/>
    </xf>
    <xf fontId="5" fillId="54" borderId="2" numFmtId="49" xfId="0" applyNumberFormat="1" applyFont="1" applyFill="1" applyBorder="1" applyAlignment="1">
      <alignment horizontal="center"/>
    </xf>
    <xf fontId="3" fillId="54" borderId="20" numFmtId="49" xfId="0" applyNumberFormat="1" applyFont="1" applyFill="1" applyBorder="1" applyAlignment="1">
      <alignment horizontal="center"/>
    </xf>
    <xf fontId="3" fillId="54" borderId="18" numFmtId="49" xfId="0" applyNumberFormat="1" applyFont="1" applyFill="1" applyBorder="1" applyAlignment="1">
      <alignment horizontal="center"/>
    </xf>
    <xf fontId="5" fillId="30" borderId="25" numFmtId="49" xfId="0" applyNumberFormat="1" applyFont="1" applyFill="1" applyBorder="1" applyAlignment="1">
      <alignment horizontal="center"/>
    </xf>
    <xf fontId="5" fillId="48" borderId="29" numFmtId="49" xfId="0" applyNumberFormat="1" applyFont="1" applyFill="1" applyBorder="1" applyAlignment="1">
      <alignment horizontal="center"/>
    </xf>
    <xf fontId="3" fillId="6" borderId="13" numFmtId="49" xfId="0" applyNumberFormat="1" applyFont="1" applyFill="1" applyBorder="1" applyAlignment="1">
      <alignment horizontal="center" vertical="center"/>
    </xf>
    <xf fontId="3" fillId="0" borderId="15" numFmtId="49" xfId="0" applyNumberFormat="1" applyFont="1" applyBorder="1" applyAlignment="1">
      <alignment horizontal="center"/>
    </xf>
    <xf fontId="5" fillId="34" borderId="25" numFmtId="49" xfId="0" applyNumberFormat="1" applyFont="1" applyFill="1" applyBorder="1" applyAlignment="1">
      <alignment horizontal="center"/>
    </xf>
    <xf fontId="3" fillId="30" borderId="20" numFmtId="49" xfId="0" applyNumberFormat="1" applyFont="1" applyFill="1" applyBorder="1" applyAlignment="1">
      <alignment horizontal="center"/>
    </xf>
    <xf fontId="3" fillId="41" borderId="30" numFmtId="49" xfId="0" applyNumberFormat="1" applyFont="1" applyFill="1" applyBorder="1" applyAlignment="1">
      <alignment horizontal="center" vertical="center"/>
    </xf>
    <xf fontId="5" fillId="41" borderId="29" numFmtId="0" xfId="0" applyFont="1" applyFill="1" applyBorder="1" applyAlignment="1">
      <alignment horizontal="right"/>
    </xf>
    <xf fontId="1" fillId="0" borderId="0" numFmtId="0" xfId="1" applyFont="1"/>
    <xf fontId="1" fillId="0" borderId="0" numFmtId="49" xfId="1" applyNumberFormat="1" applyFont="1"/>
    <xf fontId="20" fillId="0" borderId="84" numFmtId="0" xfId="1" applyFont="1" applyBorder="1"/>
    <xf fontId="21" fillId="21" borderId="85" numFmtId="49" xfId="1" applyNumberFormat="1" applyFont="1" applyFill="1" applyBorder="1" applyAlignment="1">
      <alignment horizontal="center" vertical="center"/>
    </xf>
    <xf fontId="15" fillId="21" borderId="85" numFmtId="49" xfId="1" applyNumberFormat="1" applyFont="1" applyFill="1" applyBorder="1" applyAlignment="1">
      <alignment horizontal="center" vertical="center" wrapText="1"/>
    </xf>
    <xf fontId="22" fillId="55" borderId="85" numFmtId="49" xfId="1" applyNumberFormat="1" applyFont="1" applyFill="1" applyBorder="1" applyAlignment="1">
      <alignment horizontal="center" vertical="center"/>
    </xf>
    <xf fontId="15" fillId="55" borderId="85" numFmtId="49" xfId="1" applyNumberFormat="1" applyFont="1" applyFill="1" applyBorder="1" applyAlignment="1">
      <alignment horizontal="center" vertical="center" wrapText="1"/>
    </xf>
    <xf fontId="15" fillId="0" borderId="86" numFmtId="49" xfId="1" applyNumberFormat="1" applyFont="1" applyBorder="1" applyAlignment="1">
      <alignment horizontal="left" vertical="center"/>
    </xf>
    <xf fontId="15" fillId="0" borderId="0" numFmtId="49" xfId="1" applyNumberFormat="1" applyFont="1" applyAlignment="1">
      <alignment horizontal="left" vertical="center"/>
    </xf>
    <xf fontId="15" fillId="0" borderId="84" numFmtId="49" xfId="1" applyNumberFormat="1" applyFont="1" applyBorder="1" applyAlignment="1">
      <alignment vertical="center"/>
    </xf>
    <xf fontId="20" fillId="0" borderId="0" numFmtId="49" xfId="1" applyNumberFormat="1" applyFont="1" applyAlignment="1">
      <alignment vertical="center" wrapText="1"/>
    </xf>
    <xf fontId="20" fillId="0" borderId="0" numFmtId="0" xfId="1" applyFont="1" applyAlignment="1">
      <alignment vertical="center" wrapText="1"/>
    </xf>
    <xf fontId="15" fillId="0" borderId="0" numFmtId="0" xfId="1" applyFont="1" applyAlignment="1">
      <alignment vertical="center"/>
    </xf>
    <xf fontId="15" fillId="0" borderId="84" numFmtId="0" xfId="1" applyFont="1" applyBorder="1" applyAlignment="1">
      <alignment horizontal="left" vertical="center"/>
    </xf>
    <xf fontId="15" fillId="32" borderId="85" numFmtId="49" xfId="1" applyNumberFormat="1" applyFont="1" applyFill="1" applyBorder="1" applyAlignment="1">
      <alignment horizontal="center" vertical="center"/>
    </xf>
    <xf fontId="15" fillId="45" borderId="85" numFmtId="49" xfId="1" applyNumberFormat="1" applyFont="1" applyFill="1" applyBorder="1" applyAlignment="1">
      <alignment horizontal="center" vertical="center"/>
    </xf>
    <xf fontId="15" fillId="0" borderId="84" numFmtId="49" xfId="1" applyNumberFormat="1" applyFont="1" applyBorder="1" applyAlignment="1">
      <alignment horizontal="left" vertical="center"/>
    </xf>
    <xf fontId="15" fillId="0" borderId="0" numFmtId="0" xfId="1" applyFont="1" applyAlignment="1">
      <alignment horizontal="left" vertical="center"/>
    </xf>
    <xf fontId="20" fillId="0" borderId="50" numFmtId="49" xfId="1" applyNumberFormat="1" applyFont="1" applyBorder="1"/>
    <xf fontId="20" fillId="0" borderId="87" numFmtId="49" xfId="1" applyNumberFormat="1" applyFont="1" applyBorder="1"/>
    <xf fontId="15" fillId="0" borderId="0" numFmtId="49" xfId="1" applyNumberFormat="1" applyFont="1" applyAlignment="1">
      <alignment vertical="center"/>
    </xf>
    <xf fontId="15" fillId="0" borderId="5" numFmtId="0" xfId="1" applyFont="1" applyBorder="1" applyAlignment="1">
      <alignment vertical="center"/>
    </xf>
    <xf fontId="15" fillId="0" borderId="5" numFmtId="49" xfId="1" applyNumberFormat="1" applyFont="1" applyBorder="1" applyAlignment="1">
      <alignment vertical="center"/>
    </xf>
    <xf fontId="15" fillId="0" borderId="87" numFmtId="49" xfId="1" applyNumberFormat="1" applyFont="1" applyBorder="1" applyAlignment="1">
      <alignment vertical="center"/>
    </xf>
    <xf fontId="23" fillId="55" borderId="5" numFmtId="49" xfId="1" applyNumberFormat="1" applyFont="1" applyFill="1" applyBorder="1" applyAlignment="1">
      <alignment vertical="center"/>
    </xf>
    <xf fontId="15" fillId="0" borderId="5" numFmtId="0" xfId="1" applyFont="1" applyBorder="1" applyAlignment="1">
      <alignment horizontal="center" vertical="center"/>
    </xf>
    <xf fontId="20" fillId="0" borderId="5" numFmtId="0" xfId="1" applyFont="1" applyBorder="1"/>
    <xf fontId="15" fillId="0" borderId="0" numFmtId="0" xfId="1" applyFont="1" applyAlignment="1">
      <alignment horizontal="center" vertical="center"/>
    </xf>
    <xf fontId="24" fillId="0" borderId="88" numFmtId="0" xfId="1" applyFont="1" applyBorder="1" applyAlignment="1">
      <alignment horizontal="center" vertical="center"/>
    </xf>
    <xf fontId="24" fillId="0" borderId="87" numFmtId="0" xfId="1" applyFont="1" applyBorder="1" applyAlignment="1">
      <alignment horizontal="center" vertical="center"/>
    </xf>
    <xf fontId="24" fillId="0" borderId="89" numFmtId="0" xfId="1" applyFont="1" applyBorder="1" applyAlignment="1">
      <alignment horizontal="center" vertical="center"/>
    </xf>
    <xf fontId="25" fillId="56" borderId="85" numFmtId="0" xfId="1" applyFont="1" applyFill="1" applyBorder="1" applyAlignment="1">
      <alignment horizontal="center" vertical="center"/>
    </xf>
    <xf fontId="15" fillId="0" borderId="85" numFmtId="49" xfId="1" applyNumberFormat="1" applyFont="1" applyBorder="1" applyAlignment="1">
      <alignment horizontal="center" vertical="center"/>
    </xf>
    <xf fontId="25" fillId="57" borderId="88" numFmtId="0" xfId="1" applyFont="1" applyFill="1" applyBorder="1" applyAlignment="1">
      <alignment horizontal="center" vertical="center"/>
    </xf>
    <xf fontId="25" fillId="57" borderId="89" numFmtId="0" xfId="1" applyFont="1" applyFill="1" applyBorder="1" applyAlignment="1">
      <alignment horizontal="center" vertical="center"/>
    </xf>
    <xf fontId="15" fillId="0" borderId="90" numFmtId="0" xfId="1" applyFont="1" applyBorder="1" applyAlignment="1">
      <alignment horizontal="center" vertical="center"/>
    </xf>
    <xf fontId="26" fillId="0" borderId="85" numFmtId="0" xfId="1" applyFont="1" applyBorder="1"/>
    <xf fontId="25" fillId="58" borderId="85" numFmtId="49" xfId="1" applyNumberFormat="1" applyFont="1" applyFill="1" applyBorder="1" applyAlignment="1">
      <alignment horizontal="center"/>
    </xf>
    <xf fontId="26" fillId="58" borderId="85" numFmtId="49" xfId="1" applyNumberFormat="1" applyFont="1" applyFill="1" applyBorder="1"/>
    <xf fontId="25" fillId="59" borderId="85" numFmtId="49" xfId="1" applyNumberFormat="1" applyFont="1" applyFill="1" applyBorder="1" applyAlignment="1">
      <alignment horizontal="center"/>
    </xf>
    <xf fontId="26" fillId="59" borderId="85" numFmtId="49" xfId="1" applyNumberFormat="1" applyFont="1" applyFill="1" applyBorder="1"/>
    <xf fontId="25" fillId="58" borderId="88" numFmtId="0" xfId="1" applyFont="1" applyFill="1" applyBorder="1" applyAlignment="1">
      <alignment horizontal="center"/>
    </xf>
    <xf fontId="25" fillId="58" borderId="89" numFmtId="0" xfId="1" applyFont="1" applyFill="1" applyBorder="1" applyAlignment="1">
      <alignment horizontal="center"/>
    </xf>
    <xf fontId="26" fillId="0" borderId="85" numFmtId="49" xfId="1" applyNumberFormat="1" applyFont="1" applyBorder="1"/>
    <xf fontId="15" fillId="0" borderId="90" numFmtId="0" xfId="1" applyFont="1" applyBorder="1"/>
    <xf fontId="15" fillId="0" borderId="85" numFmtId="0" xfId="1" applyFont="1" applyBorder="1" applyAlignment="1">
      <alignment horizontal="center"/>
    </xf>
    <xf fontId="27" fillId="32" borderId="85" numFmtId="49" xfId="1" applyNumberFormat="1" applyFont="1" applyFill="1" applyBorder="1" applyAlignment="1">
      <alignment horizontal="center"/>
    </xf>
    <xf fontId="26" fillId="32" borderId="85" numFmtId="49" xfId="1" applyNumberFormat="1" applyFont="1" applyFill="1" applyBorder="1"/>
    <xf fontId="25" fillId="58" borderId="85" numFmtId="0" xfId="1" applyFont="1" applyFill="1" applyBorder="1" applyAlignment="1">
      <alignment horizontal="center"/>
    </xf>
    <xf fontId="15" fillId="32" borderId="85" numFmtId="0" xfId="1" applyFont="1" applyFill="1" applyBorder="1" applyAlignment="1">
      <alignment horizontal="center"/>
    </xf>
    <xf fontId="15" fillId="60" borderId="85" numFmtId="0" xfId="1" applyFont="1" applyFill="1" applyBorder="1" applyAlignment="1">
      <alignment horizontal="center"/>
    </xf>
    <xf fontId="15" fillId="0" borderId="88" numFmtId="0" xfId="1" applyFont="1" applyBorder="1"/>
    <xf fontId="25" fillId="61" borderId="85" numFmtId="0" xfId="1" applyFont="1" applyFill="1" applyBorder="1" applyAlignment="1">
      <alignment horizontal="center"/>
    </xf>
    <xf fontId="15" fillId="61" borderId="85" numFmtId="49" xfId="1" applyNumberFormat="1" applyFont="1" applyFill="1" applyBorder="1" applyAlignment="1">
      <alignment horizontal="center"/>
    </xf>
    <xf fontId="15" fillId="0" borderId="85" numFmtId="49" xfId="1" applyNumberFormat="1" applyFont="1" applyBorder="1" applyAlignment="1">
      <alignment horizontal="center"/>
    </xf>
    <xf fontId="25" fillId="17" borderId="85" numFmtId="49" xfId="1" applyNumberFormat="1" applyFont="1" applyFill="1" applyBorder="1" applyAlignment="1">
      <alignment horizontal="center"/>
    </xf>
    <xf fontId="25" fillId="0" borderId="85" numFmtId="0" xfId="1" applyFont="1" applyBorder="1" applyAlignment="1">
      <alignment horizontal="center"/>
    </xf>
    <xf fontId="26" fillId="45" borderId="85" numFmtId="49" xfId="1" applyNumberFormat="1" applyFont="1" applyFill="1" applyBorder="1" applyAlignment="1">
      <alignment horizontal="center"/>
    </xf>
    <xf fontId="26" fillId="32" borderId="85" numFmtId="49" xfId="1" applyNumberFormat="1" applyFont="1" applyFill="1" applyBorder="1" applyAlignment="1">
      <alignment horizontal="center"/>
    </xf>
    <xf fontId="15" fillId="0" borderId="85" numFmtId="0" xfId="1" applyFont="1" applyBorder="1"/>
    <xf fontId="15" fillId="0" borderId="86" numFmtId="0" xfId="1" applyFont="1" applyBorder="1" applyAlignment="1">
      <alignment vertical="center"/>
    </xf>
    <xf fontId="25" fillId="62" borderId="85" numFmtId="0" xfId="1" applyFont="1" applyFill="1" applyBorder="1" applyAlignment="1">
      <alignment horizontal="center"/>
    </xf>
    <xf fontId="15" fillId="45" borderId="85" numFmtId="49" xfId="1" applyNumberFormat="1" applyFont="1" applyFill="1" applyBorder="1" applyAlignment="1">
      <alignment horizontal="center"/>
    </xf>
    <xf fontId="15" fillId="32" borderId="85" numFmtId="49" xfId="1" applyNumberFormat="1" applyFont="1" applyFill="1" applyBorder="1" applyAlignment="1">
      <alignment horizontal="center"/>
    </xf>
    <xf fontId="28" fillId="17" borderId="85" numFmtId="0" xfId="1" applyFont="1" applyFill="1" applyBorder="1"/>
    <xf fontId="20" fillId="0" borderId="86" numFmtId="0" xfId="1" applyFont="1" applyBorder="1"/>
    <xf fontId="25" fillId="63" borderId="85" numFmtId="0" xfId="1" applyFont="1" applyFill="1" applyBorder="1" applyAlignment="1">
      <alignment horizontal="center"/>
    </xf>
    <xf fontId="20" fillId="0" borderId="85" numFmtId="49" xfId="1" applyNumberFormat="1" applyFont="1" applyBorder="1"/>
    <xf fontId="25" fillId="63" borderId="85" numFmtId="0" xfId="1" applyFont="1" applyFill="1" applyBorder="1" applyAlignment="1">
      <alignment horizontal="center" vertical="center"/>
    </xf>
    <xf fontId="20" fillId="32" borderId="85" numFmtId="49" xfId="1" applyNumberFormat="1" applyFont="1" applyFill="1" applyBorder="1"/>
    <xf fontId="20" fillId="64" borderId="85" numFmtId="49" xfId="1" applyNumberFormat="1" applyFont="1" applyFill="1" applyBorder="1"/>
    <xf fontId="15" fillId="64" borderId="85" numFmtId="49" xfId="1" applyNumberFormat="1" applyFont="1" applyFill="1" applyBorder="1" applyAlignment="1">
      <alignment horizontal="center"/>
    </xf>
    <xf fontId="26" fillId="17" borderId="85" numFmtId="0" xfId="1" applyFont="1" applyFill="1" applyBorder="1"/>
    <xf fontId="26" fillId="0" borderId="49" numFmtId="0" xfId="1" applyFont="1" applyBorder="1"/>
    <xf fontId="25" fillId="0" borderId="88" numFmtId="0" xfId="1" applyFont="1" applyBorder="1" applyAlignment="1">
      <alignment horizontal="center" vertical="center"/>
    </xf>
    <xf fontId="25" fillId="0" borderId="87" numFmtId="0" xfId="1" applyFont="1" applyBorder="1" applyAlignment="1">
      <alignment horizontal="center" vertical="center"/>
    </xf>
    <xf fontId="25" fillId="0" borderId="89" numFmtId="0" xfId="1" applyFont="1" applyBorder="1" applyAlignment="1">
      <alignment horizontal="center" vertical="center"/>
    </xf>
    <xf fontId="15" fillId="0" borderId="85" numFmtId="0" xfId="1" applyFont="1" applyBorder="1" applyAlignment="1">
      <alignment horizontal="center" vertical="center"/>
    </xf>
    <xf fontId="25" fillId="58" borderId="85" numFmtId="49" xfId="1" applyNumberFormat="1" applyFont="1" applyFill="1" applyBorder="1" applyAlignment="1">
      <alignment horizontal="center" vertical="center"/>
    </xf>
    <xf fontId="25" fillId="59" borderId="85" numFmtId="49" xfId="1" applyNumberFormat="1" applyFont="1" applyFill="1" applyBorder="1" applyAlignment="1">
      <alignment horizontal="center" vertical="center"/>
    </xf>
    <xf fontId="25" fillId="58" borderId="88" numFmtId="0" xfId="1" applyFont="1" applyFill="1" applyBorder="1" applyAlignment="1">
      <alignment horizontal="center" vertical="center"/>
    </xf>
    <xf fontId="25" fillId="58" borderId="89" numFmtId="0" xfId="1" applyFont="1" applyFill="1" applyBorder="1" applyAlignment="1">
      <alignment horizontal="center" vertical="center"/>
    </xf>
    <xf fontId="25" fillId="58" borderId="85" numFmtId="0" xfId="1" applyFont="1" applyFill="1" applyBorder="1" applyAlignment="1">
      <alignment horizontal="center" vertical="center"/>
    </xf>
    <xf fontId="15" fillId="32" borderId="85" numFmtId="0" xfId="1" applyFont="1" applyFill="1" applyBorder="1" applyAlignment="1">
      <alignment horizontal="center" vertical="center"/>
    </xf>
    <xf fontId="15" fillId="60" borderId="85" numFmtId="0" xfId="1" applyFont="1" applyFill="1" applyBorder="1" applyAlignment="1">
      <alignment horizontal="center" vertical="center"/>
    </xf>
    <xf fontId="20" fillId="45" borderId="85" numFmtId="49" xfId="1" applyNumberFormat="1" applyFont="1" applyFill="1" applyBorder="1"/>
    <xf fontId="20" fillId="45" borderId="85" numFmtId="49" xfId="1" applyNumberFormat="1" applyFont="1" applyFill="1" applyBorder="1" applyAlignment="1">
      <alignment horizontal="center"/>
    </xf>
    <xf fontId="15" fillId="17" borderId="85" numFmtId="49" xfId="1" applyNumberFormat="1" applyFont="1" applyFill="1" applyBorder="1" applyAlignment="1">
      <alignment horizontal="center"/>
    </xf>
    <xf fontId="20" fillId="17" borderId="85" numFmtId="49" xfId="1" applyNumberFormat="1" applyFont="1" applyFill="1" applyBorder="1"/>
    <xf fontId="15" fillId="64" borderId="85" numFmtId="49" xfId="1" applyNumberFormat="1" applyFont="1" applyFill="1" applyBorder="1" applyAlignment="1">
      <alignment horizontal="center" vertical="center"/>
    </xf>
    <xf fontId="25" fillId="0" borderId="85" numFmtId="0" xfId="1" applyFont="1" applyBorder="1" applyAlignment="1">
      <alignment horizontal="center" vertical="center"/>
    </xf>
    <xf fontId="15" fillId="0" borderId="49" numFmtId="0" xfId="1" applyFont="1" applyBorder="1" applyAlignment="1">
      <alignment vertical="center"/>
    </xf>
    <xf fontId="15" fillId="58" borderId="85" numFmtId="49" xfId="1" applyNumberFormat="1" applyFont="1" applyFill="1" applyBorder="1" applyAlignment="1">
      <alignment horizontal="center"/>
    </xf>
    <xf fontId="29" fillId="25" borderId="85" numFmtId="49" xfId="1" applyNumberFormat="1" applyFont="1" applyFill="1" applyBorder="1" applyAlignment="1">
      <alignment horizontal="center"/>
    </xf>
    <xf fontId="15" fillId="21" borderId="85" numFmtId="49" xfId="1" applyNumberFormat="1" applyFont="1" applyFill="1" applyBorder="1" applyAlignment="1">
      <alignment horizontal="center"/>
    </xf>
    <xf fontId="20" fillId="21" borderId="85" numFmtId="49" xfId="1" applyNumberFormat="1" applyFont="1" applyFill="1" applyBorder="1"/>
    <xf fontId="25" fillId="17" borderId="85" numFmtId="0" xfId="1" applyFont="1" applyFill="1" applyBorder="1" applyAlignment="1">
      <alignment horizontal="center"/>
    </xf>
    <xf fontId="15" fillId="0" borderId="88" numFmtId="49" xfId="1" applyNumberFormat="1" applyFont="1" applyBorder="1" applyAlignment="1">
      <alignment horizontal="center" vertical="center"/>
    </xf>
    <xf fontId="15" fillId="0" borderId="87" numFmtId="0" xfId="1" applyFont="1" applyBorder="1" applyAlignment="1">
      <alignment horizontal="center" vertical="center"/>
    </xf>
    <xf fontId="15" fillId="25" borderId="85" numFmtId="49" xfId="1" applyNumberFormat="1" applyFont="1" applyFill="1" applyBorder="1" applyAlignment="1">
      <alignment horizontal="center"/>
    </xf>
    <xf fontId="15" fillId="50" borderId="85" numFmtId="49" xfId="1" applyNumberFormat="1" applyFont="1" applyFill="1" applyBorder="1" applyAlignment="1">
      <alignment horizontal="center"/>
    </xf>
    <xf fontId="15" fillId="21" borderId="85" numFmtId="49" xfId="1" applyNumberFormat="1" applyFont="1" applyFill="1" applyBorder="1" applyAlignment="1">
      <alignment horizontal="center" vertical="center"/>
    </xf>
    <xf fontId="15" fillId="4" borderId="85" numFmtId="49" xfId="1" applyNumberFormat="1" applyFont="1" applyFill="1" applyBorder="1" applyAlignment="1">
      <alignment horizontal="center"/>
    </xf>
    <xf fontId="17" fillId="4" borderId="85" numFmtId="49" xfId="1" applyNumberFormat="1" applyFont="1" applyFill="1" applyBorder="1" applyAlignment="1">
      <alignment horizontal="center"/>
    </xf>
    <xf fontId="30" fillId="4" borderId="85" numFmtId="49" xfId="1" applyNumberFormat="1" applyFont="1" applyFill="1" applyBorder="1"/>
    <xf fontId="15" fillId="0" borderId="87" numFmtId="0" xfId="1" applyFont="1" applyBorder="1" applyAlignment="1">
      <alignment vertical="center"/>
    </xf>
    <xf fontId="27" fillId="64" borderId="85" numFmtId="49" xfId="1" applyNumberFormat="1" applyFont="1" applyFill="1" applyBorder="1" applyAlignment="1">
      <alignment horizontal="center"/>
    </xf>
    <xf fontId="15" fillId="0" borderId="91" numFmtId="49" xfId="1" applyNumberFormat="1" applyFont="1" applyBorder="1" applyAlignment="1">
      <alignment horizontal="center"/>
    </xf>
    <xf fontId="15" fillId="0" borderId="88" numFmtId="49" xfId="1" applyNumberFormat="1" applyFont="1" applyBorder="1" applyAlignment="1">
      <alignment horizontal="center"/>
    </xf>
    <xf fontId="0" fillId="0" borderId="91" numFmtId="0" xfId="0" applyBorder="1"/>
    <xf fontId="3" fillId="50" borderId="91" numFmtId="49" xfId="0" applyNumberFormat="1" applyFont="1" applyFill="1" applyBorder="1" applyAlignment="1">
      <alignment horizontal="center"/>
    </xf>
    <xf fontId="3" fillId="0" borderId="91" numFmtId="49" xfId="0" applyNumberFormat="1" applyFont="1" applyBorder="1" applyAlignment="1">
      <alignment horizontal="center"/>
    </xf>
    <xf fontId="3" fillId="5" borderId="91" numFmtId="49" xfId="0" applyNumberFormat="1" applyFont="1" applyFill="1" applyBorder="1" applyAlignment="1">
      <alignment horizontal="center"/>
    </xf>
    <xf fontId="25" fillId="17" borderId="89" numFmtId="49" xfId="1" applyNumberFormat="1" applyFont="1" applyFill="1" applyBorder="1" applyAlignment="1">
      <alignment horizontal="center"/>
    </xf>
    <xf fontId="20" fillId="0" borderId="88" numFmtId="49" xfId="1" applyNumberFormat="1" applyFont="1" applyBorder="1"/>
    <xf fontId="3" fillId="6" borderId="91" numFmtId="49" xfId="0" applyNumberFormat="1" applyFont="1" applyFill="1" applyBorder="1" applyAlignment="1">
      <alignment horizontal="center"/>
    </xf>
    <xf fontId="3" fillId="45" borderId="0" numFmtId="49" xfId="0" applyNumberFormat="1" applyFont="1" applyFill="1" applyAlignment="1">
      <alignment horizontal="center" vertical="center"/>
    </xf>
    <xf fontId="3" fillId="45" borderId="91" numFmtId="49" xfId="0" applyNumberFormat="1" applyFont="1" applyFill="1" applyBorder="1" applyAlignment="1">
      <alignment horizontal="center" vertical="center"/>
    </xf>
    <xf fontId="15" fillId="21" borderId="88" numFmtId="49" xfId="1" applyNumberFormat="1" applyFont="1" applyFill="1" applyBorder="1" applyAlignment="1">
      <alignment horizontal="center"/>
    </xf>
    <xf fontId="3" fillId="34" borderId="91" numFmtId="49" xfId="0" applyNumberFormat="1" applyFont="1" applyFill="1" applyBorder="1" applyAlignment="1">
      <alignment horizontal="center"/>
    </xf>
    <xf fontId="15" fillId="32" borderId="88" numFmtId="49" xfId="1" applyNumberFormat="1" applyFont="1" applyFill="1" applyBorder="1" applyAlignment="1">
      <alignment horizontal="center"/>
    </xf>
    <xf fontId="3" fillId="0" borderId="91" numFmtId="49" xfId="0" applyNumberFormat="1" applyFont="1" applyBorder="1" applyAlignment="1">
      <alignment horizontal="center" vertical="center"/>
    </xf>
    <xf fontId="15" fillId="21" borderId="88" numFmtId="49" xfId="1" applyNumberFormat="1" applyFont="1" applyFill="1" applyBorder="1" applyAlignment="1">
      <alignment horizontal="center" vertical="center"/>
    </xf>
    <xf fontId="3" fillId="32" borderId="91" numFmtId="49" xfId="0" applyNumberFormat="1" applyFont="1" applyFill="1" applyBorder="1" applyAlignment="1">
      <alignment horizontal="center"/>
    </xf>
    <xf fontId="31" fillId="45" borderId="85" numFmtId="49" xfId="1" applyNumberFormat="1" applyFont="1" applyFill="1" applyBorder="1" applyAlignment="1">
      <alignment horizontal="center" vertical="center"/>
    </xf>
    <xf fontId="1" fillId="45" borderId="88" numFmtId="49" xfId="1" applyNumberFormat="1" applyFont="1" applyFill="1" applyBorder="1" applyAlignment="1">
      <alignment horizontal="center"/>
    </xf>
    <xf fontId="3" fillId="32" borderId="91" numFmtId="49" xfId="0" applyNumberFormat="1" applyFont="1" applyFill="1" applyBorder="1" applyAlignment="1">
      <alignment horizontal="center" vertical="center"/>
    </xf>
    <xf fontId="27" fillId="32" borderId="92" numFmtId="49" xfId="1" applyNumberFormat="1" applyFont="1" applyFill="1" applyBorder="1" applyAlignment="1">
      <alignment horizontal="center"/>
    </xf>
    <xf fontId="26" fillId="32" borderId="92" numFmtId="49" xfId="1" applyNumberFormat="1" applyFont="1" applyFill="1" applyBorder="1"/>
    <xf fontId="5" fillId="9" borderId="48" numFmtId="0" xfId="0" applyFont="1" applyFill="1" applyBorder="1" applyAlignment="1">
      <alignment horizontal="center" vertical="center"/>
    </xf>
    <xf fontId="0" fillId="0" borderId="70" numFmtId="0" xfId="0" applyBorder="1"/>
    <xf fontId="0" fillId="0" borderId="93" numFmtId="0" xfId="0" applyBorder="1"/>
    <xf fontId="0" fillId="0" borderId="54" numFmtId="0" xfId="0" applyBorder="1"/>
    <xf fontId="3" fillId="65" borderId="2" numFmtId="49" xfId="0" applyNumberFormat="1" applyFont="1" applyFill="1" applyBorder="1" applyAlignment="1">
      <alignment horizontal="center"/>
    </xf>
    <xf fontId="0" fillId="0" borderId="56" numFmtId="0" xfId="0" applyBorder="1"/>
    <xf fontId="3" fillId="66" borderId="2" numFmtId="49" xfId="0" applyNumberFormat="1" applyFont="1" applyFill="1" applyBorder="1" applyAlignment="1">
      <alignment horizontal="center"/>
    </xf>
    <xf fontId="0" fillId="0" borderId="94" numFmtId="0" xfId="0" applyBorder="1"/>
    <xf fontId="0" fillId="0" borderId="22" numFmtId="0" xfId="0" applyBorder="1"/>
    <xf fontId="0" fillId="0" borderId="42" numFmtId="0" xfId="0" applyBorder="1"/>
    <xf fontId="3" fillId="66" borderId="2" numFmtId="49" xfId="0" applyNumberFormat="1" applyFont="1" applyFill="1" applyBorder="1" applyAlignment="1">
      <alignment horizontal="center" vertical="center"/>
    </xf>
    <xf fontId="3" fillId="0" borderId="20" numFmtId="0" xfId="0" applyFont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worksheet" Target="worksheets/sheet12.xml"/><Relationship  Id="rId14" Type="http://schemas.openxmlformats.org/officeDocument/2006/relationships/worksheet" Target="worksheets/sheet13.xml"/><Relationship  Id="rId15" Type="http://schemas.openxmlformats.org/officeDocument/2006/relationships/worksheet" Target="worksheets/sheet14.xml"/><Relationship  Id="rId16" Type="http://schemas.openxmlformats.org/officeDocument/2006/relationships/theme" Target="theme/theme1.xml"/><Relationship  Id="rId17" Type="http://schemas.openxmlformats.org/officeDocument/2006/relationships/sharedStrings" Target="sharedStrings.xml"/><Relationship  Id="rId18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Кирилл Качаев" id="{90AF42EC-A24C-1A0C-3FAA-D9359A523610}" userId="oc8bb3pfv3o9_4B11154E-EF58-460E-A612-43C79A85C820" providerId="Teamlab"/>
  <person displayName="Пётр Пулиший" id="{1CE226FB-2118-3559-08E8-58B8E4BDBB76}" userId="oc8bb3pfv3o9_CEC32FE7-21A0-47C4-A0AB-16AFB465127D" providerId="Teamlab"/>
  <person displayName="Артем Рычков" id="{EC496D3A-C06E-83F1-40FF-C470AB96D85B}" userId="oc8bb3pfv3o9_C16A97AE-72DE-4EFD-A689-E89235F09FBE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8" dT="2026-05-26T10:02:13.96Z" personId="{90AF42EC-A24C-1A0C-3FAA-D9359A523610}" id="{475E7BDE-FAD9-5D8A-BC2E-257431067E7C}" done="0">
    <text xml:space="preserve">Помощь по задаче БАТ t0350579
</text>
  </threadedComment>
  <threadedComment ref="I108" dT="2026-05-28T15:06:18.88Z" personId="{90AF42EC-A24C-1A0C-3FAA-D9359A523610}" id="{3963C6CD-4325-F865-0998-E24A44CC1F64}" done="0">
    <text xml:space="preserve">+1ч, без обеда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3" dT="2026-03-26T11:13:03.63Z" personId="{1CE226FB-2118-3559-08E8-58B8E4BDBB76}" id="{2439F724-3FE9-F023-FBEF-1175AC9C5AB2}" done="0">
    <text xml:space="preserve">1-я неделя закрытия в 1-ой линии
</text>
  </threadedComment>
  <threadedComment ref="K72" dT="2026-04-26T16:03:35.71Z" personId="{EC496D3A-C06E-83F1-40FF-C470AB96D85B}" id="{4810C791-D9BF-2EA9-E1A8-CFB1750571E7}" done="0">
    <text xml:space="preserve">Помощь с критом по Часцам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60" dT="2026-03-19T15:29:42.09Z" personId="{EC496D3A-C06E-83F1-40FF-C470AB96D85B}" id="{175CC56F-FE24-AEEE-C231-9D5DB13BD641}" done="0">
    <text xml:space="preserve">Проблема с каширой
</text>
  </threadedComment>
  <threadedComment ref="I60" dT="2026-03-19T15:28:50.83Z" personId="{EC496D3A-C06E-83F1-40FF-C470AB96D85B}" id="{DB09666D-143E-1267-86E7-0311343E2BCD}" done="0">
    <text xml:space="preserve">Проблема с ответ хранением в клевере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O47" dT="2026-02-15T22:29:10.31Z" personId="{EC496D3A-C06E-83F1-40FF-C470AB96D85B}" id="{DBD721D0-E8F6-174C-94CB-6C3366CD331C}" done="0">
    <text xml:space="preserve">Проблема с приемкой перемещением в Константиново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66" dT="2026-01-22T16:19:36.67Z" personId="{EC496D3A-C06E-83F1-40FF-C470AB96D85B}" id="{6C710758-1F03-F4EF-4FB7-8E698AA0DCA4}" done="0">
    <text xml:space="preserve">Проблмы с РЗ в Константиново
</text>
  </threadedComment>
</ThreadedComments>
</file>

<file path=xl/worksheets/_rels/sheet8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9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10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1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/Relationships>
</file>

<file path=xl/worksheets/_rels/sheet1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5.xml"/><Relationship  Id="rId2" Type="http://schemas.openxmlformats.org/officeDocument/2006/relationships/comments" Target="../comments5.xml"/><Relationship 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N16" activeCellId="0" sqref="N16"/>
    </sheetView>
  </sheetViews>
  <sheetFormatPr defaultRowHeight="13.5"/>
  <cols>
    <col customWidth="1" min="1" max="1" width="14.109375"/>
    <col customWidth="1" min="2" max="2" width="11.109375"/>
    <col customWidth="1" min="3" max="3" width="5.5546875"/>
    <col customWidth="1" min="4" max="4" width="10.44140625"/>
    <col customWidth="1" min="5" max="5" width="5.5546875"/>
    <col customWidth="1" min="6" max="6" width="10.88671875"/>
    <col customWidth="1" min="7" max="7" width="5.5546875"/>
    <col customWidth="1" min="8" max="8" width="11.33203125"/>
    <col customWidth="1" min="9" max="9" width="5.5546875"/>
    <col customWidth="1" min="10" max="10" width="12.33203125"/>
    <col customWidth="1" min="11" max="11" width="5.5546875"/>
    <col customWidth="1" min="12" max="12" width="11"/>
    <col customWidth="1" min="13" max="13" width="5.5546875"/>
    <col customWidth="1" min="14" max="14" width="11.109375"/>
    <col customWidth="1" min="15" max="16" width="5.5546875"/>
    <col customWidth="1" min="17" max="17" width="7.109375"/>
    <col customWidth="1" min="18" max="18" width="13"/>
  </cols>
  <sheetData>
    <row r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ht="14.25">
      <c r="A2" s="14"/>
      <c r="B2" s="15" t="s">
        <v>3</v>
      </c>
      <c r="C2" s="15" t="s">
        <v>4</v>
      </c>
      <c r="D2" s="16" t="s">
        <v>5</v>
      </c>
      <c r="E2" s="16" t="s">
        <v>4</v>
      </c>
      <c r="F2" s="17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ht="14.25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ht="14.25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ht="14.25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ht="14.25">
      <c r="A6" s="6"/>
      <c r="B6" s="21"/>
      <c r="C6" s="21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ht="14.25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30"/>
      <c r="E8" s="30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ht="14.25">
      <c r="A10" s="42"/>
      <c r="B10" s="43" t="s">
        <v>17</v>
      </c>
      <c r="C10" s="44"/>
      <c r="D10" s="43" t="s">
        <v>18</v>
      </c>
      <c r="E10" s="44"/>
      <c r="F10" s="43" t="s">
        <v>19</v>
      </c>
      <c r="G10" s="44"/>
      <c r="H10" s="43" t="s">
        <v>20</v>
      </c>
      <c r="I10" s="44"/>
      <c r="J10" s="45" t="s">
        <v>21</v>
      </c>
      <c r="K10" s="46"/>
      <c r="L10" s="43" t="s">
        <v>22</v>
      </c>
      <c r="M10" s="44"/>
      <c r="N10" s="43" t="s">
        <v>23</v>
      </c>
      <c r="O10" s="44"/>
      <c r="P10" s="47" t="s">
        <v>24</v>
      </c>
      <c r="Q10" s="48"/>
      <c r="R10" s="42">
        <v>176</v>
      </c>
      <c r="S10" s="42"/>
      <c r="T10" s="49"/>
      <c r="U10" s="50">
        <v>176</v>
      </c>
      <c r="V10" s="50"/>
      <c r="W10" s="50"/>
      <c r="X10" s="51"/>
      <c r="Y10" s="7"/>
      <c r="Z10" s="7"/>
      <c r="AA10" s="7"/>
      <c r="AB10" s="13"/>
      <c r="AC10" s="13"/>
      <c r="AD10" s="13"/>
    </row>
    <row r="11" ht="14.25">
      <c r="A11" s="52"/>
      <c r="B11" s="53">
        <v>46356</v>
      </c>
      <c r="C11" s="53"/>
      <c r="D11" s="53">
        <v>46357</v>
      </c>
      <c r="E11" s="53"/>
      <c r="F11" s="53">
        <v>46358</v>
      </c>
      <c r="G11" s="53"/>
      <c r="H11" s="53">
        <v>46359</v>
      </c>
      <c r="I11" s="53"/>
      <c r="J11" s="53">
        <v>46360</v>
      </c>
      <c r="K11" s="53"/>
      <c r="L11" s="53">
        <v>46361</v>
      </c>
      <c r="M11" s="53"/>
      <c r="N11" s="53">
        <v>46362</v>
      </c>
      <c r="O11" s="54"/>
      <c r="P11" s="55" t="s">
        <v>25</v>
      </c>
      <c r="Q11" s="56" t="s">
        <v>26</v>
      </c>
      <c r="R11" s="57"/>
      <c r="S11" s="58"/>
      <c r="T11" s="59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ht="14.25">
      <c r="A12" s="64" t="s">
        <v>31</v>
      </c>
      <c r="B12" s="65"/>
      <c r="C12" s="65"/>
      <c r="D12" s="65" t="s">
        <v>32</v>
      </c>
      <c r="E12" s="65" t="s">
        <v>33</v>
      </c>
      <c r="F12" s="65" t="s">
        <v>32</v>
      </c>
      <c r="G12" s="65" t="s">
        <v>33</v>
      </c>
      <c r="H12" s="65" t="s">
        <v>32</v>
      </c>
      <c r="I12" s="65" t="s">
        <v>33</v>
      </c>
      <c r="J12" s="65" t="s">
        <v>32</v>
      </c>
      <c r="K12" s="65" t="s">
        <v>33</v>
      </c>
      <c r="L12" s="66"/>
      <c r="M12" s="66"/>
      <c r="N12" s="67"/>
      <c r="O12" s="67"/>
      <c r="P12" s="68">
        <f t="shared" ref="P12:P75" si="0">C12+E12+G12+I12+K12+M12+O12</f>
        <v>32</v>
      </c>
      <c r="Q12" s="69">
        <f>R10-P12</f>
        <v>144</v>
      </c>
      <c r="R12" s="70" t="str">
        <f t="shared" ref="R12:R75" si="1">A12</f>
        <v>Нетронин</v>
      </c>
      <c r="S12" s="71" t="s">
        <v>10</v>
      </c>
      <c r="T12" s="72" t="s">
        <v>9</v>
      </c>
      <c r="U12" s="73">
        <v>0</v>
      </c>
      <c r="V12" s="62"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ht="14.25">
      <c r="A13" s="75" t="s">
        <v>35</v>
      </c>
      <c r="B13" s="65"/>
      <c r="C13" s="65"/>
      <c r="D13" s="65" t="s">
        <v>32</v>
      </c>
      <c r="E13" s="65" t="s">
        <v>33</v>
      </c>
      <c r="F13" s="65" t="s">
        <v>32</v>
      </c>
      <c r="G13" s="65" t="s">
        <v>33</v>
      </c>
      <c r="H13" s="65" t="s">
        <v>32</v>
      </c>
      <c r="I13" s="65" t="s">
        <v>33</v>
      </c>
      <c r="J13" s="65" t="s">
        <v>32</v>
      </c>
      <c r="K13" s="65" t="s">
        <v>33</v>
      </c>
      <c r="L13" s="66"/>
      <c r="M13" s="66"/>
      <c r="N13" s="66"/>
      <c r="O13" s="66"/>
      <c r="P13" s="68">
        <f t="shared" si="0"/>
        <v>32</v>
      </c>
      <c r="Q13" s="69">
        <f>R10-P13</f>
        <v>144</v>
      </c>
      <c r="R13" s="70" t="str">
        <f t="shared" si="1"/>
        <v>Рычков</v>
      </c>
      <c r="S13" s="76" t="s">
        <v>10</v>
      </c>
      <c r="T13" s="77" t="s">
        <v>9</v>
      </c>
      <c r="U13" s="73">
        <f t="shared" ref="U13:U32" si="2">COUNTIF(T13,B13)+COUNTIF(T13,D13)+COUNTIF(T13,F13)+COUNTIF(T13,H13)+COUNTIF(T13,J13)+COUNTIF(T13,L13)+COUNTIF(T13,N13)</f>
        <v>0</v>
      </c>
      <c r="V13" s="62">
        <f t="shared" ref="V13:V32" si="3">COUNTIF(S13,B13)+COUNTIF(S13,D13)+COUNTIF(S13,F13)+COUNTIF(S13,H13)+COUNTIF(S13,J13)+COUNTIF(S13,L13)+COUNTIF(S13,N13)</f>
        <v>0</v>
      </c>
      <c r="W13" s="62"/>
      <c r="X13" s="74" t="s">
        <v>34</v>
      </c>
      <c r="Y13" s="7"/>
      <c r="Z13" s="7"/>
      <c r="AA13" s="7"/>
      <c r="AB13" s="13"/>
      <c r="AC13" s="13"/>
      <c r="AD13" s="13"/>
    </row>
    <row r="14" ht="14.25">
      <c r="A14" s="64" t="s">
        <v>36</v>
      </c>
      <c r="B14" s="78"/>
      <c r="C14" s="78"/>
      <c r="D14" s="78" t="s">
        <v>37</v>
      </c>
      <c r="E14" s="78">
        <v>8</v>
      </c>
      <c r="F14" s="78" t="s">
        <v>37</v>
      </c>
      <c r="G14" s="78">
        <v>8</v>
      </c>
      <c r="H14" s="78" t="s">
        <v>37</v>
      </c>
      <c r="I14" s="78">
        <v>8</v>
      </c>
      <c r="J14" s="78" t="s">
        <v>37</v>
      </c>
      <c r="K14" s="78">
        <v>8</v>
      </c>
      <c r="L14" s="66"/>
      <c r="M14" s="66"/>
      <c r="N14" s="66"/>
      <c r="O14" s="66"/>
      <c r="P14" s="68">
        <f t="shared" si="0"/>
        <v>32</v>
      </c>
      <c r="Q14" s="69">
        <f>R10-P14</f>
        <v>144</v>
      </c>
      <c r="R14" s="70" t="str">
        <f t="shared" si="1"/>
        <v>Колобашкин</v>
      </c>
      <c r="S14" s="76" t="s">
        <v>10</v>
      </c>
      <c r="T14" s="77" t="s">
        <v>9</v>
      </c>
      <c r="U14" s="73">
        <f t="shared" si="2"/>
        <v>0</v>
      </c>
      <c r="V14" s="62">
        <f t="shared" si="3"/>
        <v>0</v>
      </c>
      <c r="W14" s="62"/>
      <c r="X14" s="74" t="s">
        <v>38</v>
      </c>
      <c r="Y14" s="7"/>
      <c r="Z14" s="7"/>
      <c r="AA14" s="7"/>
      <c r="AB14" s="13"/>
      <c r="AC14" s="13"/>
      <c r="AD14" s="13"/>
    </row>
    <row r="15" ht="14.25">
      <c r="A15" s="64" t="s">
        <v>39</v>
      </c>
      <c r="B15" s="65"/>
      <c r="C15" s="65"/>
      <c r="D15" s="65" t="s">
        <v>32</v>
      </c>
      <c r="E15" s="65" t="s">
        <v>33</v>
      </c>
      <c r="F15" s="65" t="s">
        <v>32</v>
      </c>
      <c r="G15" s="65" t="s">
        <v>33</v>
      </c>
      <c r="H15" s="65" t="s">
        <v>32</v>
      </c>
      <c r="I15" s="65" t="s">
        <v>33</v>
      </c>
      <c r="J15" s="65" t="s">
        <v>32</v>
      </c>
      <c r="K15" s="65" t="s">
        <v>33</v>
      </c>
      <c r="L15" s="66"/>
      <c r="M15" s="66"/>
      <c r="N15" s="66"/>
      <c r="O15" s="66"/>
      <c r="P15" s="68">
        <f t="shared" si="0"/>
        <v>32</v>
      </c>
      <c r="Q15" s="69">
        <f>R10-P15</f>
        <v>144</v>
      </c>
      <c r="R15" s="70" t="str">
        <f t="shared" si="1"/>
        <v>Игумнов</v>
      </c>
      <c r="S15" s="76" t="s">
        <v>10</v>
      </c>
      <c r="T15" s="77" t="s">
        <v>9</v>
      </c>
      <c r="U15" s="73">
        <f t="shared" si="2"/>
        <v>0</v>
      </c>
      <c r="V15" s="62">
        <f t="shared" si="3"/>
        <v>0</v>
      </c>
      <c r="W15" s="62"/>
      <c r="X15" s="79" t="s">
        <v>34</v>
      </c>
      <c r="Y15" s="7"/>
      <c r="Z15" s="80"/>
      <c r="AA15" s="80"/>
      <c r="AB15" s="13"/>
      <c r="AC15" s="13"/>
      <c r="AD15" s="13"/>
    </row>
    <row r="16" ht="14.25">
      <c r="A16" s="64" t="s">
        <v>40</v>
      </c>
      <c r="B16" s="65"/>
      <c r="C16" s="65"/>
      <c r="D16" s="65" t="s">
        <v>32</v>
      </c>
      <c r="E16" s="65" t="s">
        <v>33</v>
      </c>
      <c r="F16" s="65" t="s">
        <v>32</v>
      </c>
      <c r="G16" s="65" t="s">
        <v>33</v>
      </c>
      <c r="H16" s="65" t="s">
        <v>32</v>
      </c>
      <c r="I16" s="65" t="s">
        <v>33</v>
      </c>
      <c r="J16" s="65" t="s">
        <v>32</v>
      </c>
      <c r="K16" s="65" t="s">
        <v>33</v>
      </c>
      <c r="L16" s="66"/>
      <c r="M16" s="66"/>
      <c r="N16" s="66" t="s">
        <v>41</v>
      </c>
      <c r="O16" s="66"/>
      <c r="P16" s="68">
        <f t="shared" si="0"/>
        <v>32</v>
      </c>
      <c r="Q16" s="69">
        <f>R10-P16</f>
        <v>144</v>
      </c>
      <c r="R16" s="70" t="str">
        <f t="shared" si="1"/>
        <v>Душин</v>
      </c>
      <c r="S16" s="76" t="s">
        <v>10</v>
      </c>
      <c r="T16" s="77" t="s">
        <v>9</v>
      </c>
      <c r="U16" s="73">
        <f t="shared" si="2"/>
        <v>0</v>
      </c>
      <c r="V16" s="62">
        <f t="shared" si="3"/>
        <v>0</v>
      </c>
      <c r="W16" s="62"/>
      <c r="X16" s="74" t="s">
        <v>38</v>
      </c>
      <c r="Y16" s="80"/>
      <c r="Z16" s="80"/>
      <c r="AA16" s="80"/>
      <c r="AB16" s="13"/>
      <c r="AC16" s="13"/>
      <c r="AD16" s="13"/>
    </row>
    <row r="17" ht="14.25">
      <c r="A17" s="64" t="s">
        <v>42</v>
      </c>
      <c r="B17" s="65"/>
      <c r="C17" s="65"/>
      <c r="D17" s="65" t="s">
        <v>32</v>
      </c>
      <c r="E17" s="65" t="s">
        <v>33</v>
      </c>
      <c r="F17" s="65" t="s">
        <v>32</v>
      </c>
      <c r="G17" s="65" t="s">
        <v>33</v>
      </c>
      <c r="H17" s="65" t="s">
        <v>32</v>
      </c>
      <c r="I17" s="65" t="s">
        <v>33</v>
      </c>
      <c r="J17" s="65" t="s">
        <v>32</v>
      </c>
      <c r="K17" s="65" t="s">
        <v>33</v>
      </c>
      <c r="L17" s="66"/>
      <c r="M17" s="66"/>
      <c r="N17" s="66"/>
      <c r="O17" s="66"/>
      <c r="P17" s="68">
        <f t="shared" si="0"/>
        <v>32</v>
      </c>
      <c r="Q17" s="69">
        <f>R10-P17</f>
        <v>144</v>
      </c>
      <c r="R17" s="70" t="str">
        <f t="shared" si="1"/>
        <v>Юращик</v>
      </c>
      <c r="S17" s="76" t="s">
        <v>10</v>
      </c>
      <c r="T17" s="77" t="s">
        <v>9</v>
      </c>
      <c r="U17" s="73">
        <f t="shared" si="2"/>
        <v>0</v>
      </c>
      <c r="V17" s="62">
        <f t="shared" si="3"/>
        <v>0</v>
      </c>
      <c r="W17" s="62"/>
      <c r="X17" s="74" t="s">
        <v>38</v>
      </c>
      <c r="Y17" s="80"/>
      <c r="Z17" s="80"/>
      <c r="AA17" s="80"/>
      <c r="AB17" s="13"/>
      <c r="AC17" s="13"/>
      <c r="AD17" s="13"/>
    </row>
    <row r="18" ht="14.25">
      <c r="A18" s="81" t="s">
        <v>43</v>
      </c>
      <c r="B18" s="78"/>
      <c r="C18" s="78"/>
      <c r="D18" s="78"/>
      <c r="E18" s="78" t="s">
        <v>4</v>
      </c>
      <c r="F18" s="82"/>
      <c r="G18" s="82"/>
      <c r="H18" s="66"/>
      <c r="I18" s="66"/>
      <c r="J18" s="83"/>
      <c r="K18" s="83" t="s">
        <v>4</v>
      </c>
      <c r="L18" s="83"/>
      <c r="M18" s="83" t="s">
        <v>4</v>
      </c>
      <c r="N18" s="82"/>
      <c r="O18" s="82"/>
      <c r="P18" s="68">
        <f t="shared" si="0"/>
        <v>36</v>
      </c>
      <c r="Q18" s="69">
        <f>U10-P18</f>
        <v>140</v>
      </c>
      <c r="R18" s="70" t="s">
        <v>43</v>
      </c>
      <c r="S18" s="71" t="s">
        <v>12</v>
      </c>
      <c r="T18" s="84" t="s">
        <v>11</v>
      </c>
      <c r="U18" s="85">
        <f t="shared" si="2"/>
        <v>0</v>
      </c>
      <c r="V18" s="86">
        <f t="shared" si="3"/>
        <v>0</v>
      </c>
      <c r="W18" s="86"/>
      <c r="X18" s="74" t="s">
        <v>44</v>
      </c>
      <c r="Y18" s="80"/>
      <c r="Z18" s="80"/>
      <c r="AA18" s="80"/>
      <c r="AB18" s="13"/>
      <c r="AC18" s="13"/>
      <c r="AD18" s="13"/>
    </row>
    <row r="19" ht="14.25">
      <c r="A19" s="81" t="s">
        <v>45</v>
      </c>
      <c r="B19" s="66"/>
      <c r="C19" s="66"/>
      <c r="D19" s="66"/>
      <c r="E19" s="66"/>
      <c r="F19" s="83"/>
      <c r="G19" s="83" t="s">
        <v>4</v>
      </c>
      <c r="H19" s="83"/>
      <c r="I19" s="83" t="s">
        <v>4</v>
      </c>
      <c r="J19" s="82"/>
      <c r="K19" s="82"/>
      <c r="L19" s="66"/>
      <c r="M19" s="66"/>
      <c r="N19" s="78"/>
      <c r="O19" s="78" t="s">
        <v>4</v>
      </c>
      <c r="P19" s="68">
        <f t="shared" si="0"/>
        <v>36</v>
      </c>
      <c r="Q19" s="69">
        <f>U10-P19</f>
        <v>140</v>
      </c>
      <c r="R19" s="70" t="str">
        <f t="shared" si="1"/>
        <v>Пузырь</v>
      </c>
      <c r="S19" s="76" t="s">
        <v>10</v>
      </c>
      <c r="T19" s="77" t="s">
        <v>9</v>
      </c>
      <c r="U19" s="73">
        <f t="shared" si="2"/>
        <v>0</v>
      </c>
      <c r="V19" s="62">
        <f t="shared" si="3"/>
        <v>0</v>
      </c>
      <c r="W19" s="62"/>
      <c r="X19" s="74" t="s">
        <v>34</v>
      </c>
      <c r="Y19" s="80"/>
      <c r="Z19" s="80"/>
      <c r="AA19" s="80"/>
      <c r="AB19" s="13"/>
      <c r="AC19" s="13"/>
      <c r="AD19" s="13"/>
    </row>
    <row r="20" ht="14.25">
      <c r="A20" s="81" t="s">
        <v>46</v>
      </c>
      <c r="B20" s="83"/>
      <c r="C20" s="83"/>
      <c r="D20" s="83"/>
      <c r="E20" s="83" t="s">
        <v>4</v>
      </c>
      <c r="F20" s="67"/>
      <c r="G20" s="67"/>
      <c r="H20" s="87"/>
      <c r="I20" s="87"/>
      <c r="J20" s="78"/>
      <c r="K20" s="78" t="s">
        <v>4</v>
      </c>
      <c r="L20" s="78"/>
      <c r="M20" s="78" t="s">
        <v>4</v>
      </c>
      <c r="N20" s="66"/>
      <c r="O20" s="66"/>
      <c r="P20" s="68">
        <f t="shared" si="0"/>
        <v>36</v>
      </c>
      <c r="Q20" s="69">
        <f>U10-P20</f>
        <v>140</v>
      </c>
      <c r="R20" s="70" t="str">
        <f t="shared" si="1"/>
        <v>Голышев</v>
      </c>
      <c r="S20" s="76" t="s">
        <v>10</v>
      </c>
      <c r="T20" s="77" t="s">
        <v>9</v>
      </c>
      <c r="U20" s="73">
        <f t="shared" si="2"/>
        <v>0</v>
      </c>
      <c r="V20" s="62">
        <f t="shared" si="3"/>
        <v>0</v>
      </c>
      <c r="W20" s="62"/>
      <c r="X20" s="74" t="s">
        <v>34</v>
      </c>
      <c r="Y20" s="80"/>
      <c r="Z20" s="7"/>
      <c r="AA20" s="7"/>
      <c r="AB20" s="13"/>
      <c r="AC20" s="13"/>
      <c r="AD20" s="13"/>
    </row>
    <row r="21" ht="14.25">
      <c r="A21" s="81" t="s">
        <v>47</v>
      </c>
      <c r="B21" s="67"/>
      <c r="C21" s="67"/>
      <c r="D21" s="67"/>
      <c r="E21" s="67"/>
      <c r="F21" s="78"/>
      <c r="G21" s="78" t="s">
        <v>4</v>
      </c>
      <c r="H21" s="78"/>
      <c r="I21" s="78" t="s">
        <v>4</v>
      </c>
      <c r="J21" s="66"/>
      <c r="K21" s="66"/>
      <c r="L21" s="67"/>
      <c r="M21" s="67"/>
      <c r="N21" s="83"/>
      <c r="O21" s="83" t="s">
        <v>4</v>
      </c>
      <c r="P21" s="68">
        <f t="shared" si="0"/>
        <v>36</v>
      </c>
      <c r="Q21" s="69">
        <f>U10-P21</f>
        <v>140</v>
      </c>
      <c r="R21" s="70" t="str">
        <f t="shared" si="1"/>
        <v>Торубара</v>
      </c>
      <c r="S21" s="76" t="s">
        <v>10</v>
      </c>
      <c r="T21" s="77" t="s">
        <v>9</v>
      </c>
      <c r="U21" s="73">
        <f t="shared" si="2"/>
        <v>0</v>
      </c>
      <c r="V21" s="62">
        <f t="shared" si="3"/>
        <v>0</v>
      </c>
      <c r="W21" s="62"/>
      <c r="X21" s="74" t="s">
        <v>34</v>
      </c>
      <c r="Y21" s="7"/>
      <c r="Z21" s="7"/>
      <c r="AA21" s="7"/>
      <c r="AB21" s="13"/>
      <c r="AC21" s="13"/>
      <c r="AD21" s="13"/>
    </row>
    <row r="22" ht="14.25">
      <c r="A22" s="81" t="s">
        <v>48</v>
      </c>
      <c r="B22" s="66"/>
      <c r="C22" s="66"/>
      <c r="D22" s="66"/>
      <c r="E22" s="66"/>
      <c r="F22" s="78"/>
      <c r="G22" s="78" t="s">
        <v>4</v>
      </c>
      <c r="H22" s="78"/>
      <c r="I22" s="78" t="s">
        <v>4</v>
      </c>
      <c r="J22" s="82"/>
      <c r="K22" s="82"/>
      <c r="L22" s="66"/>
      <c r="M22" s="66"/>
      <c r="N22" s="83"/>
      <c r="O22" s="83" t="s">
        <v>4</v>
      </c>
      <c r="P22" s="68">
        <f t="shared" si="0"/>
        <v>36</v>
      </c>
      <c r="Q22" s="69">
        <f>U10-P22</f>
        <v>140</v>
      </c>
      <c r="R22" s="70" t="str">
        <f t="shared" si="1"/>
        <v>Стрыгин</v>
      </c>
      <c r="S22" s="71" t="s">
        <v>8</v>
      </c>
      <c r="T22" s="72" t="s">
        <v>7</v>
      </c>
      <c r="U22" s="73">
        <f t="shared" si="2"/>
        <v>0</v>
      </c>
      <c r="V22" s="62">
        <f t="shared" si="3"/>
        <v>0</v>
      </c>
      <c r="W22" s="62"/>
      <c r="X22" s="74" t="s">
        <v>49</v>
      </c>
      <c r="Y22" s="7"/>
      <c r="Z22" s="7"/>
      <c r="AA22" s="7"/>
      <c r="AB22" s="13"/>
      <c r="AC22" s="13"/>
      <c r="AD22" s="13"/>
    </row>
    <row r="23" ht="14.25">
      <c r="A23" s="81" t="s">
        <v>50</v>
      </c>
      <c r="B23" s="78"/>
      <c r="C23" s="78"/>
      <c r="D23" s="78"/>
      <c r="E23" s="78" t="s">
        <v>4</v>
      </c>
      <c r="F23" s="82"/>
      <c r="G23" s="82"/>
      <c r="H23" s="66"/>
      <c r="I23" s="66"/>
      <c r="J23" s="83"/>
      <c r="K23" s="83" t="s">
        <v>4</v>
      </c>
      <c r="L23" s="83"/>
      <c r="M23" s="83" t="s">
        <v>4</v>
      </c>
      <c r="N23" s="82"/>
      <c r="O23" s="82"/>
      <c r="P23" s="68">
        <f t="shared" si="0"/>
        <v>36</v>
      </c>
      <c r="Q23" s="69">
        <f>U10-P23</f>
        <v>140</v>
      </c>
      <c r="R23" s="70" t="str">
        <f t="shared" si="1"/>
        <v>Фрик</v>
      </c>
      <c r="S23" s="71" t="s">
        <v>12</v>
      </c>
      <c r="T23" s="72" t="s">
        <v>11</v>
      </c>
      <c r="U23" s="73">
        <v>2</v>
      </c>
      <c r="V23" s="62">
        <f t="shared" si="3"/>
        <v>0</v>
      </c>
      <c r="W23" s="62"/>
      <c r="X23" s="74" t="s">
        <v>44</v>
      </c>
      <c r="Y23" s="7"/>
      <c r="Z23" s="7"/>
      <c r="AA23" s="7"/>
      <c r="AB23" s="13"/>
      <c r="AC23" s="13"/>
      <c r="AD23" s="13"/>
    </row>
    <row r="24" ht="14.25">
      <c r="A24" s="88" t="s">
        <v>51</v>
      </c>
      <c r="B24" s="66"/>
      <c r="C24" s="66"/>
      <c r="D24" s="66"/>
      <c r="E24" s="66"/>
      <c r="F24" s="83"/>
      <c r="G24" s="83" t="s">
        <v>4</v>
      </c>
      <c r="H24" s="83"/>
      <c r="I24" s="83" t="s">
        <v>4</v>
      </c>
      <c r="J24" s="66"/>
      <c r="K24" s="66"/>
      <c r="L24" s="82"/>
      <c r="M24" s="82"/>
      <c r="N24" s="78"/>
      <c r="O24" s="78" t="s">
        <v>4</v>
      </c>
      <c r="P24" s="68">
        <f t="shared" si="0"/>
        <v>36</v>
      </c>
      <c r="Q24" s="69">
        <f>U10-P25</f>
        <v>140</v>
      </c>
      <c r="R24" s="70" t="str">
        <f t="shared" si="1"/>
        <v>Истрашкин</v>
      </c>
      <c r="S24" s="71" t="s">
        <v>10</v>
      </c>
      <c r="T24" s="72" t="s">
        <v>9</v>
      </c>
      <c r="U24" s="73">
        <f t="shared" si="2"/>
        <v>0</v>
      </c>
      <c r="V24" s="62">
        <f t="shared" si="3"/>
        <v>0</v>
      </c>
      <c r="W24" s="50"/>
      <c r="X24" s="74" t="s">
        <v>34</v>
      </c>
      <c r="Y24" s="7"/>
      <c r="Z24" s="7"/>
      <c r="AA24" s="7"/>
      <c r="AB24" s="13"/>
      <c r="AC24" s="13"/>
      <c r="AD24" s="13"/>
    </row>
    <row r="25" ht="14.25">
      <c r="A25" s="88" t="s">
        <v>52</v>
      </c>
      <c r="B25" s="78"/>
      <c r="C25" s="89"/>
      <c r="D25" s="78"/>
      <c r="E25" s="89" t="s">
        <v>4</v>
      </c>
      <c r="F25" s="87"/>
      <c r="G25" s="87"/>
      <c r="H25" s="87"/>
      <c r="I25" s="87"/>
      <c r="J25" s="89"/>
      <c r="K25" s="78" t="s">
        <v>4</v>
      </c>
      <c r="L25" s="89"/>
      <c r="M25" s="78" t="s">
        <v>4</v>
      </c>
      <c r="N25" s="87"/>
      <c r="O25" s="87"/>
      <c r="P25" s="68">
        <f t="shared" si="0"/>
        <v>36</v>
      </c>
      <c r="Q25" s="69">
        <f>U10-P25</f>
        <v>140</v>
      </c>
      <c r="R25" s="70" t="s">
        <v>52</v>
      </c>
      <c r="S25" s="71" t="s">
        <v>8</v>
      </c>
      <c r="T25" s="72" t="s">
        <v>7</v>
      </c>
      <c r="U25" s="90"/>
      <c r="V25" s="62"/>
      <c r="W25" s="50"/>
      <c r="X25" s="91"/>
      <c r="Y25" s="7"/>
      <c r="Z25" s="7"/>
      <c r="AA25" s="7"/>
      <c r="AB25" s="13"/>
      <c r="AC25" s="13"/>
      <c r="AD25" s="13"/>
    </row>
    <row r="26" ht="14.25">
      <c r="A26" s="92"/>
      <c r="B26" s="53">
        <v>46356</v>
      </c>
      <c r="C26" s="53"/>
      <c r="D26" s="53">
        <v>46357</v>
      </c>
      <c r="E26" s="53"/>
      <c r="F26" s="53">
        <v>46358</v>
      </c>
      <c r="G26" s="53"/>
      <c r="H26" s="53">
        <v>46359</v>
      </c>
      <c r="I26" s="53"/>
      <c r="J26" s="53">
        <v>46360</v>
      </c>
      <c r="K26" s="53"/>
      <c r="L26" s="53">
        <v>46361</v>
      </c>
      <c r="M26" s="53"/>
      <c r="N26" s="53">
        <v>46362</v>
      </c>
      <c r="O26" s="54"/>
      <c r="P26" s="93"/>
      <c r="Q26" s="94"/>
      <c r="R26" s="58"/>
      <c r="S26" s="58"/>
      <c r="T26" s="95"/>
      <c r="U26" s="60" t="s">
        <v>27</v>
      </c>
      <c r="V26" s="61" t="s">
        <v>28</v>
      </c>
      <c r="W26" s="62" t="s">
        <v>29</v>
      </c>
      <c r="X26" s="96"/>
      <c r="Y26" s="7"/>
      <c r="Z26" s="7"/>
      <c r="AA26" s="7"/>
      <c r="AB26" s="13"/>
      <c r="AC26" s="13"/>
      <c r="AD26" s="13"/>
    </row>
    <row r="27" ht="14.25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8"/>
      <c r="S27" s="98"/>
      <c r="T27" s="99"/>
      <c r="U27" s="100"/>
      <c r="V27" s="100"/>
      <c r="W27" s="100"/>
      <c r="X27" s="7"/>
      <c r="Y27" s="7"/>
      <c r="Z27" s="7"/>
      <c r="AA27" s="7"/>
      <c r="AB27" s="13"/>
      <c r="AC27" s="13"/>
      <c r="AD27" s="13"/>
    </row>
    <row r="28" ht="14.25">
      <c r="A28" s="98"/>
      <c r="B28" s="101" t="s">
        <v>17</v>
      </c>
      <c r="C28" s="101"/>
      <c r="D28" s="101" t="s">
        <v>18</v>
      </c>
      <c r="E28" s="101"/>
      <c r="F28" s="101" t="s">
        <v>19</v>
      </c>
      <c r="G28" s="101"/>
      <c r="H28" s="101" t="s">
        <v>20</v>
      </c>
      <c r="I28" s="101"/>
      <c r="J28" s="102" t="s">
        <v>21</v>
      </c>
      <c r="K28" s="102"/>
      <c r="L28" s="101" t="s">
        <v>22</v>
      </c>
      <c r="M28" s="101"/>
      <c r="N28" s="101" t="s">
        <v>23</v>
      </c>
      <c r="O28" s="101"/>
      <c r="P28" s="101" t="s">
        <v>24</v>
      </c>
      <c r="Q28" s="101"/>
      <c r="R28" s="98"/>
      <c r="S28" s="98"/>
      <c r="T28" s="99"/>
      <c r="U28" s="100"/>
      <c r="V28" s="100"/>
      <c r="W28" s="100"/>
      <c r="X28" s="51"/>
      <c r="Y28" s="7"/>
      <c r="Z28" s="7"/>
      <c r="AA28" s="7"/>
      <c r="AB28" s="13"/>
      <c r="AC28" s="13"/>
      <c r="AD28" s="13"/>
    </row>
    <row r="29" ht="14.25">
      <c r="A29" s="98"/>
      <c r="B29" s="53">
        <v>46363</v>
      </c>
      <c r="C29" s="53"/>
      <c r="D29" s="53">
        <v>46364</v>
      </c>
      <c r="E29" s="53"/>
      <c r="F29" s="53">
        <v>46365</v>
      </c>
      <c r="G29" s="53"/>
      <c r="H29" s="53">
        <v>46366</v>
      </c>
      <c r="I29" s="53"/>
      <c r="J29" s="53">
        <v>46367</v>
      </c>
      <c r="K29" s="53"/>
      <c r="L29" s="53">
        <v>46368</v>
      </c>
      <c r="M29" s="53"/>
      <c r="N29" s="53">
        <v>46369</v>
      </c>
      <c r="O29" s="54"/>
      <c r="P29" s="103" t="s">
        <v>25</v>
      </c>
      <c r="Q29" s="101" t="s">
        <v>26</v>
      </c>
      <c r="R29" s="104"/>
      <c r="S29" s="98"/>
      <c r="T29" s="105"/>
      <c r="U29" s="15" t="s">
        <v>27</v>
      </c>
      <c r="V29" s="106" t="s">
        <v>28</v>
      </c>
      <c r="W29" s="100" t="s">
        <v>29</v>
      </c>
      <c r="X29" s="63" t="s">
        <v>30</v>
      </c>
      <c r="Y29" s="7"/>
      <c r="Z29" s="7"/>
      <c r="AA29" s="7"/>
      <c r="AB29" s="13"/>
      <c r="AC29" s="13"/>
      <c r="AD29" s="13"/>
    </row>
    <row r="30" ht="14.25">
      <c r="A30" s="64" t="s">
        <v>31</v>
      </c>
      <c r="B30" s="65" t="s">
        <v>32</v>
      </c>
      <c r="C30" s="65" t="s">
        <v>33</v>
      </c>
      <c r="D30" s="65" t="s">
        <v>32</v>
      </c>
      <c r="E30" s="65" t="s">
        <v>33</v>
      </c>
      <c r="F30" s="65" t="s">
        <v>32</v>
      </c>
      <c r="G30" s="65" t="s">
        <v>33</v>
      </c>
      <c r="H30" s="65" t="s">
        <v>32</v>
      </c>
      <c r="I30" s="65" t="s">
        <v>33</v>
      </c>
      <c r="J30" s="65" t="s">
        <v>32</v>
      </c>
      <c r="K30" s="65" t="s">
        <v>33</v>
      </c>
      <c r="L30" s="67"/>
      <c r="M30" s="67"/>
      <c r="N30" s="67"/>
      <c r="O30" s="67"/>
      <c r="P30" s="68">
        <f t="shared" si="0"/>
        <v>40</v>
      </c>
      <c r="Q30" s="69">
        <f t="shared" ref="Q30:Q93" si="4">Q12-P30</f>
        <v>104</v>
      </c>
      <c r="R30" s="70" t="str">
        <f t="shared" si="1"/>
        <v>Нетронин</v>
      </c>
      <c r="S30" s="71" t="s">
        <v>10</v>
      </c>
      <c r="T30" s="72" t="s">
        <v>9</v>
      </c>
      <c r="U30" s="73">
        <v>0</v>
      </c>
      <c r="V30" s="62">
        <v>0</v>
      </c>
      <c r="W30" s="62"/>
      <c r="X30" s="74" t="s">
        <v>34</v>
      </c>
      <c r="Y30" s="7"/>
      <c r="Z30" s="7"/>
      <c r="AA30" s="7"/>
      <c r="AB30" s="13"/>
      <c r="AC30" s="13"/>
      <c r="AD30" s="13"/>
    </row>
    <row r="31" ht="14.25">
      <c r="A31" s="64" t="s">
        <v>35</v>
      </c>
      <c r="B31" s="65" t="s">
        <v>32</v>
      </c>
      <c r="C31" s="65" t="s">
        <v>33</v>
      </c>
      <c r="D31" s="65" t="s">
        <v>32</v>
      </c>
      <c r="E31" s="65" t="s">
        <v>33</v>
      </c>
      <c r="F31" s="65" t="s">
        <v>32</v>
      </c>
      <c r="G31" s="65" t="s">
        <v>33</v>
      </c>
      <c r="H31" s="65" t="s">
        <v>32</v>
      </c>
      <c r="I31" s="65" t="s">
        <v>33</v>
      </c>
      <c r="J31" s="65" t="s">
        <v>32</v>
      </c>
      <c r="K31" s="65" t="s">
        <v>33</v>
      </c>
      <c r="L31" s="66"/>
      <c r="M31" s="66"/>
      <c r="N31" s="66"/>
      <c r="O31" s="66"/>
      <c r="P31" s="68">
        <f t="shared" si="0"/>
        <v>40</v>
      </c>
      <c r="Q31" s="69">
        <f t="shared" si="4"/>
        <v>104</v>
      </c>
      <c r="R31" s="70" t="str">
        <f t="shared" si="1"/>
        <v>Рычков</v>
      </c>
      <c r="S31" s="76" t="s">
        <v>10</v>
      </c>
      <c r="T31" s="77" t="s">
        <v>9</v>
      </c>
      <c r="U31" s="73">
        <f t="shared" si="2"/>
        <v>0</v>
      </c>
      <c r="V31" s="62">
        <f t="shared" si="3"/>
        <v>0</v>
      </c>
      <c r="W31" s="62"/>
      <c r="X31" s="74" t="s">
        <v>34</v>
      </c>
      <c r="Y31" s="7"/>
      <c r="Z31" s="7"/>
      <c r="AA31" s="7"/>
      <c r="AB31" s="13"/>
      <c r="AC31" s="13"/>
      <c r="AD31" s="13"/>
    </row>
    <row r="32" ht="14.25">
      <c r="A32" s="75" t="s">
        <v>36</v>
      </c>
      <c r="B32" s="78" t="s">
        <v>37</v>
      </c>
      <c r="C32" s="78">
        <v>8</v>
      </c>
      <c r="D32" s="78" t="s">
        <v>37</v>
      </c>
      <c r="E32" s="78">
        <v>8</v>
      </c>
      <c r="F32" s="78" t="s">
        <v>37</v>
      </c>
      <c r="G32" s="78">
        <v>8</v>
      </c>
      <c r="H32" s="78" t="s">
        <v>37</v>
      </c>
      <c r="I32" s="78">
        <v>8</v>
      </c>
      <c r="J32" s="78" t="s">
        <v>37</v>
      </c>
      <c r="K32" s="78">
        <v>8</v>
      </c>
      <c r="L32" s="66"/>
      <c r="M32" s="66"/>
      <c r="N32" s="66"/>
      <c r="O32" s="66"/>
      <c r="P32" s="68">
        <f t="shared" si="0"/>
        <v>40</v>
      </c>
      <c r="Q32" s="69">
        <f t="shared" si="4"/>
        <v>104</v>
      </c>
      <c r="R32" s="70" t="str">
        <f t="shared" si="1"/>
        <v>Колобашкин</v>
      </c>
      <c r="S32" s="76" t="s">
        <v>10</v>
      </c>
      <c r="T32" s="77" t="s">
        <v>9</v>
      </c>
      <c r="U32" s="73">
        <f t="shared" si="2"/>
        <v>0</v>
      </c>
      <c r="V32" s="62">
        <f t="shared" si="3"/>
        <v>0</v>
      </c>
      <c r="W32" s="62"/>
      <c r="X32" s="74" t="s">
        <v>38</v>
      </c>
      <c r="Y32" s="7"/>
      <c r="Z32" s="80"/>
      <c r="AA32" s="80"/>
      <c r="AB32" s="13"/>
      <c r="AC32" s="13"/>
      <c r="AD32" s="13"/>
    </row>
    <row r="33" ht="14.25">
      <c r="A33" s="64" t="s">
        <v>39</v>
      </c>
      <c r="B33" s="65" t="s">
        <v>32</v>
      </c>
      <c r="C33" s="65" t="s">
        <v>33</v>
      </c>
      <c r="D33" s="65" t="s">
        <v>32</v>
      </c>
      <c r="E33" s="65" t="s">
        <v>33</v>
      </c>
      <c r="F33" s="65" t="s">
        <v>32</v>
      </c>
      <c r="G33" s="65" t="s">
        <v>33</v>
      </c>
      <c r="H33" s="65" t="s">
        <v>32</v>
      </c>
      <c r="I33" s="65" t="s">
        <v>33</v>
      </c>
      <c r="J33" s="65" t="s">
        <v>32</v>
      </c>
      <c r="K33" s="65" t="s">
        <v>33</v>
      </c>
      <c r="L33" s="66"/>
      <c r="M33" s="66"/>
      <c r="N33" s="87"/>
      <c r="O33" s="66"/>
      <c r="P33" s="68">
        <f t="shared" si="0"/>
        <v>40</v>
      </c>
      <c r="Q33" s="69">
        <f t="shared" si="4"/>
        <v>104</v>
      </c>
      <c r="R33" s="70" t="str">
        <f t="shared" si="1"/>
        <v>Игумнов</v>
      </c>
      <c r="S33" s="76" t="s">
        <v>10</v>
      </c>
      <c r="T33" s="77" t="s">
        <v>9</v>
      </c>
      <c r="U33" s="73">
        <f>COUNTIF(T33,B33)+COUNTIF(T33,D33)+COUNTIF(T33,F33)+COUNTIF(T33,H33)+COUNTIF(T33,J33)+COUNTIF(T33,L33)+COUNTIF(T33,N34)</f>
        <v>0</v>
      </c>
      <c r="V33" s="62">
        <f>COUNTIF(S33,B33)+COUNTIF(S33,D33)+COUNTIF(S33,F33)+COUNTIF(S33,H33)+COUNTIF(S33,J33)+COUNTIF(S33,L33)+COUNTIF(S33,N34)</f>
        <v>0</v>
      </c>
      <c r="W33" s="62"/>
      <c r="X33" s="79" t="s">
        <v>34</v>
      </c>
      <c r="Y33" s="7"/>
      <c r="Z33" s="80"/>
      <c r="AA33" s="80"/>
      <c r="AB33" s="13"/>
      <c r="AC33" s="13"/>
      <c r="AD33" s="13"/>
    </row>
    <row r="34" ht="14.25">
      <c r="A34" s="64" t="s">
        <v>40</v>
      </c>
      <c r="B34" s="65" t="s">
        <v>32</v>
      </c>
      <c r="C34" s="65" t="s">
        <v>33</v>
      </c>
      <c r="D34" s="65" t="s">
        <v>32</v>
      </c>
      <c r="E34" s="65" t="s">
        <v>33</v>
      </c>
      <c r="F34" s="65" t="s">
        <v>32</v>
      </c>
      <c r="G34" s="65" t="s">
        <v>33</v>
      </c>
      <c r="H34" s="65" t="s">
        <v>32</v>
      </c>
      <c r="I34" s="65" t="s">
        <v>33</v>
      </c>
      <c r="J34" s="65" t="s">
        <v>32</v>
      </c>
      <c r="K34" s="65" t="s">
        <v>33</v>
      </c>
      <c r="L34" s="66"/>
      <c r="M34" s="66"/>
      <c r="N34" s="66"/>
      <c r="O34" s="66"/>
      <c r="P34" s="68">
        <f t="shared" si="0"/>
        <v>40</v>
      </c>
      <c r="Q34" s="69">
        <f t="shared" si="4"/>
        <v>104</v>
      </c>
      <c r="R34" s="70" t="str">
        <f t="shared" si="1"/>
        <v>Душин</v>
      </c>
      <c r="S34" s="76" t="s">
        <v>10</v>
      </c>
      <c r="T34" s="77" t="s">
        <v>9</v>
      </c>
      <c r="U34" s="73">
        <f>COUNTIF(T34,B34)+COUNTIF(T34,D34)+COUNTIF(T34,F34)+COUNTIF(T34,H34)+COUNTIF(T34,J34)+COUNTIF(T34,L34)+COUNTIF(T34,#REF!)</f>
        <v>0</v>
      </c>
      <c r="V34" s="62">
        <f>COUNTIF(S34,B34)+COUNTIF(S34,D34)+COUNTIF(S34,F34)+COUNTIF(S34,H34)+COUNTIF(S34,J34)+COUNTIF(S34,L34)+COUNTIF(S34,#REF!)</f>
        <v>0</v>
      </c>
      <c r="W34" s="62"/>
      <c r="X34" s="74" t="s">
        <v>38</v>
      </c>
      <c r="Y34" s="80"/>
      <c r="Z34" s="80"/>
      <c r="AA34" s="80"/>
      <c r="AB34" s="13"/>
      <c r="AC34" s="13"/>
      <c r="AD34" s="13"/>
    </row>
    <row r="35" ht="14.25">
      <c r="A35" s="64" t="s">
        <v>42</v>
      </c>
      <c r="B35" s="65" t="s">
        <v>32</v>
      </c>
      <c r="C35" s="65" t="s">
        <v>33</v>
      </c>
      <c r="D35" s="65" t="s">
        <v>32</v>
      </c>
      <c r="E35" s="65" t="s">
        <v>33</v>
      </c>
      <c r="F35" s="65" t="s">
        <v>32</v>
      </c>
      <c r="G35" s="65" t="s">
        <v>33</v>
      </c>
      <c r="H35" s="65" t="s">
        <v>32</v>
      </c>
      <c r="I35" s="65" t="s">
        <v>33</v>
      </c>
      <c r="J35" s="65" t="s">
        <v>32</v>
      </c>
      <c r="K35" s="65" t="s">
        <v>33</v>
      </c>
      <c r="L35" s="66"/>
      <c r="M35" s="66"/>
      <c r="N35" s="66"/>
      <c r="O35" s="66"/>
      <c r="P35" s="68">
        <f t="shared" si="0"/>
        <v>40</v>
      </c>
      <c r="Q35" s="69">
        <f t="shared" si="4"/>
        <v>104</v>
      </c>
      <c r="R35" s="70" t="str">
        <f t="shared" si="1"/>
        <v>Юращик</v>
      </c>
      <c r="S35" s="76" t="s">
        <v>10</v>
      </c>
      <c r="T35" s="77" t="s">
        <v>9</v>
      </c>
      <c r="U35" s="73">
        <f t="shared" ref="U35:U96" si="5">COUNTIF(T35,B35)+COUNTIF(T35,D35)+COUNTIF(T35,F35)+COUNTIF(T35,H35)+COUNTIF(T35,J35)+COUNTIF(T35,L35)+COUNTIF(T35,N35)</f>
        <v>0</v>
      </c>
      <c r="V35" s="62">
        <f t="shared" ref="V35:V69" si="6">COUNTIF(S35,B35)+COUNTIF(S35,D35)+COUNTIF(S35,F35)+COUNTIF(S35,H35)+COUNTIF(S35,J35)+COUNTIF(S35,L35)+COUNTIF(S35,N35)</f>
        <v>0</v>
      </c>
      <c r="W35" s="62"/>
      <c r="X35" s="74" t="s">
        <v>38</v>
      </c>
      <c r="Y35" s="80"/>
      <c r="Z35" s="80"/>
      <c r="AA35" s="80"/>
      <c r="AB35" s="13"/>
      <c r="AC35" s="13"/>
      <c r="AD35" s="13"/>
    </row>
    <row r="36" ht="14.25">
      <c r="A36" s="81" t="s">
        <v>43</v>
      </c>
      <c r="B36" s="67"/>
      <c r="C36" s="67"/>
      <c r="D36" s="78"/>
      <c r="E36" s="78" t="s">
        <v>33</v>
      </c>
      <c r="F36" s="78"/>
      <c r="G36" s="78" t="s">
        <v>4</v>
      </c>
      <c r="H36" s="66"/>
      <c r="I36" s="66"/>
      <c r="J36" s="66"/>
      <c r="K36" s="66"/>
      <c r="L36" s="87"/>
      <c r="M36" s="87"/>
      <c r="N36" s="83"/>
      <c r="O36" s="83" t="s">
        <v>4</v>
      </c>
      <c r="P36" s="68">
        <f t="shared" si="0"/>
        <v>32</v>
      </c>
      <c r="Q36" s="69">
        <f t="shared" si="4"/>
        <v>108</v>
      </c>
      <c r="R36" s="70" t="s">
        <v>43</v>
      </c>
      <c r="S36" s="71" t="s">
        <v>12</v>
      </c>
      <c r="T36" s="84" t="s">
        <v>11</v>
      </c>
      <c r="U36" s="85">
        <f t="shared" si="5"/>
        <v>0</v>
      </c>
      <c r="V36" s="86">
        <f t="shared" si="6"/>
        <v>0</v>
      </c>
      <c r="W36" s="86"/>
      <c r="X36" s="74" t="s">
        <v>44</v>
      </c>
      <c r="Y36" s="80"/>
      <c r="Z36" s="80"/>
      <c r="AA36" s="80"/>
      <c r="AB36" s="13"/>
      <c r="AC36" s="13"/>
      <c r="AD36" s="13"/>
    </row>
    <row r="37" ht="14.25">
      <c r="A37" s="81" t="s">
        <v>45</v>
      </c>
      <c r="B37" s="78"/>
      <c r="C37" s="78" t="s">
        <v>4</v>
      </c>
      <c r="D37" s="66"/>
      <c r="E37" s="66"/>
      <c r="F37" s="67"/>
      <c r="G37" s="67"/>
      <c r="H37" s="83"/>
      <c r="I37" s="83" t="s">
        <v>4</v>
      </c>
      <c r="J37" s="83"/>
      <c r="K37" s="83" t="s">
        <v>4</v>
      </c>
      <c r="L37" s="66"/>
      <c r="M37" s="66"/>
      <c r="N37" s="66"/>
      <c r="O37" s="66"/>
      <c r="P37" s="68">
        <f t="shared" si="0"/>
        <v>36</v>
      </c>
      <c r="Q37" s="69">
        <f t="shared" si="4"/>
        <v>104</v>
      </c>
      <c r="R37" s="70" t="str">
        <f t="shared" si="1"/>
        <v>Пузырь</v>
      </c>
      <c r="S37" s="76" t="s">
        <v>10</v>
      </c>
      <c r="T37" s="77" t="s">
        <v>9</v>
      </c>
      <c r="U37" s="73">
        <f t="shared" si="5"/>
        <v>0</v>
      </c>
      <c r="V37" s="62">
        <f t="shared" si="6"/>
        <v>0</v>
      </c>
      <c r="W37" s="62"/>
      <c r="X37" s="74" t="s">
        <v>34</v>
      </c>
      <c r="Y37" s="80"/>
      <c r="Z37" s="7"/>
      <c r="AA37" s="7"/>
      <c r="AB37" s="13"/>
      <c r="AC37" s="13"/>
      <c r="AD37" s="13"/>
    </row>
    <row r="38" ht="14.25">
      <c r="A38" s="81" t="s">
        <v>46</v>
      </c>
      <c r="B38" s="67"/>
      <c r="C38" s="67"/>
      <c r="D38" s="83"/>
      <c r="E38" s="83" t="s">
        <v>4</v>
      </c>
      <c r="F38" s="83"/>
      <c r="G38" s="83" t="s">
        <v>33</v>
      </c>
      <c r="H38" s="66"/>
      <c r="I38" s="66"/>
      <c r="J38" s="67"/>
      <c r="K38" s="67"/>
      <c r="L38" s="78"/>
      <c r="M38" s="78" t="s">
        <v>4</v>
      </c>
      <c r="N38" s="78"/>
      <c r="O38" s="78" t="s">
        <v>4</v>
      </c>
      <c r="P38" s="68">
        <f t="shared" si="0"/>
        <v>44</v>
      </c>
      <c r="Q38" s="69">
        <f t="shared" si="4"/>
        <v>96</v>
      </c>
      <c r="R38" s="70" t="str">
        <f t="shared" si="1"/>
        <v>Голышев</v>
      </c>
      <c r="S38" s="76" t="s">
        <v>10</v>
      </c>
      <c r="T38" s="77" t="s">
        <v>9</v>
      </c>
      <c r="U38" s="73">
        <f t="shared" si="5"/>
        <v>0</v>
      </c>
      <c r="V38" s="62">
        <f t="shared" si="6"/>
        <v>0</v>
      </c>
      <c r="W38" s="62"/>
      <c r="X38" s="74" t="s">
        <v>34</v>
      </c>
      <c r="Y38" s="80"/>
      <c r="Z38" s="7"/>
      <c r="AA38" s="7"/>
      <c r="AB38" s="13"/>
      <c r="AC38" s="13"/>
      <c r="AD38" s="13"/>
    </row>
    <row r="39" ht="14.25">
      <c r="A39" s="81" t="s">
        <v>47</v>
      </c>
      <c r="B39" s="83"/>
      <c r="C39" s="83" t="s">
        <v>4</v>
      </c>
      <c r="D39" s="66"/>
      <c r="E39" s="66"/>
      <c r="F39" s="66"/>
      <c r="G39" s="66"/>
      <c r="H39" s="78"/>
      <c r="I39" s="78" t="s">
        <v>4</v>
      </c>
      <c r="J39" s="78"/>
      <c r="K39" s="78" t="s">
        <v>4</v>
      </c>
      <c r="L39" s="66"/>
      <c r="M39" s="66"/>
      <c r="N39" s="66"/>
      <c r="O39" s="66"/>
      <c r="P39" s="68">
        <f t="shared" si="0"/>
        <v>36</v>
      </c>
      <c r="Q39" s="69">
        <f t="shared" si="4"/>
        <v>104</v>
      </c>
      <c r="R39" s="70" t="str">
        <f t="shared" si="1"/>
        <v>Торубара</v>
      </c>
      <c r="S39" s="76" t="s">
        <v>10</v>
      </c>
      <c r="T39" s="77" t="s">
        <v>9</v>
      </c>
      <c r="U39" s="73">
        <f t="shared" si="5"/>
        <v>0</v>
      </c>
      <c r="V39" s="62">
        <f t="shared" si="6"/>
        <v>0</v>
      </c>
      <c r="W39" s="62"/>
      <c r="X39" s="74" t="s">
        <v>34</v>
      </c>
      <c r="Y39" s="7"/>
      <c r="Z39" s="7"/>
      <c r="AA39" s="7"/>
      <c r="AB39" s="13"/>
      <c r="AC39" s="13"/>
      <c r="AD39" s="13"/>
    </row>
    <row r="40" ht="14.25">
      <c r="A40" s="81" t="s">
        <v>48</v>
      </c>
      <c r="B40" s="83"/>
      <c r="C40" s="83" t="s">
        <v>4</v>
      </c>
      <c r="D40" s="82"/>
      <c r="E40" s="82"/>
      <c r="F40" s="66"/>
      <c r="G40" s="66"/>
      <c r="H40" s="78"/>
      <c r="I40" s="78" t="s">
        <v>4</v>
      </c>
      <c r="J40" s="78"/>
      <c r="K40" s="78" t="s">
        <v>4</v>
      </c>
      <c r="L40" s="82"/>
      <c r="M40" s="82"/>
      <c r="N40" s="82"/>
      <c r="O40" s="82"/>
      <c r="P40" s="68">
        <f t="shared" si="0"/>
        <v>36</v>
      </c>
      <c r="Q40" s="69">
        <f t="shared" si="4"/>
        <v>104</v>
      </c>
      <c r="R40" s="70" t="str">
        <f t="shared" si="1"/>
        <v>Стрыгин</v>
      </c>
      <c r="S40" s="71" t="s">
        <v>8</v>
      </c>
      <c r="T40" s="72" t="s">
        <v>7</v>
      </c>
      <c r="U40" s="73">
        <f t="shared" si="5"/>
        <v>0</v>
      </c>
      <c r="V40" s="62">
        <f t="shared" si="6"/>
        <v>0</v>
      </c>
      <c r="W40" s="62"/>
      <c r="X40" s="74" t="s">
        <v>49</v>
      </c>
      <c r="Y40" s="7"/>
      <c r="Z40" s="7"/>
      <c r="AA40" s="7"/>
      <c r="AB40" s="13"/>
      <c r="AC40" s="13"/>
      <c r="AD40" s="13"/>
    </row>
    <row r="41" ht="14.25">
      <c r="A41" s="81" t="s">
        <v>50</v>
      </c>
      <c r="B41" s="67"/>
      <c r="C41" s="67"/>
      <c r="D41" s="78"/>
      <c r="E41" s="78" t="s">
        <v>4</v>
      </c>
      <c r="F41" s="78"/>
      <c r="G41" s="78" t="s">
        <v>4</v>
      </c>
      <c r="H41" s="66"/>
      <c r="I41" s="66"/>
      <c r="J41" s="66"/>
      <c r="K41" s="66"/>
      <c r="L41" s="83"/>
      <c r="M41" s="83" t="s">
        <v>4</v>
      </c>
      <c r="N41" s="83"/>
      <c r="O41" s="83" t="s">
        <v>4</v>
      </c>
      <c r="P41" s="68">
        <f t="shared" si="0"/>
        <v>48</v>
      </c>
      <c r="Q41" s="69">
        <f t="shared" si="4"/>
        <v>92</v>
      </c>
      <c r="R41" s="70" t="str">
        <f t="shared" si="1"/>
        <v>Фрик</v>
      </c>
      <c r="S41" s="71" t="s">
        <v>12</v>
      </c>
      <c r="T41" s="72" t="s">
        <v>11</v>
      </c>
      <c r="U41" s="73">
        <f t="shared" si="5"/>
        <v>0</v>
      </c>
      <c r="V41" s="62">
        <f t="shared" si="6"/>
        <v>0</v>
      </c>
      <c r="W41" s="62"/>
      <c r="X41" s="74" t="s">
        <v>44</v>
      </c>
      <c r="Y41" s="7"/>
      <c r="Z41" s="7"/>
      <c r="AA41" s="7"/>
      <c r="AB41" s="13"/>
      <c r="AC41" s="13"/>
      <c r="AD41" s="13"/>
    </row>
    <row r="42" ht="14.25">
      <c r="A42" s="88" t="s">
        <v>51</v>
      </c>
      <c r="B42" s="107"/>
      <c r="C42" s="107" t="s">
        <v>4</v>
      </c>
      <c r="D42" s="108"/>
      <c r="E42" s="108"/>
      <c r="F42" s="109"/>
      <c r="G42" s="109"/>
      <c r="H42" s="110"/>
      <c r="I42" s="110" t="s">
        <v>4</v>
      </c>
      <c r="J42" s="110"/>
      <c r="K42" s="110" t="s">
        <v>4</v>
      </c>
      <c r="L42" s="111"/>
      <c r="M42" s="111"/>
      <c r="N42" s="109"/>
      <c r="O42" s="109"/>
      <c r="P42" s="68">
        <f t="shared" si="0"/>
        <v>36</v>
      </c>
      <c r="Q42" s="69">
        <f t="shared" si="4"/>
        <v>104</v>
      </c>
      <c r="R42" s="70" t="str">
        <f t="shared" si="1"/>
        <v>Истрашкин</v>
      </c>
      <c r="S42" s="71" t="s">
        <v>10</v>
      </c>
      <c r="T42" s="72" t="s">
        <v>9</v>
      </c>
      <c r="U42" s="73">
        <f t="shared" si="5"/>
        <v>0</v>
      </c>
      <c r="V42" s="62">
        <f t="shared" si="6"/>
        <v>0</v>
      </c>
      <c r="W42" s="62"/>
      <c r="X42" s="74" t="s">
        <v>34</v>
      </c>
      <c r="Y42" s="7"/>
      <c r="Z42" s="7"/>
      <c r="AA42" s="7"/>
      <c r="AB42" s="13"/>
      <c r="AC42" s="13"/>
      <c r="AD42" s="13"/>
    </row>
    <row r="43" ht="14.25">
      <c r="A43" s="88" t="s">
        <v>52</v>
      </c>
      <c r="B43" s="87"/>
      <c r="C43" s="87"/>
      <c r="D43" s="112"/>
      <c r="E43" s="83" t="s">
        <v>4</v>
      </c>
      <c r="F43" s="112"/>
      <c r="G43" s="83" t="s">
        <v>4</v>
      </c>
      <c r="H43" s="87"/>
      <c r="I43" s="87"/>
      <c r="J43" s="87"/>
      <c r="K43" s="87"/>
      <c r="L43" s="112"/>
      <c r="M43" s="83" t="s">
        <v>4</v>
      </c>
      <c r="N43" s="112"/>
      <c r="O43" s="83" t="s">
        <v>4</v>
      </c>
      <c r="P43" s="68">
        <f t="shared" si="0"/>
        <v>48</v>
      </c>
      <c r="Q43" s="69">
        <f t="shared" si="4"/>
        <v>92</v>
      </c>
      <c r="R43" s="113" t="s">
        <v>52</v>
      </c>
      <c r="S43" s="71" t="s">
        <v>8</v>
      </c>
      <c r="T43" s="72" t="s">
        <v>7</v>
      </c>
      <c r="U43" s="90"/>
      <c r="V43" s="62"/>
      <c r="W43" s="62"/>
      <c r="X43" s="91"/>
      <c r="Y43" s="7"/>
      <c r="Z43" s="7"/>
      <c r="AA43" s="7"/>
      <c r="AB43" s="13"/>
      <c r="AC43" s="13"/>
      <c r="AD43" s="13"/>
    </row>
    <row r="44" ht="14.25">
      <c r="A44" s="97"/>
      <c r="B44" s="53">
        <v>46363</v>
      </c>
      <c r="C44" s="53"/>
      <c r="D44" s="53">
        <v>46364</v>
      </c>
      <c r="E44" s="53"/>
      <c r="F44" s="53">
        <v>46365</v>
      </c>
      <c r="G44" s="53"/>
      <c r="H44" s="53">
        <v>46366</v>
      </c>
      <c r="I44" s="53"/>
      <c r="J44" s="53">
        <v>46367</v>
      </c>
      <c r="K44" s="53"/>
      <c r="L44" s="53">
        <v>46368</v>
      </c>
      <c r="M44" s="53"/>
      <c r="N44" s="53">
        <v>46369</v>
      </c>
      <c r="O44" s="54"/>
      <c r="P44" s="114"/>
      <c r="Q44" s="82"/>
      <c r="R44" s="97"/>
      <c r="S44" s="98"/>
      <c r="T44" s="115"/>
      <c r="U44" s="100"/>
      <c r="V44" s="100"/>
      <c r="W44" s="100"/>
      <c r="X44" s="7"/>
      <c r="Y44" s="7"/>
      <c r="Z44" s="7"/>
      <c r="AA44" s="7"/>
      <c r="AB44" s="13"/>
      <c r="AC44" s="13"/>
      <c r="AD44" s="13"/>
    </row>
    <row r="45" ht="14.2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8"/>
      <c r="S45" s="98"/>
      <c r="T45" s="99"/>
      <c r="U45" s="100"/>
      <c r="V45" s="100"/>
      <c r="W45" s="100"/>
      <c r="X45" s="51"/>
      <c r="Y45" s="7"/>
      <c r="Z45" s="7"/>
      <c r="AA45" s="7"/>
      <c r="AB45" s="13"/>
      <c r="AC45" s="13"/>
      <c r="AD45" s="13"/>
    </row>
    <row r="46" ht="14.25">
      <c r="A46" s="52"/>
      <c r="B46" s="56" t="s">
        <v>17</v>
      </c>
      <c r="C46" s="116"/>
      <c r="D46" s="56" t="s">
        <v>18</v>
      </c>
      <c r="E46" s="116"/>
      <c r="F46" s="56" t="s">
        <v>19</v>
      </c>
      <c r="G46" s="56"/>
      <c r="H46" s="56" t="s">
        <v>20</v>
      </c>
      <c r="I46" s="116"/>
      <c r="J46" s="56" t="s">
        <v>21</v>
      </c>
      <c r="K46" s="56"/>
      <c r="L46" s="56" t="s">
        <v>22</v>
      </c>
      <c r="M46" s="56"/>
      <c r="N46" s="56" t="s">
        <v>23</v>
      </c>
      <c r="O46" s="56"/>
      <c r="P46" s="56" t="s">
        <v>24</v>
      </c>
      <c r="Q46" s="56"/>
      <c r="R46" s="52"/>
      <c r="S46" s="52"/>
      <c r="T46" s="117"/>
      <c r="U46" s="62"/>
      <c r="V46" s="62"/>
      <c r="W46" s="62"/>
      <c r="X46" s="63"/>
      <c r="Y46" s="7"/>
      <c r="Z46" s="7"/>
      <c r="AA46" s="7"/>
      <c r="AB46" s="13"/>
      <c r="AC46" s="13"/>
      <c r="AD46" s="13"/>
    </row>
    <row r="47" ht="14.25">
      <c r="A47" s="52"/>
      <c r="B47" s="53">
        <v>46370</v>
      </c>
      <c r="C47" s="53"/>
      <c r="D47" s="53">
        <v>46371</v>
      </c>
      <c r="E47" s="53"/>
      <c r="F47" s="53">
        <v>46372</v>
      </c>
      <c r="G47" s="53"/>
      <c r="H47" s="53">
        <v>46373</v>
      </c>
      <c r="I47" s="53"/>
      <c r="J47" s="53">
        <v>46374</v>
      </c>
      <c r="K47" s="53"/>
      <c r="L47" s="53">
        <v>46375</v>
      </c>
      <c r="M47" s="53"/>
      <c r="N47" s="53">
        <v>46376</v>
      </c>
      <c r="O47" s="54"/>
      <c r="P47" s="55" t="s">
        <v>25</v>
      </c>
      <c r="Q47" s="56" t="s">
        <v>26</v>
      </c>
      <c r="R47" s="118"/>
      <c r="S47" s="52"/>
      <c r="T47" s="119"/>
      <c r="U47" s="60" t="s">
        <v>27</v>
      </c>
      <c r="V47" s="61" t="s">
        <v>28</v>
      </c>
      <c r="W47" s="62" t="s">
        <v>29</v>
      </c>
      <c r="X47" s="63" t="s">
        <v>30</v>
      </c>
      <c r="Y47" s="7"/>
      <c r="Z47" s="7"/>
      <c r="AA47" s="7"/>
      <c r="AB47" s="13"/>
      <c r="AC47" s="13"/>
      <c r="AD47" s="13"/>
    </row>
    <row r="48" ht="14.25">
      <c r="A48" s="64" t="s">
        <v>31</v>
      </c>
      <c r="B48" s="65" t="s">
        <v>32</v>
      </c>
      <c r="C48" s="65" t="s">
        <v>33</v>
      </c>
      <c r="D48" s="65" t="s">
        <v>32</v>
      </c>
      <c r="E48" s="65" t="s">
        <v>33</v>
      </c>
      <c r="F48" s="65" t="s">
        <v>32</v>
      </c>
      <c r="G48" s="65" t="s">
        <v>33</v>
      </c>
      <c r="H48" s="65" t="s">
        <v>32</v>
      </c>
      <c r="I48" s="65" t="s">
        <v>33</v>
      </c>
      <c r="J48" s="65" t="s">
        <v>32</v>
      </c>
      <c r="K48" s="65" t="s">
        <v>33</v>
      </c>
      <c r="L48" s="67"/>
      <c r="M48" s="67"/>
      <c r="N48" s="67"/>
      <c r="O48" s="67"/>
      <c r="P48" s="68">
        <f t="shared" si="0"/>
        <v>40</v>
      </c>
      <c r="Q48" s="69">
        <f t="shared" si="4"/>
        <v>64</v>
      </c>
      <c r="R48" s="70" t="str">
        <f t="shared" si="1"/>
        <v>Нетронин</v>
      </c>
      <c r="S48" s="71" t="s">
        <v>10</v>
      </c>
      <c r="T48" s="72" t="s">
        <v>9</v>
      </c>
      <c r="U48" s="73">
        <f t="shared" si="5"/>
        <v>0</v>
      </c>
      <c r="V48" s="62">
        <f t="shared" si="6"/>
        <v>0</v>
      </c>
      <c r="W48" s="62"/>
      <c r="X48" s="74" t="s">
        <v>34</v>
      </c>
      <c r="Y48" s="7"/>
      <c r="Z48" s="7"/>
      <c r="AA48" s="7"/>
      <c r="AB48" s="13"/>
      <c r="AC48" s="13"/>
      <c r="AD48" s="13"/>
    </row>
    <row r="49" ht="14.25">
      <c r="A49" s="64" t="s">
        <v>35</v>
      </c>
      <c r="B49" s="120"/>
      <c r="C49" s="120" t="s">
        <v>33</v>
      </c>
      <c r="D49" s="120"/>
      <c r="E49" s="120" t="s">
        <v>33</v>
      </c>
      <c r="F49" s="120"/>
      <c r="G49" s="120" t="s">
        <v>33</v>
      </c>
      <c r="H49" s="120"/>
      <c r="I49" s="120" t="s">
        <v>33</v>
      </c>
      <c r="J49" s="120"/>
      <c r="K49" s="120" t="s">
        <v>33</v>
      </c>
      <c r="L49" s="120"/>
      <c r="M49" s="120"/>
      <c r="N49" s="120"/>
      <c r="O49" s="120"/>
      <c r="P49" s="68">
        <f t="shared" si="0"/>
        <v>40</v>
      </c>
      <c r="Q49" s="69">
        <f t="shared" si="4"/>
        <v>64</v>
      </c>
      <c r="R49" s="70" t="str">
        <f t="shared" si="1"/>
        <v>Рычков</v>
      </c>
      <c r="S49" s="76" t="s">
        <v>10</v>
      </c>
      <c r="T49" s="77" t="s">
        <v>9</v>
      </c>
      <c r="U49" s="73">
        <f t="shared" si="5"/>
        <v>0</v>
      </c>
      <c r="V49" s="62">
        <f t="shared" si="6"/>
        <v>0</v>
      </c>
      <c r="W49" s="62"/>
      <c r="X49" s="74" t="s">
        <v>34</v>
      </c>
      <c r="Y49" s="7"/>
      <c r="Z49" s="7"/>
      <c r="AA49" s="7"/>
      <c r="AB49" s="13"/>
      <c r="AC49" s="13"/>
      <c r="AD49" s="13"/>
    </row>
    <row r="50" ht="14.25">
      <c r="A50" s="75" t="s">
        <v>36</v>
      </c>
      <c r="B50" s="78" t="s">
        <v>37</v>
      </c>
      <c r="C50" s="78">
        <v>8</v>
      </c>
      <c r="D50" s="78" t="s">
        <v>37</v>
      </c>
      <c r="E50" s="78">
        <v>8</v>
      </c>
      <c r="F50" s="78" t="s">
        <v>37</v>
      </c>
      <c r="G50" s="78">
        <v>8</v>
      </c>
      <c r="H50" s="78" t="s">
        <v>37</v>
      </c>
      <c r="I50" s="78">
        <v>8</v>
      </c>
      <c r="J50" s="78" t="s">
        <v>37</v>
      </c>
      <c r="K50" s="78">
        <v>8</v>
      </c>
      <c r="L50" s="66"/>
      <c r="M50" s="66"/>
      <c r="N50" s="66"/>
      <c r="O50" s="66"/>
      <c r="P50" s="68">
        <f t="shared" si="0"/>
        <v>40</v>
      </c>
      <c r="Q50" s="69">
        <f t="shared" si="4"/>
        <v>64</v>
      </c>
      <c r="R50" s="70" t="str">
        <f t="shared" si="1"/>
        <v>Колобашкин</v>
      </c>
      <c r="S50" s="76" t="s">
        <v>10</v>
      </c>
      <c r="T50" s="77" t="s">
        <v>9</v>
      </c>
      <c r="U50" s="73">
        <f t="shared" si="5"/>
        <v>0</v>
      </c>
      <c r="V50" s="62">
        <f t="shared" si="6"/>
        <v>0</v>
      </c>
      <c r="W50" s="62"/>
      <c r="X50" s="74" t="s">
        <v>38</v>
      </c>
      <c r="Y50" s="7"/>
      <c r="Z50" s="7"/>
      <c r="AA50" s="7"/>
      <c r="AB50" s="13"/>
      <c r="AC50" s="13"/>
      <c r="AD50" s="13"/>
    </row>
    <row r="51" ht="14.25">
      <c r="A51" s="64" t="s">
        <v>39</v>
      </c>
      <c r="B51" s="65" t="s">
        <v>32</v>
      </c>
      <c r="C51" s="65" t="s">
        <v>33</v>
      </c>
      <c r="D51" s="65" t="s">
        <v>32</v>
      </c>
      <c r="E51" s="65" t="s">
        <v>33</v>
      </c>
      <c r="F51" s="65" t="s">
        <v>32</v>
      </c>
      <c r="G51" s="65" t="s">
        <v>33</v>
      </c>
      <c r="H51" s="65" t="s">
        <v>32</v>
      </c>
      <c r="I51" s="65" t="s">
        <v>33</v>
      </c>
      <c r="J51" s="65" t="s">
        <v>32</v>
      </c>
      <c r="K51" s="65" t="s">
        <v>33</v>
      </c>
      <c r="L51" s="66"/>
      <c r="M51" s="66"/>
      <c r="N51" s="66"/>
      <c r="O51" s="66"/>
      <c r="P51" s="68">
        <f t="shared" si="0"/>
        <v>40</v>
      </c>
      <c r="Q51" s="69">
        <f t="shared" si="4"/>
        <v>64</v>
      </c>
      <c r="R51" s="70" t="str">
        <f t="shared" si="1"/>
        <v>Игумнов</v>
      </c>
      <c r="S51" s="76" t="s">
        <v>10</v>
      </c>
      <c r="T51" s="77" t="s">
        <v>9</v>
      </c>
      <c r="U51" s="73">
        <f t="shared" si="5"/>
        <v>0</v>
      </c>
      <c r="V51" s="62">
        <f t="shared" si="6"/>
        <v>0</v>
      </c>
      <c r="W51" s="62"/>
      <c r="X51" s="79" t="s">
        <v>34</v>
      </c>
      <c r="Y51" s="7"/>
      <c r="Z51" s="7"/>
      <c r="AA51" s="7"/>
      <c r="AB51" s="13"/>
      <c r="AC51" s="13"/>
      <c r="AD51" s="13"/>
    </row>
    <row r="52" ht="14.25">
      <c r="A52" s="64" t="s">
        <v>40</v>
      </c>
      <c r="B52" s="65" t="s">
        <v>32</v>
      </c>
      <c r="C52" s="65" t="s">
        <v>33</v>
      </c>
      <c r="D52" s="65" t="s">
        <v>32</v>
      </c>
      <c r="E52" s="65" t="s">
        <v>33</v>
      </c>
      <c r="F52" s="65" t="s">
        <v>32</v>
      </c>
      <c r="G52" s="65" t="s">
        <v>33</v>
      </c>
      <c r="H52" s="65" t="s">
        <v>32</v>
      </c>
      <c r="I52" s="65" t="s">
        <v>33</v>
      </c>
      <c r="J52" s="65" t="s">
        <v>32</v>
      </c>
      <c r="K52" s="65" t="s">
        <v>33</v>
      </c>
      <c r="L52" s="66"/>
      <c r="M52" s="66"/>
      <c r="N52" s="66"/>
      <c r="O52" s="66"/>
      <c r="P52" s="68">
        <f t="shared" si="0"/>
        <v>40</v>
      </c>
      <c r="Q52" s="69">
        <f t="shared" si="4"/>
        <v>64</v>
      </c>
      <c r="R52" s="70" t="str">
        <f t="shared" si="1"/>
        <v>Душин</v>
      </c>
      <c r="S52" s="76" t="s">
        <v>10</v>
      </c>
      <c r="T52" s="77" t="s">
        <v>9</v>
      </c>
      <c r="U52" s="73">
        <f t="shared" si="5"/>
        <v>0</v>
      </c>
      <c r="V52" s="62">
        <f t="shared" si="6"/>
        <v>0</v>
      </c>
      <c r="W52" s="62"/>
      <c r="X52" s="74" t="s">
        <v>38</v>
      </c>
      <c r="Y52" s="7"/>
      <c r="Z52" s="7"/>
      <c r="AA52" s="7"/>
      <c r="AB52" s="13"/>
      <c r="AC52" s="13"/>
      <c r="AD52" s="13"/>
    </row>
    <row r="53" ht="14.25">
      <c r="A53" s="64" t="s">
        <v>42</v>
      </c>
      <c r="B53" s="65" t="s">
        <v>32</v>
      </c>
      <c r="C53" s="65" t="s">
        <v>33</v>
      </c>
      <c r="D53" s="65" t="s">
        <v>32</v>
      </c>
      <c r="E53" s="65" t="s">
        <v>33</v>
      </c>
      <c r="F53" s="65" t="s">
        <v>32</v>
      </c>
      <c r="G53" s="65" t="s">
        <v>33</v>
      </c>
      <c r="H53" s="65" t="s">
        <v>32</v>
      </c>
      <c r="I53" s="65" t="s">
        <v>33</v>
      </c>
      <c r="J53" s="65" t="s">
        <v>32</v>
      </c>
      <c r="K53" s="65" t="s">
        <v>33</v>
      </c>
      <c r="L53" s="66"/>
      <c r="M53" s="66"/>
      <c r="N53" s="66"/>
      <c r="O53" s="66"/>
      <c r="P53" s="68">
        <f t="shared" si="0"/>
        <v>40</v>
      </c>
      <c r="Q53" s="69">
        <f t="shared" si="4"/>
        <v>64</v>
      </c>
      <c r="R53" s="70" t="str">
        <f t="shared" si="1"/>
        <v>Юращик</v>
      </c>
      <c r="S53" s="76" t="s">
        <v>10</v>
      </c>
      <c r="T53" s="77" t="s">
        <v>9</v>
      </c>
      <c r="U53" s="73"/>
      <c r="V53" s="62"/>
      <c r="W53" s="62"/>
      <c r="X53" s="74" t="s">
        <v>38</v>
      </c>
      <c r="Y53" s="7"/>
      <c r="Z53" s="7"/>
      <c r="AA53" s="7"/>
      <c r="AB53" s="13"/>
      <c r="AC53" s="13"/>
      <c r="AD53" s="13"/>
    </row>
    <row r="54" ht="14.25">
      <c r="A54" s="81" t="s">
        <v>43</v>
      </c>
      <c r="B54" s="87"/>
      <c r="C54" s="87"/>
      <c r="D54" s="67"/>
      <c r="E54" s="67"/>
      <c r="F54" s="76"/>
      <c r="G54" s="76" t="s">
        <v>4</v>
      </c>
      <c r="H54" s="76"/>
      <c r="I54" s="76" t="s">
        <v>4</v>
      </c>
      <c r="J54" s="87"/>
      <c r="K54" s="87"/>
      <c r="L54" s="82"/>
      <c r="M54" s="82"/>
      <c r="N54" s="83"/>
      <c r="O54" s="83" t="s">
        <v>4</v>
      </c>
      <c r="P54" s="68">
        <f t="shared" si="0"/>
        <v>36</v>
      </c>
      <c r="Q54" s="69">
        <f t="shared" si="4"/>
        <v>72</v>
      </c>
      <c r="R54" s="70" t="s">
        <v>43</v>
      </c>
      <c r="S54" s="71" t="s">
        <v>12</v>
      </c>
      <c r="T54" s="84" t="s">
        <v>11</v>
      </c>
      <c r="U54" s="85">
        <f t="shared" si="5"/>
        <v>0</v>
      </c>
      <c r="V54" s="86">
        <f t="shared" si="6"/>
        <v>0</v>
      </c>
      <c r="W54" s="86"/>
      <c r="X54" s="74" t="s">
        <v>44</v>
      </c>
      <c r="Y54" s="80"/>
      <c r="Z54" s="80"/>
      <c r="AA54" s="80"/>
      <c r="AB54" s="13"/>
      <c r="AC54" s="13"/>
      <c r="AD54" s="13"/>
    </row>
    <row r="55" ht="14.25">
      <c r="A55" s="121" t="s">
        <v>45</v>
      </c>
      <c r="B55" s="78"/>
      <c r="C55" s="78" t="s">
        <v>4</v>
      </c>
      <c r="D55" s="78"/>
      <c r="E55" s="78" t="s">
        <v>4</v>
      </c>
      <c r="F55" s="66"/>
      <c r="G55" s="66"/>
      <c r="H55" s="67"/>
      <c r="I55" s="67"/>
      <c r="J55" s="83"/>
      <c r="K55" s="83" t="s">
        <v>33</v>
      </c>
      <c r="L55" s="83"/>
      <c r="M55" s="83" t="s">
        <v>4</v>
      </c>
      <c r="N55" s="87"/>
      <c r="O55" s="87"/>
      <c r="P55" s="68">
        <f t="shared" si="0"/>
        <v>44</v>
      </c>
      <c r="Q55" s="69">
        <f t="shared" si="4"/>
        <v>60</v>
      </c>
      <c r="R55" s="70" t="str">
        <f t="shared" si="1"/>
        <v>Пузырь</v>
      </c>
      <c r="S55" s="76" t="s">
        <v>10</v>
      </c>
      <c r="T55" s="77" t="s">
        <v>9</v>
      </c>
      <c r="U55" s="73">
        <f t="shared" si="5"/>
        <v>0</v>
      </c>
      <c r="V55" s="62">
        <f t="shared" si="6"/>
        <v>0</v>
      </c>
      <c r="W55" s="62"/>
      <c r="X55" s="74" t="s">
        <v>34</v>
      </c>
      <c r="Y55" s="7"/>
      <c r="Z55" s="7"/>
      <c r="AA55" s="7"/>
      <c r="AB55" s="13"/>
      <c r="AC55" s="13"/>
      <c r="AD55" s="13"/>
    </row>
    <row r="56" ht="14.25">
      <c r="A56" s="121" t="s">
        <v>46</v>
      </c>
      <c r="B56" s="66"/>
      <c r="C56" s="66"/>
      <c r="D56" s="67"/>
      <c r="E56" s="67"/>
      <c r="F56" s="83"/>
      <c r="G56" s="83" t="s">
        <v>4</v>
      </c>
      <c r="H56" s="120"/>
      <c r="I56" s="120" t="s">
        <v>33</v>
      </c>
      <c r="J56" s="122"/>
      <c r="K56" s="122" t="s">
        <v>33</v>
      </c>
      <c r="L56" s="123"/>
      <c r="M56" s="123"/>
      <c r="N56" s="124"/>
      <c r="O56" s="124"/>
      <c r="P56" s="68">
        <f t="shared" si="0"/>
        <v>28</v>
      </c>
      <c r="Q56" s="69">
        <f t="shared" si="4"/>
        <v>68</v>
      </c>
      <c r="R56" s="70" t="str">
        <f t="shared" si="1"/>
        <v>Голышев</v>
      </c>
      <c r="S56" s="76" t="s">
        <v>10</v>
      </c>
      <c r="T56" s="77" t="s">
        <v>9</v>
      </c>
      <c r="U56" s="73">
        <f t="shared" si="5"/>
        <v>0</v>
      </c>
      <c r="V56" s="62">
        <f t="shared" si="6"/>
        <v>0</v>
      </c>
      <c r="W56" s="62"/>
      <c r="X56" s="74" t="s">
        <v>34</v>
      </c>
      <c r="Y56" s="7"/>
      <c r="Z56" s="7"/>
      <c r="AA56" s="7"/>
      <c r="AB56" s="13"/>
      <c r="AC56" s="13"/>
      <c r="AD56" s="13"/>
    </row>
    <row r="57" ht="14.25">
      <c r="A57" s="121" t="s">
        <v>47</v>
      </c>
      <c r="B57" s="83"/>
      <c r="C57" s="83" t="s">
        <v>4</v>
      </c>
      <c r="D57" s="83"/>
      <c r="E57" s="83" t="s">
        <v>4</v>
      </c>
      <c r="F57" s="66"/>
      <c r="G57" s="66"/>
      <c r="H57" s="66"/>
      <c r="I57" s="66"/>
      <c r="J57" s="78"/>
      <c r="K57" s="78" t="s">
        <v>4</v>
      </c>
      <c r="L57" s="78"/>
      <c r="M57" s="78" t="s">
        <v>4</v>
      </c>
      <c r="N57" s="87"/>
      <c r="O57" s="87"/>
      <c r="P57" s="68">
        <f t="shared" si="0"/>
        <v>48</v>
      </c>
      <c r="Q57" s="69">
        <f t="shared" si="4"/>
        <v>56</v>
      </c>
      <c r="R57" s="70" t="str">
        <f t="shared" si="1"/>
        <v>Торубара</v>
      </c>
      <c r="S57" s="76" t="s">
        <v>10</v>
      </c>
      <c r="T57" s="77" t="s">
        <v>9</v>
      </c>
      <c r="U57" s="73">
        <f t="shared" si="5"/>
        <v>0</v>
      </c>
      <c r="V57" s="62">
        <f t="shared" si="6"/>
        <v>0</v>
      </c>
      <c r="W57" s="62"/>
      <c r="X57" s="74" t="s">
        <v>34</v>
      </c>
      <c r="Y57" s="7"/>
      <c r="Z57" s="7"/>
      <c r="AA57" s="7"/>
      <c r="AB57" s="13"/>
      <c r="AC57" s="13"/>
      <c r="AD57" s="13"/>
    </row>
    <row r="58" ht="14.25">
      <c r="A58" s="121" t="s">
        <v>48</v>
      </c>
      <c r="B58" s="83"/>
      <c r="C58" s="83" t="s">
        <v>4</v>
      </c>
      <c r="D58" s="83"/>
      <c r="E58" s="83" t="s">
        <v>4</v>
      </c>
      <c r="F58" s="66"/>
      <c r="G58" s="66"/>
      <c r="H58" s="82"/>
      <c r="I58" s="82"/>
      <c r="J58" s="78"/>
      <c r="K58" s="78" t="s">
        <v>4</v>
      </c>
      <c r="L58" s="78"/>
      <c r="M58" s="78" t="s">
        <v>4</v>
      </c>
      <c r="N58" s="87"/>
      <c r="O58" s="87"/>
      <c r="P58" s="68">
        <f t="shared" si="0"/>
        <v>48</v>
      </c>
      <c r="Q58" s="69">
        <f t="shared" si="4"/>
        <v>56</v>
      </c>
      <c r="R58" s="70" t="str">
        <f t="shared" si="1"/>
        <v>Стрыгин</v>
      </c>
      <c r="S58" s="71" t="s">
        <v>8</v>
      </c>
      <c r="T58" s="72" t="s">
        <v>7</v>
      </c>
      <c r="U58" s="73">
        <f t="shared" si="5"/>
        <v>0</v>
      </c>
      <c r="V58" s="62">
        <f t="shared" si="6"/>
        <v>0</v>
      </c>
      <c r="W58" s="62"/>
      <c r="X58" s="74" t="s">
        <v>49</v>
      </c>
      <c r="Y58" s="7"/>
      <c r="Z58" s="7"/>
      <c r="AA58" s="7"/>
      <c r="AB58" s="13"/>
      <c r="AC58" s="13"/>
      <c r="AD58" s="13"/>
    </row>
    <row r="59" ht="14.25">
      <c r="A59" s="121" t="s">
        <v>50</v>
      </c>
      <c r="B59" s="66"/>
      <c r="C59" s="66"/>
      <c r="D59" s="67"/>
      <c r="E59" s="67"/>
      <c r="F59" s="83"/>
      <c r="G59" s="83" t="s">
        <v>33</v>
      </c>
      <c r="H59" s="120"/>
      <c r="I59" s="120"/>
      <c r="J59" s="122"/>
      <c r="K59" s="122" t="s">
        <v>33</v>
      </c>
      <c r="L59" s="122"/>
      <c r="M59" s="122"/>
      <c r="N59" s="122"/>
      <c r="O59" s="122"/>
      <c r="P59" s="68">
        <f t="shared" si="0"/>
        <v>16</v>
      </c>
      <c r="Q59" s="69">
        <f t="shared" si="4"/>
        <v>76</v>
      </c>
      <c r="R59" s="70" t="str">
        <f t="shared" si="1"/>
        <v>Фрик</v>
      </c>
      <c r="S59" s="71" t="s">
        <v>12</v>
      </c>
      <c r="T59" s="72" t="s">
        <v>11</v>
      </c>
      <c r="U59" s="73">
        <f t="shared" si="5"/>
        <v>0</v>
      </c>
      <c r="V59" s="62">
        <f t="shared" si="6"/>
        <v>0</v>
      </c>
      <c r="W59" s="62"/>
      <c r="X59" s="74" t="s">
        <v>44</v>
      </c>
      <c r="Y59" s="7"/>
      <c r="Z59" s="7"/>
      <c r="AA59" s="7"/>
      <c r="AB59" s="13"/>
      <c r="AC59" s="13"/>
      <c r="AD59" s="13"/>
    </row>
    <row r="60" ht="14.25">
      <c r="A60" s="125" t="s">
        <v>51</v>
      </c>
      <c r="B60" s="78"/>
      <c r="C60" s="78" t="s">
        <v>4</v>
      </c>
      <c r="D60" s="78"/>
      <c r="E60" s="78" t="s">
        <v>4</v>
      </c>
      <c r="F60" s="67"/>
      <c r="G60" s="67"/>
      <c r="H60" s="66"/>
      <c r="I60" s="66"/>
      <c r="J60" s="83"/>
      <c r="K60" s="83" t="s">
        <v>4</v>
      </c>
      <c r="L60" s="83"/>
      <c r="M60" s="83" t="s">
        <v>4</v>
      </c>
      <c r="N60" s="87"/>
      <c r="O60" s="87"/>
      <c r="P60" s="68">
        <f t="shared" si="0"/>
        <v>48</v>
      </c>
      <c r="Q60" s="69">
        <f t="shared" si="4"/>
        <v>56</v>
      </c>
      <c r="R60" s="70" t="str">
        <f t="shared" si="1"/>
        <v>Истрашкин</v>
      </c>
      <c r="S60" s="71" t="s">
        <v>10</v>
      </c>
      <c r="T60" s="72" t="s">
        <v>9</v>
      </c>
      <c r="U60" s="73">
        <f t="shared" si="5"/>
        <v>0</v>
      </c>
      <c r="V60" s="62">
        <f t="shared" si="6"/>
        <v>0</v>
      </c>
      <c r="W60" s="62"/>
      <c r="X60" s="74" t="s">
        <v>34</v>
      </c>
      <c r="Y60" s="7"/>
      <c r="Z60" s="7"/>
      <c r="AA60" s="7"/>
      <c r="AB60" s="13"/>
      <c r="AC60" s="13"/>
      <c r="AD60" s="13"/>
    </row>
    <row r="61" ht="14.25">
      <c r="A61" s="88" t="s">
        <v>52</v>
      </c>
      <c r="B61" s="87"/>
      <c r="C61" s="87"/>
      <c r="D61" s="87"/>
      <c r="E61" s="87"/>
      <c r="F61" s="89"/>
      <c r="G61" s="78" t="s">
        <v>4</v>
      </c>
      <c r="H61" s="89"/>
      <c r="I61" s="78" t="s">
        <v>4</v>
      </c>
      <c r="J61" s="87"/>
      <c r="K61" s="87"/>
      <c r="L61" s="87"/>
      <c r="M61" s="87"/>
      <c r="N61" s="89"/>
      <c r="O61" s="78" t="s">
        <v>4</v>
      </c>
      <c r="P61" s="68">
        <f t="shared" si="0"/>
        <v>36</v>
      </c>
      <c r="Q61" s="69">
        <f t="shared" si="4"/>
        <v>56</v>
      </c>
      <c r="R61" s="113" t="s">
        <v>52</v>
      </c>
      <c r="S61" s="71" t="s">
        <v>8</v>
      </c>
      <c r="T61" s="72" t="s">
        <v>7</v>
      </c>
      <c r="U61" s="90"/>
      <c r="V61" s="62"/>
      <c r="W61" s="62"/>
      <c r="X61" s="91"/>
      <c r="Y61" s="7"/>
      <c r="Z61" s="7"/>
      <c r="AA61" s="7"/>
      <c r="AB61" s="13"/>
      <c r="AC61" s="13"/>
      <c r="AD61" s="13"/>
    </row>
    <row r="62" ht="14.25">
      <c r="A62" s="92"/>
      <c r="B62" s="53">
        <v>46370</v>
      </c>
      <c r="C62" s="53"/>
      <c r="D62" s="53">
        <v>46371</v>
      </c>
      <c r="E62" s="53"/>
      <c r="F62" s="53">
        <v>46372</v>
      </c>
      <c r="G62" s="53"/>
      <c r="H62" s="53">
        <v>46373</v>
      </c>
      <c r="I62" s="53"/>
      <c r="J62" s="53">
        <v>46374</v>
      </c>
      <c r="K62" s="53"/>
      <c r="L62" s="53">
        <v>46375</v>
      </c>
      <c r="M62" s="53"/>
      <c r="N62" s="53">
        <v>46376</v>
      </c>
      <c r="O62" s="54"/>
      <c r="P62" s="68"/>
      <c r="Q62" s="67"/>
      <c r="R62" s="92"/>
      <c r="S62" s="52"/>
      <c r="T62" s="126"/>
      <c r="U62" s="60" t="s">
        <v>27</v>
      </c>
      <c r="V62" s="61" t="s">
        <v>28</v>
      </c>
      <c r="W62" s="62" t="s">
        <v>29</v>
      </c>
      <c r="X62" s="7"/>
      <c r="Y62" s="7"/>
      <c r="Z62" s="7"/>
      <c r="AA62" s="7"/>
      <c r="AB62" s="13"/>
      <c r="AC62" s="13"/>
      <c r="AD62" s="13"/>
    </row>
    <row r="63" ht="14.25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127"/>
      <c r="U63" s="127"/>
      <c r="V63" s="127"/>
      <c r="W63" s="128"/>
      <c r="X63" s="7"/>
      <c r="Y63" s="7"/>
      <c r="Z63" s="7"/>
      <c r="AA63" s="7"/>
      <c r="AB63" s="13"/>
      <c r="AC63" s="13"/>
      <c r="AD63" s="13"/>
    </row>
    <row r="64" ht="14.25">
      <c r="A64" s="52"/>
      <c r="B64" s="56" t="s">
        <v>17</v>
      </c>
      <c r="C64" s="116"/>
      <c r="D64" s="56" t="s">
        <v>18</v>
      </c>
      <c r="E64" s="116"/>
      <c r="F64" s="56" t="s">
        <v>19</v>
      </c>
      <c r="G64" s="56"/>
      <c r="H64" s="56" t="s">
        <v>20</v>
      </c>
      <c r="I64" s="116"/>
      <c r="J64" s="129" t="s">
        <v>21</v>
      </c>
      <c r="K64" s="129"/>
      <c r="L64" s="56" t="s">
        <v>22</v>
      </c>
      <c r="M64" s="56"/>
      <c r="N64" s="56" t="s">
        <v>23</v>
      </c>
      <c r="O64" s="56"/>
      <c r="P64" s="56" t="s">
        <v>24</v>
      </c>
      <c r="Q64" s="56"/>
      <c r="R64" s="52"/>
      <c r="S64" s="52"/>
      <c r="T64" s="117"/>
      <c r="U64" s="62"/>
      <c r="V64" s="62"/>
      <c r="W64" s="62"/>
      <c r="X64" s="51"/>
      <c r="Y64" s="7"/>
      <c r="Z64" s="7"/>
      <c r="AA64" s="7"/>
      <c r="AB64" s="13"/>
      <c r="AC64" s="13"/>
      <c r="AD64" s="13"/>
    </row>
    <row r="65" ht="14.4">
      <c r="A65" s="52"/>
      <c r="B65" s="53">
        <v>46377</v>
      </c>
      <c r="C65" s="53"/>
      <c r="D65" s="53">
        <v>46378</v>
      </c>
      <c r="E65" s="53"/>
      <c r="F65" s="53">
        <v>46379</v>
      </c>
      <c r="G65" s="53"/>
      <c r="H65" s="53">
        <v>46380</v>
      </c>
      <c r="I65" s="53"/>
      <c r="J65" s="53">
        <v>46381</v>
      </c>
      <c r="K65" s="53"/>
      <c r="L65" s="53">
        <v>46382</v>
      </c>
      <c r="M65" s="53"/>
      <c r="N65" s="53">
        <v>46383</v>
      </c>
      <c r="O65" s="54"/>
      <c r="P65" s="55" t="s">
        <v>25</v>
      </c>
      <c r="Q65" s="56" t="s">
        <v>26</v>
      </c>
      <c r="R65" s="118"/>
      <c r="S65" s="52"/>
      <c r="T65" s="119"/>
      <c r="U65" s="60" t="s">
        <v>27</v>
      </c>
      <c r="V65" s="61" t="s">
        <v>28</v>
      </c>
      <c r="W65" s="62" t="s">
        <v>29</v>
      </c>
      <c r="X65" s="63" t="s">
        <v>30</v>
      </c>
      <c r="Y65" s="7"/>
      <c r="Z65" s="7"/>
      <c r="AA65" s="7"/>
      <c r="AB65" s="13"/>
      <c r="AC65" s="13"/>
      <c r="AD65" s="13"/>
    </row>
    <row r="66" ht="14.4">
      <c r="A66" s="64" t="s">
        <v>31</v>
      </c>
      <c r="B66" s="65" t="s">
        <v>32</v>
      </c>
      <c r="C66" s="65" t="s">
        <v>33</v>
      </c>
      <c r="D66" s="65" t="s">
        <v>32</v>
      </c>
      <c r="E66" s="65" t="s">
        <v>33</v>
      </c>
      <c r="F66" s="65" t="s">
        <v>32</v>
      </c>
      <c r="G66" s="65" t="s">
        <v>33</v>
      </c>
      <c r="H66" s="65" t="s">
        <v>32</v>
      </c>
      <c r="I66" s="65" t="s">
        <v>33</v>
      </c>
      <c r="J66" s="65" t="s">
        <v>32</v>
      </c>
      <c r="K66" s="65" t="s">
        <v>33</v>
      </c>
      <c r="L66" s="67"/>
      <c r="M66" s="67"/>
      <c r="N66" s="67"/>
      <c r="O66" s="67"/>
      <c r="P66" s="68">
        <f t="shared" si="0"/>
        <v>40</v>
      </c>
      <c r="Q66" s="69">
        <f t="shared" si="4"/>
        <v>24</v>
      </c>
      <c r="R66" s="70" t="str">
        <f t="shared" si="1"/>
        <v>Нетронин</v>
      </c>
      <c r="S66" s="71" t="s">
        <v>10</v>
      </c>
      <c r="T66" s="72" t="s">
        <v>9</v>
      </c>
      <c r="U66" s="73">
        <v>0</v>
      </c>
      <c r="V66" s="62">
        <v>0</v>
      </c>
      <c r="W66" s="62"/>
      <c r="X66" s="74" t="s">
        <v>34</v>
      </c>
      <c r="Y66" s="7"/>
      <c r="Z66" s="7"/>
      <c r="AA66" s="7"/>
      <c r="AB66" s="13"/>
      <c r="AC66" s="13"/>
      <c r="AD66" s="13"/>
    </row>
    <row r="67" ht="14.4">
      <c r="A67" s="75" t="s">
        <v>35</v>
      </c>
      <c r="B67" s="65" t="s">
        <v>32</v>
      </c>
      <c r="C67" s="65" t="s">
        <v>33</v>
      </c>
      <c r="D67" s="65" t="s">
        <v>32</v>
      </c>
      <c r="E67" s="65" t="s">
        <v>33</v>
      </c>
      <c r="F67" s="65" t="s">
        <v>32</v>
      </c>
      <c r="G67" s="65" t="s">
        <v>33</v>
      </c>
      <c r="H67" s="65" t="s">
        <v>32</v>
      </c>
      <c r="I67" s="65" t="s">
        <v>33</v>
      </c>
      <c r="J67" s="65" t="s">
        <v>32</v>
      </c>
      <c r="K67" s="65" t="s">
        <v>33</v>
      </c>
      <c r="L67" s="66"/>
      <c r="M67" s="66"/>
      <c r="N67" s="66"/>
      <c r="O67" s="66"/>
      <c r="P67" s="68">
        <f t="shared" si="0"/>
        <v>40</v>
      </c>
      <c r="Q67" s="69">
        <f t="shared" si="4"/>
        <v>24</v>
      </c>
      <c r="R67" s="70" t="str">
        <f t="shared" si="1"/>
        <v>Рычков</v>
      </c>
      <c r="S67" s="76" t="s">
        <v>10</v>
      </c>
      <c r="T67" s="77" t="s">
        <v>9</v>
      </c>
      <c r="U67" s="73">
        <f t="shared" si="5"/>
        <v>0</v>
      </c>
      <c r="V67" s="62">
        <f t="shared" si="6"/>
        <v>0</v>
      </c>
      <c r="W67" s="62"/>
      <c r="X67" s="74" t="s">
        <v>34</v>
      </c>
      <c r="Y67" s="7"/>
      <c r="Z67" s="7"/>
      <c r="AA67" s="7"/>
      <c r="AB67" s="13"/>
      <c r="AC67" s="13"/>
      <c r="AD67" s="13"/>
    </row>
    <row r="68" ht="14.4">
      <c r="A68" s="130" t="s">
        <v>36</v>
      </c>
      <c r="B68" s="78" t="s">
        <v>37</v>
      </c>
      <c r="C68" s="78">
        <v>8</v>
      </c>
      <c r="D68" s="78" t="s">
        <v>37</v>
      </c>
      <c r="E68" s="78">
        <v>8</v>
      </c>
      <c r="F68" s="78" t="s">
        <v>37</v>
      </c>
      <c r="G68" s="78">
        <v>8</v>
      </c>
      <c r="H68" s="78" t="s">
        <v>37</v>
      </c>
      <c r="I68" s="78">
        <v>8</v>
      </c>
      <c r="J68" s="78" t="s">
        <v>37</v>
      </c>
      <c r="K68" s="78">
        <v>8</v>
      </c>
      <c r="L68" s="66"/>
      <c r="M68" s="66"/>
      <c r="N68" s="66"/>
      <c r="O68" s="66"/>
      <c r="P68" s="68">
        <f t="shared" si="0"/>
        <v>40</v>
      </c>
      <c r="Q68" s="69">
        <f t="shared" si="4"/>
        <v>24</v>
      </c>
      <c r="R68" s="70" t="str">
        <f t="shared" si="1"/>
        <v>Колобашкин</v>
      </c>
      <c r="S68" s="76" t="s">
        <v>10</v>
      </c>
      <c r="T68" s="77" t="s">
        <v>9</v>
      </c>
      <c r="U68" s="73">
        <f t="shared" si="5"/>
        <v>0</v>
      </c>
      <c r="V68" s="62">
        <f t="shared" si="6"/>
        <v>0</v>
      </c>
      <c r="W68" s="62"/>
      <c r="X68" s="74" t="s">
        <v>38</v>
      </c>
      <c r="Y68" s="7"/>
      <c r="Z68" s="7"/>
      <c r="AA68" s="7"/>
      <c r="AB68" s="13"/>
      <c r="AC68" s="13"/>
      <c r="AD68" s="13"/>
    </row>
    <row r="69" ht="14.4">
      <c r="A69" s="64" t="s">
        <v>39</v>
      </c>
      <c r="B69" s="65" t="s">
        <v>32</v>
      </c>
      <c r="C69" s="65" t="s">
        <v>33</v>
      </c>
      <c r="D69" s="65" t="s">
        <v>32</v>
      </c>
      <c r="E69" s="65" t="s">
        <v>33</v>
      </c>
      <c r="F69" s="65" t="s">
        <v>32</v>
      </c>
      <c r="G69" s="65" t="s">
        <v>33</v>
      </c>
      <c r="H69" s="65" t="s">
        <v>32</v>
      </c>
      <c r="I69" s="65" t="s">
        <v>33</v>
      </c>
      <c r="J69" s="65" t="s">
        <v>32</v>
      </c>
      <c r="K69" s="65" t="s">
        <v>33</v>
      </c>
      <c r="L69" s="66"/>
      <c r="M69" s="66"/>
      <c r="N69" s="66"/>
      <c r="O69" s="66"/>
      <c r="P69" s="68">
        <f t="shared" si="0"/>
        <v>40</v>
      </c>
      <c r="Q69" s="69">
        <f t="shared" si="4"/>
        <v>24</v>
      </c>
      <c r="R69" s="70" t="str">
        <f t="shared" si="1"/>
        <v>Игумнов</v>
      </c>
      <c r="S69" s="76" t="s">
        <v>10</v>
      </c>
      <c r="T69" s="77" t="s">
        <v>9</v>
      </c>
      <c r="U69" s="73">
        <f t="shared" si="5"/>
        <v>0</v>
      </c>
      <c r="V69" s="62">
        <f t="shared" si="6"/>
        <v>0</v>
      </c>
      <c r="W69" s="62"/>
      <c r="X69" s="79" t="s">
        <v>34</v>
      </c>
      <c r="Y69" s="7"/>
      <c r="Z69" s="7"/>
      <c r="AA69" s="7"/>
      <c r="AB69" s="13"/>
      <c r="AC69" s="13"/>
      <c r="AD69" s="13"/>
    </row>
    <row r="70" ht="14.4">
      <c r="A70" s="64" t="s">
        <v>40</v>
      </c>
      <c r="B70" s="65" t="s">
        <v>32</v>
      </c>
      <c r="C70" s="65" t="s">
        <v>33</v>
      </c>
      <c r="D70" s="65" t="s">
        <v>32</v>
      </c>
      <c r="E70" s="65" t="s">
        <v>33</v>
      </c>
      <c r="F70" s="65" t="s">
        <v>32</v>
      </c>
      <c r="G70" s="65" t="s">
        <v>33</v>
      </c>
      <c r="H70" s="65" t="s">
        <v>32</v>
      </c>
      <c r="I70" s="65" t="s">
        <v>33</v>
      </c>
      <c r="J70" s="65" t="s">
        <v>32</v>
      </c>
      <c r="K70" s="65" t="s">
        <v>33</v>
      </c>
      <c r="L70" s="66"/>
      <c r="M70" s="66"/>
      <c r="N70" s="66"/>
      <c r="O70" s="66"/>
      <c r="P70" s="68">
        <f t="shared" si="0"/>
        <v>40</v>
      </c>
      <c r="Q70" s="69">
        <f t="shared" si="4"/>
        <v>24</v>
      </c>
      <c r="R70" s="70" t="str">
        <f t="shared" si="1"/>
        <v>Душин</v>
      </c>
      <c r="S70" s="76" t="s">
        <v>10</v>
      </c>
      <c r="T70" s="77" t="s">
        <v>9</v>
      </c>
      <c r="U70" s="73">
        <f t="shared" si="5"/>
        <v>0</v>
      </c>
      <c r="V70" s="62">
        <f>COUNTIF(U70,C70)+COUNTIF(U70,E70)+COUNTIF(U70,G70)+COUNTIF(U70,I70)+COUNTIF(U70,K70)+COUNTIF(U70,M70)+COUNTIF(U70,O70)</f>
        <v>2</v>
      </c>
      <c r="W70" s="62"/>
      <c r="X70" s="74" t="s">
        <v>38</v>
      </c>
      <c r="Y70" s="7"/>
      <c r="Z70" s="7"/>
      <c r="AA70" s="7"/>
      <c r="AB70" s="13"/>
      <c r="AC70" s="13"/>
      <c r="AD70" s="13"/>
    </row>
    <row r="71" ht="14.4">
      <c r="A71" s="64" t="s">
        <v>42</v>
      </c>
      <c r="B71" s="65" t="s">
        <v>32</v>
      </c>
      <c r="C71" s="65" t="s">
        <v>33</v>
      </c>
      <c r="D71" s="120"/>
      <c r="E71" s="120" t="s">
        <v>33</v>
      </c>
      <c r="F71" s="120"/>
      <c r="G71" s="120" t="s">
        <v>33</v>
      </c>
      <c r="H71" s="120"/>
      <c r="I71" s="120" t="s">
        <v>33</v>
      </c>
      <c r="J71" s="120"/>
      <c r="K71" s="120" t="s">
        <v>33</v>
      </c>
      <c r="L71" s="120"/>
      <c r="M71" s="120"/>
      <c r="N71" s="120"/>
      <c r="O71" s="120"/>
      <c r="P71" s="68">
        <f t="shared" si="0"/>
        <v>40</v>
      </c>
      <c r="Q71" s="69">
        <f t="shared" si="4"/>
        <v>24</v>
      </c>
      <c r="R71" s="70" t="str">
        <f t="shared" si="1"/>
        <v>Юращик</v>
      </c>
      <c r="S71" s="76" t="s">
        <v>10</v>
      </c>
      <c r="T71" s="77" t="s">
        <v>9</v>
      </c>
      <c r="U71" s="73"/>
      <c r="V71" s="62"/>
      <c r="W71" s="62"/>
      <c r="X71" s="74" t="s">
        <v>38</v>
      </c>
      <c r="Y71" s="7"/>
      <c r="Z71" s="7"/>
      <c r="AA71" s="7"/>
      <c r="AB71" s="13"/>
      <c r="AC71" s="13"/>
      <c r="AD71" s="13"/>
    </row>
    <row r="72" ht="14.4">
      <c r="A72" s="81" t="s">
        <v>43</v>
      </c>
      <c r="B72" s="131"/>
      <c r="C72" s="131">
        <v>12</v>
      </c>
      <c r="D72" s="67"/>
      <c r="E72" s="67"/>
      <c r="F72" s="67"/>
      <c r="G72" s="67"/>
      <c r="H72" s="131"/>
      <c r="I72" s="131">
        <v>12</v>
      </c>
      <c r="J72" s="83"/>
      <c r="K72" s="83" t="s">
        <v>4</v>
      </c>
      <c r="L72" s="82"/>
      <c r="M72" s="82"/>
      <c r="N72" s="66"/>
      <c r="O72" s="66"/>
      <c r="P72" s="68">
        <f t="shared" si="0"/>
        <v>36</v>
      </c>
      <c r="Q72" s="69">
        <f t="shared" si="4"/>
        <v>36</v>
      </c>
      <c r="R72" s="70" t="s">
        <v>43</v>
      </c>
      <c r="S72" s="71" t="s">
        <v>12</v>
      </c>
      <c r="T72" s="84" t="s">
        <v>11</v>
      </c>
      <c r="U72" s="85">
        <f t="shared" si="5"/>
        <v>0</v>
      </c>
      <c r="V72" s="86">
        <f t="shared" ref="V72:V96" si="7">COUNTIF(S72,B72)+COUNTIF(S72,D72)+COUNTIF(S72,F72)+COUNTIF(S72,H72)+COUNTIF(S72,J72)+COUNTIF(S72,L72)+COUNTIF(S72,N72)</f>
        <v>0</v>
      </c>
      <c r="W72" s="86"/>
      <c r="X72" s="74" t="s">
        <v>44</v>
      </c>
      <c r="Y72" s="80"/>
      <c r="Z72" s="80"/>
      <c r="AA72" s="80"/>
      <c r="AB72" s="13"/>
      <c r="AC72" s="13"/>
      <c r="AD72" s="13"/>
    </row>
    <row r="73" ht="14.4">
      <c r="A73" s="81" t="s">
        <v>45</v>
      </c>
      <c r="B73" s="66"/>
      <c r="C73" s="66"/>
      <c r="D73" s="78"/>
      <c r="E73" s="78" t="s">
        <v>4</v>
      </c>
      <c r="F73" s="78"/>
      <c r="G73" s="78" t="s">
        <v>4</v>
      </c>
      <c r="H73" s="82"/>
      <c r="I73" s="82"/>
      <c r="J73" s="67"/>
      <c r="K73" s="66"/>
      <c r="L73" s="83"/>
      <c r="M73" s="83" t="s">
        <v>4</v>
      </c>
      <c r="N73" s="83"/>
      <c r="O73" s="83" t="s">
        <v>4</v>
      </c>
      <c r="P73" s="68">
        <f t="shared" si="0"/>
        <v>48</v>
      </c>
      <c r="Q73" s="69">
        <f t="shared" si="4"/>
        <v>12</v>
      </c>
      <c r="R73" s="70" t="str">
        <f t="shared" si="1"/>
        <v>Пузырь</v>
      </c>
      <c r="S73" s="76" t="s">
        <v>10</v>
      </c>
      <c r="T73" s="77" t="s">
        <v>9</v>
      </c>
      <c r="U73" s="73">
        <f t="shared" si="5"/>
        <v>0</v>
      </c>
      <c r="V73" s="62">
        <f t="shared" si="7"/>
        <v>0</v>
      </c>
      <c r="W73" s="62"/>
      <c r="X73" s="74" t="s">
        <v>34</v>
      </c>
      <c r="Y73" s="7"/>
      <c r="Z73" s="7"/>
      <c r="AA73" s="7"/>
      <c r="AB73" s="13"/>
      <c r="AC73" s="13"/>
      <c r="AD73" s="13"/>
    </row>
    <row r="74" ht="14.4">
      <c r="A74" s="81" t="s">
        <v>46</v>
      </c>
      <c r="B74" s="123"/>
      <c r="C74" s="123" t="s">
        <v>33</v>
      </c>
      <c r="D74" s="123"/>
      <c r="E74" s="123" t="s">
        <v>33</v>
      </c>
      <c r="F74" s="123"/>
      <c r="G74" s="123" t="s">
        <v>33</v>
      </c>
      <c r="H74" s="122"/>
      <c r="I74" s="122" t="s">
        <v>33</v>
      </c>
      <c r="J74" s="122"/>
      <c r="K74" s="122" t="s">
        <v>33</v>
      </c>
      <c r="L74" s="123"/>
      <c r="M74" s="123"/>
      <c r="N74" s="123"/>
      <c r="O74" s="123"/>
      <c r="P74" s="68">
        <f t="shared" si="0"/>
        <v>40</v>
      </c>
      <c r="Q74" s="69">
        <f t="shared" si="4"/>
        <v>28</v>
      </c>
      <c r="R74" s="70" t="str">
        <f t="shared" si="1"/>
        <v>Голышев</v>
      </c>
      <c r="S74" s="76" t="s">
        <v>10</v>
      </c>
      <c r="T74" s="77" t="s">
        <v>9</v>
      </c>
      <c r="U74" s="73">
        <f t="shared" si="5"/>
        <v>0</v>
      </c>
      <c r="V74" s="62">
        <f t="shared" si="7"/>
        <v>0</v>
      </c>
      <c r="W74" s="62"/>
      <c r="X74" s="74" t="s">
        <v>34</v>
      </c>
      <c r="Y74" s="7"/>
      <c r="Z74" s="7"/>
      <c r="AA74" s="7"/>
      <c r="AB74" s="13"/>
      <c r="AC74" s="13"/>
      <c r="AD74" s="13"/>
    </row>
    <row r="75" ht="14.4">
      <c r="A75" s="81" t="s">
        <v>47</v>
      </c>
      <c r="B75" s="66"/>
      <c r="C75" s="66"/>
      <c r="D75" s="83"/>
      <c r="E75" s="83" t="s">
        <v>4</v>
      </c>
      <c r="F75" s="83"/>
      <c r="G75" s="83" t="s">
        <v>33</v>
      </c>
      <c r="H75" s="67"/>
      <c r="I75" s="66"/>
      <c r="J75" s="67"/>
      <c r="K75" s="66"/>
      <c r="L75" s="78"/>
      <c r="M75" s="78" t="s">
        <v>4</v>
      </c>
      <c r="N75" s="78"/>
      <c r="O75" s="78" t="s">
        <v>4</v>
      </c>
      <c r="P75" s="68">
        <f t="shared" si="0"/>
        <v>44</v>
      </c>
      <c r="Q75" s="69">
        <f t="shared" si="4"/>
        <v>12</v>
      </c>
      <c r="R75" s="70" t="str">
        <f t="shared" si="1"/>
        <v>Торубара</v>
      </c>
      <c r="S75" s="76" t="s">
        <v>10</v>
      </c>
      <c r="T75" s="77" t="s">
        <v>9</v>
      </c>
      <c r="U75" s="73">
        <f t="shared" si="5"/>
        <v>0</v>
      </c>
      <c r="V75" s="62">
        <f t="shared" si="7"/>
        <v>0</v>
      </c>
      <c r="W75" s="62"/>
      <c r="X75" s="74" t="s">
        <v>34</v>
      </c>
      <c r="Y75" s="7"/>
      <c r="Z75" s="7"/>
      <c r="AA75" s="7"/>
      <c r="AB75" s="13"/>
      <c r="AC75" s="13"/>
      <c r="AD75" s="13"/>
    </row>
    <row r="76" ht="14.4">
      <c r="A76" s="81" t="s">
        <v>48</v>
      </c>
      <c r="B76" s="66"/>
      <c r="C76" s="66"/>
      <c r="D76" s="83"/>
      <c r="E76" s="83" t="s">
        <v>33</v>
      </c>
      <c r="F76" s="83"/>
      <c r="G76" s="83" t="s">
        <v>4</v>
      </c>
      <c r="H76" s="66"/>
      <c r="I76" s="66"/>
      <c r="J76" s="82"/>
      <c r="K76" s="82"/>
      <c r="L76" s="78"/>
      <c r="M76" s="78" t="s">
        <v>4</v>
      </c>
      <c r="N76" s="78"/>
      <c r="O76" s="78" t="s">
        <v>4</v>
      </c>
      <c r="P76" s="68">
        <f t="shared" ref="P76:P97" si="8">C76+E76+G76+I76+K76+M76+O76</f>
        <v>44</v>
      </c>
      <c r="Q76" s="69">
        <f t="shared" si="4"/>
        <v>12</v>
      </c>
      <c r="R76" s="70" t="str">
        <f t="shared" ref="R76:R96" si="9">A76</f>
        <v>Стрыгин</v>
      </c>
      <c r="S76" s="71" t="s">
        <v>8</v>
      </c>
      <c r="T76" s="72" t="s">
        <v>7</v>
      </c>
      <c r="U76" s="73">
        <f t="shared" si="5"/>
        <v>0</v>
      </c>
      <c r="V76" s="62">
        <f t="shared" si="7"/>
        <v>0</v>
      </c>
      <c r="W76" s="62"/>
      <c r="X76" s="74" t="s">
        <v>49</v>
      </c>
      <c r="Y76" s="7"/>
      <c r="Z76" s="7"/>
      <c r="AA76" s="7"/>
      <c r="AB76" s="13"/>
      <c r="AC76" s="13"/>
      <c r="AD76" s="13"/>
    </row>
    <row r="77" ht="14.4">
      <c r="A77" s="81" t="s">
        <v>50</v>
      </c>
      <c r="B77" s="132"/>
      <c r="C77" s="132" t="s">
        <v>33</v>
      </c>
      <c r="D77" s="122"/>
      <c r="E77" s="122" t="s">
        <v>33</v>
      </c>
      <c r="F77" s="123"/>
      <c r="G77" s="123" t="s">
        <v>33</v>
      </c>
      <c r="H77" s="123"/>
      <c r="I77" s="123" t="s">
        <v>33</v>
      </c>
      <c r="J77" s="132"/>
      <c r="K77" s="132" t="s">
        <v>33</v>
      </c>
      <c r="L77" s="132"/>
      <c r="M77" s="132"/>
      <c r="N77" s="122"/>
      <c r="O77" s="122"/>
      <c r="P77" s="68">
        <f t="shared" si="8"/>
        <v>40</v>
      </c>
      <c r="Q77" s="69">
        <f t="shared" si="4"/>
        <v>36</v>
      </c>
      <c r="R77" s="70" t="str">
        <f t="shared" si="9"/>
        <v>Фрик</v>
      </c>
      <c r="S77" s="71" t="s">
        <v>12</v>
      </c>
      <c r="T77" s="72" t="s">
        <v>11</v>
      </c>
      <c r="U77" s="73">
        <f t="shared" si="5"/>
        <v>0</v>
      </c>
      <c r="V77" s="62">
        <f t="shared" si="7"/>
        <v>0</v>
      </c>
      <c r="W77" s="62"/>
      <c r="X77" s="74" t="s">
        <v>44</v>
      </c>
      <c r="Y77" s="7"/>
      <c r="Z77" s="7"/>
      <c r="AA77" s="7"/>
      <c r="AB77" s="13"/>
      <c r="AC77" s="13"/>
      <c r="AD77" s="13"/>
    </row>
    <row r="78" ht="14.4">
      <c r="A78" s="88" t="s">
        <v>51</v>
      </c>
      <c r="B78" s="66"/>
      <c r="C78" s="66"/>
      <c r="D78" s="87"/>
      <c r="E78" s="87"/>
      <c r="F78" s="78"/>
      <c r="G78" s="78" t="s">
        <v>4</v>
      </c>
      <c r="H78" s="82"/>
      <c r="I78" s="82"/>
      <c r="J78" s="66"/>
      <c r="K78" s="66"/>
      <c r="L78" s="83"/>
      <c r="M78" s="83" t="s">
        <v>33</v>
      </c>
      <c r="N78" s="83"/>
      <c r="O78" s="83" t="s">
        <v>4</v>
      </c>
      <c r="P78" s="68">
        <f t="shared" si="8"/>
        <v>32</v>
      </c>
      <c r="Q78" s="69">
        <f t="shared" si="4"/>
        <v>24</v>
      </c>
      <c r="R78" s="70" t="str">
        <f t="shared" si="9"/>
        <v>Истрашкин</v>
      </c>
      <c r="S78" s="71" t="s">
        <v>10</v>
      </c>
      <c r="T78" s="72" t="s">
        <v>9</v>
      </c>
      <c r="U78" s="73">
        <f t="shared" si="5"/>
        <v>0</v>
      </c>
      <c r="V78" s="62">
        <f t="shared" si="7"/>
        <v>0</v>
      </c>
      <c r="W78" s="62"/>
      <c r="X78" s="74" t="s">
        <v>34</v>
      </c>
      <c r="Y78" s="7"/>
      <c r="Z78" s="7"/>
      <c r="AA78" s="7"/>
      <c r="AB78" s="13"/>
      <c r="AC78" s="13"/>
      <c r="AD78" s="13"/>
    </row>
    <row r="79" ht="14.4">
      <c r="A79" s="88" t="s">
        <v>52</v>
      </c>
      <c r="B79" s="133"/>
      <c r="C79" s="89" t="s">
        <v>4</v>
      </c>
      <c r="D79" s="87"/>
      <c r="E79" s="87"/>
      <c r="F79" s="87"/>
      <c r="G79" s="87"/>
      <c r="H79" s="112"/>
      <c r="I79" s="83" t="s">
        <v>4</v>
      </c>
      <c r="J79" s="112"/>
      <c r="K79" s="83" t="s">
        <v>4</v>
      </c>
      <c r="L79" s="87"/>
      <c r="M79" s="87"/>
      <c r="N79" s="87"/>
      <c r="O79" s="87"/>
      <c r="P79" s="68">
        <f t="shared" si="8"/>
        <v>36</v>
      </c>
      <c r="Q79" s="69">
        <f t="shared" si="4"/>
        <v>20</v>
      </c>
      <c r="R79" s="70" t="s">
        <v>52</v>
      </c>
      <c r="S79" s="71" t="s">
        <v>8</v>
      </c>
      <c r="T79" s="72" t="s">
        <v>7</v>
      </c>
      <c r="U79" s="90"/>
      <c r="V79" s="62"/>
      <c r="W79" s="62"/>
      <c r="X79" s="91"/>
      <c r="Y79" s="7"/>
      <c r="Z79" s="7"/>
      <c r="AA79" s="7"/>
      <c r="AB79" s="13"/>
      <c r="AC79" s="13"/>
      <c r="AD79" s="13"/>
    </row>
    <row r="80" ht="14.4">
      <c r="A80" s="134"/>
      <c r="B80" s="53">
        <v>46377</v>
      </c>
      <c r="C80" s="53"/>
      <c r="D80" s="53">
        <v>46378</v>
      </c>
      <c r="E80" s="53"/>
      <c r="F80" s="53">
        <v>46379</v>
      </c>
      <c r="G80" s="53"/>
      <c r="H80" s="53">
        <v>46380</v>
      </c>
      <c r="I80" s="53"/>
      <c r="J80" s="53">
        <v>46381</v>
      </c>
      <c r="K80" s="53"/>
      <c r="L80" s="53">
        <v>46382</v>
      </c>
      <c r="M80" s="53"/>
      <c r="N80" s="53">
        <v>46383</v>
      </c>
      <c r="O80" s="54"/>
      <c r="P80" s="135"/>
      <c r="Q80" s="136"/>
      <c r="R80" s="137"/>
      <c r="S80" s="138"/>
      <c r="T80" s="138"/>
      <c r="U80" s="60" t="s">
        <v>27</v>
      </c>
      <c r="V80" s="61" t="s">
        <v>28</v>
      </c>
      <c r="W80" s="62" t="s">
        <v>29</v>
      </c>
      <c r="X80" s="7"/>
      <c r="Y80" s="7"/>
      <c r="Z80" s="7"/>
      <c r="AA80" s="7"/>
      <c r="AB80" s="13"/>
      <c r="AC80" s="13"/>
      <c r="AD80" s="13"/>
    </row>
    <row r="81" ht="14.4">
      <c r="A81" s="139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39"/>
      <c r="Q81" s="127"/>
      <c r="R81" s="139"/>
      <c r="S81" s="139"/>
      <c r="T81" s="139"/>
      <c r="U81" s="127"/>
      <c r="V81" s="127"/>
      <c r="W81" s="128"/>
      <c r="X81" s="7"/>
      <c r="Y81" s="7"/>
      <c r="Z81" s="7"/>
      <c r="AA81" s="7"/>
      <c r="AB81" s="13"/>
      <c r="AC81" s="13"/>
      <c r="AD81" s="13"/>
    </row>
    <row r="82" ht="14.4">
      <c r="A82" s="141"/>
      <c r="B82" s="43" t="s">
        <v>17</v>
      </c>
      <c r="C82" s="142"/>
      <c r="D82" s="43" t="s">
        <v>18</v>
      </c>
      <c r="E82" s="142"/>
      <c r="F82" s="43" t="s">
        <v>19</v>
      </c>
      <c r="G82" s="43"/>
      <c r="H82" s="43" t="s">
        <v>20</v>
      </c>
      <c r="I82" s="142"/>
      <c r="J82" s="45" t="s">
        <v>21</v>
      </c>
      <c r="K82" s="45"/>
      <c r="L82" s="43" t="s">
        <v>22</v>
      </c>
      <c r="M82" s="43"/>
      <c r="N82" s="43" t="s">
        <v>23</v>
      </c>
      <c r="O82" s="43"/>
      <c r="P82" s="47" t="s">
        <v>24</v>
      </c>
      <c r="Q82" s="48"/>
      <c r="R82" s="141"/>
      <c r="S82" s="143"/>
      <c r="T82" s="143"/>
      <c r="U82" s="62"/>
      <c r="V82" s="62"/>
      <c r="W82" s="62"/>
      <c r="X82" s="51"/>
      <c r="Y82" s="7"/>
      <c r="Z82" s="7"/>
      <c r="AA82" s="7"/>
      <c r="AB82" s="13"/>
      <c r="AC82" s="13"/>
      <c r="AD82" s="13"/>
    </row>
    <row r="83" ht="14.4">
      <c r="A83" s="52"/>
      <c r="B83" s="53">
        <v>46384</v>
      </c>
      <c r="C83" s="53"/>
      <c r="D83" s="53">
        <v>46385</v>
      </c>
      <c r="E83" s="53"/>
      <c r="F83" s="53">
        <v>46386</v>
      </c>
      <c r="G83" s="53"/>
      <c r="H83" s="144">
        <v>46387</v>
      </c>
      <c r="I83" s="144"/>
      <c r="J83" s="145">
        <v>46023</v>
      </c>
      <c r="K83" s="145"/>
      <c r="L83" s="145">
        <v>46024</v>
      </c>
      <c r="M83" s="145"/>
      <c r="N83" s="145">
        <v>46025</v>
      </c>
      <c r="O83" s="146"/>
      <c r="P83" s="55" t="s">
        <v>25</v>
      </c>
      <c r="Q83" s="56" t="s">
        <v>26</v>
      </c>
      <c r="R83" s="118"/>
      <c r="S83" s="119"/>
      <c r="T83" s="147"/>
      <c r="U83" s="60" t="s">
        <v>27</v>
      </c>
      <c r="V83" s="61" t="s">
        <v>28</v>
      </c>
      <c r="W83" s="62" t="s">
        <v>29</v>
      </c>
      <c r="X83" s="63" t="s">
        <v>30</v>
      </c>
      <c r="Y83" s="7"/>
      <c r="Z83" s="7"/>
      <c r="AA83" s="7"/>
      <c r="AB83" s="13"/>
      <c r="AC83" s="13"/>
      <c r="AD83" s="13"/>
    </row>
    <row r="84" ht="14.4">
      <c r="A84" s="64" t="s">
        <v>31</v>
      </c>
      <c r="B84" s="65" t="s">
        <v>32</v>
      </c>
      <c r="C84" s="65" t="s">
        <v>33</v>
      </c>
      <c r="D84" s="65" t="s">
        <v>32</v>
      </c>
      <c r="E84" s="65" t="s">
        <v>33</v>
      </c>
      <c r="F84" s="66"/>
      <c r="G84" s="66"/>
      <c r="H84" s="66"/>
      <c r="I84" s="66"/>
      <c r="J84" s="66"/>
      <c r="K84" s="66"/>
      <c r="L84" s="66"/>
      <c r="M84" s="66"/>
      <c r="N84" s="67"/>
      <c r="O84" s="67"/>
      <c r="P84" s="68">
        <f t="shared" si="8"/>
        <v>16</v>
      </c>
      <c r="Q84" s="69">
        <f t="shared" si="4"/>
        <v>8</v>
      </c>
      <c r="R84" s="70" t="str">
        <f t="shared" si="9"/>
        <v>Нетронин</v>
      </c>
      <c r="S84" s="71" t="s">
        <v>10</v>
      </c>
      <c r="T84" s="72" t="s">
        <v>9</v>
      </c>
      <c r="U84" s="73">
        <v>0</v>
      </c>
      <c r="V84" s="62">
        <v>0</v>
      </c>
      <c r="W84" s="62"/>
      <c r="X84" s="74" t="s">
        <v>34</v>
      </c>
      <c r="Y84" s="7"/>
      <c r="Z84" s="7"/>
      <c r="AA84" s="7"/>
      <c r="AB84" s="13"/>
      <c r="AC84" s="13"/>
      <c r="AD84" s="13"/>
    </row>
    <row r="85" ht="14.4">
      <c r="A85" s="64" t="s">
        <v>35</v>
      </c>
      <c r="B85" s="65" t="s">
        <v>32</v>
      </c>
      <c r="C85" s="65" t="s">
        <v>33</v>
      </c>
      <c r="D85" s="65" t="s">
        <v>32</v>
      </c>
      <c r="E85" s="65" t="s">
        <v>33</v>
      </c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8">
        <f t="shared" si="8"/>
        <v>16</v>
      </c>
      <c r="Q85" s="69">
        <f t="shared" si="4"/>
        <v>8</v>
      </c>
      <c r="R85" s="70" t="str">
        <f t="shared" si="9"/>
        <v>Рычков</v>
      </c>
      <c r="S85" s="76" t="s">
        <v>10</v>
      </c>
      <c r="T85" s="77" t="s">
        <v>9</v>
      </c>
      <c r="U85" s="73">
        <f t="shared" si="5"/>
        <v>0</v>
      </c>
      <c r="V85" s="62">
        <f t="shared" si="7"/>
        <v>0</v>
      </c>
      <c r="W85" s="62"/>
      <c r="X85" s="74" t="s">
        <v>34</v>
      </c>
      <c r="Y85" s="7"/>
      <c r="Z85" s="7"/>
      <c r="AA85" s="7"/>
      <c r="AB85" s="13"/>
      <c r="AC85" s="13"/>
      <c r="AD85" s="13"/>
    </row>
    <row r="86" ht="14.4">
      <c r="A86" s="75" t="s">
        <v>36</v>
      </c>
      <c r="B86" s="78" t="s">
        <v>37</v>
      </c>
      <c r="C86" s="78">
        <v>8</v>
      </c>
      <c r="D86" s="78" t="s">
        <v>37</v>
      </c>
      <c r="E86" s="78">
        <v>8</v>
      </c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8">
        <f t="shared" si="8"/>
        <v>16</v>
      </c>
      <c r="Q86" s="69">
        <f t="shared" si="4"/>
        <v>8</v>
      </c>
      <c r="R86" s="70" t="str">
        <f t="shared" si="9"/>
        <v>Колобашкин</v>
      </c>
      <c r="S86" s="76" t="s">
        <v>10</v>
      </c>
      <c r="T86" s="77" t="s">
        <v>9</v>
      </c>
      <c r="U86" s="73">
        <f t="shared" si="5"/>
        <v>0</v>
      </c>
      <c r="V86" s="62">
        <f t="shared" si="7"/>
        <v>0</v>
      </c>
      <c r="W86" s="62"/>
      <c r="X86" s="74" t="s">
        <v>38</v>
      </c>
      <c r="Y86" s="7"/>
      <c r="Z86" s="7"/>
      <c r="AA86" s="7"/>
      <c r="AB86" s="13"/>
      <c r="AC86" s="13"/>
      <c r="AD86" s="13"/>
    </row>
    <row r="87" ht="14.4">
      <c r="A87" s="64" t="s">
        <v>39</v>
      </c>
      <c r="B87" s="148" t="s">
        <v>32</v>
      </c>
      <c r="C87" s="148" t="s">
        <v>33</v>
      </c>
      <c r="D87" s="148" t="s">
        <v>32</v>
      </c>
      <c r="E87" s="148" t="s">
        <v>33</v>
      </c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8">
        <f t="shared" si="8"/>
        <v>16</v>
      </c>
      <c r="Q87" s="69">
        <f t="shared" si="4"/>
        <v>8</v>
      </c>
      <c r="R87" s="70" t="str">
        <f t="shared" si="9"/>
        <v>Игумнов</v>
      </c>
      <c r="S87" s="76" t="s">
        <v>10</v>
      </c>
      <c r="T87" s="77" t="s">
        <v>9</v>
      </c>
      <c r="U87" s="73">
        <f t="shared" si="5"/>
        <v>0</v>
      </c>
      <c r="V87" s="62">
        <f t="shared" si="7"/>
        <v>0</v>
      </c>
      <c r="W87" s="62"/>
      <c r="X87" s="79" t="s">
        <v>34</v>
      </c>
      <c r="Y87" s="7"/>
      <c r="Z87" s="7"/>
      <c r="AA87" s="7"/>
      <c r="AB87" s="13"/>
      <c r="AC87" s="13"/>
      <c r="AD87" s="13"/>
    </row>
    <row r="88" ht="14.4">
      <c r="A88" s="64" t="s">
        <v>40</v>
      </c>
      <c r="B88" s="65" t="s">
        <v>32</v>
      </c>
      <c r="C88" s="65" t="s">
        <v>33</v>
      </c>
      <c r="D88" s="65" t="s">
        <v>32</v>
      </c>
      <c r="E88" s="65" t="s">
        <v>33</v>
      </c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8">
        <f t="shared" si="8"/>
        <v>16</v>
      </c>
      <c r="Q88" s="69">
        <f t="shared" si="4"/>
        <v>8</v>
      </c>
      <c r="R88" s="70" t="str">
        <f t="shared" si="9"/>
        <v>Душин</v>
      </c>
      <c r="S88" s="76" t="s">
        <v>10</v>
      </c>
      <c r="T88" s="77" t="s">
        <v>9</v>
      </c>
      <c r="U88" s="73">
        <f t="shared" si="5"/>
        <v>0</v>
      </c>
      <c r="V88" s="62">
        <f t="shared" si="7"/>
        <v>0</v>
      </c>
      <c r="W88" s="62"/>
      <c r="X88" s="74" t="s">
        <v>38</v>
      </c>
      <c r="Y88" s="7"/>
      <c r="Z88" s="7"/>
      <c r="AA88" s="7"/>
      <c r="AB88" s="13"/>
      <c r="AC88" s="13"/>
      <c r="AD88" s="13"/>
    </row>
    <row r="89" ht="14.4">
      <c r="A89" s="64" t="s">
        <v>42</v>
      </c>
      <c r="B89" s="65" t="s">
        <v>32</v>
      </c>
      <c r="C89" s="65" t="s">
        <v>33</v>
      </c>
      <c r="D89" s="65" t="s">
        <v>32</v>
      </c>
      <c r="E89" s="65" t="s">
        <v>33</v>
      </c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8">
        <f t="shared" si="8"/>
        <v>16</v>
      </c>
      <c r="Q89" s="69">
        <f t="shared" si="4"/>
        <v>8</v>
      </c>
      <c r="R89" s="70" t="str">
        <f t="shared" si="9"/>
        <v>Юращик</v>
      </c>
      <c r="S89" s="76" t="s">
        <v>10</v>
      </c>
      <c r="T89" s="77" t="s">
        <v>9</v>
      </c>
      <c r="U89" s="73"/>
      <c r="V89" s="62"/>
      <c r="W89" s="62"/>
      <c r="X89" s="74" t="s">
        <v>38</v>
      </c>
      <c r="Y89" s="7"/>
      <c r="Z89" s="7"/>
      <c r="AA89" s="7"/>
      <c r="AB89" s="13"/>
      <c r="AC89" s="13"/>
      <c r="AD89" s="13"/>
    </row>
    <row r="90" ht="14.4">
      <c r="A90" s="81" t="s">
        <v>43</v>
      </c>
      <c r="B90" s="76"/>
      <c r="C90" s="76" t="s">
        <v>4</v>
      </c>
      <c r="D90" s="76"/>
      <c r="E90" s="76" t="s">
        <v>4</v>
      </c>
      <c r="F90" s="67"/>
      <c r="G90" s="67"/>
      <c r="H90" s="131"/>
      <c r="I90" s="131"/>
      <c r="J90" s="83"/>
      <c r="K90" s="83"/>
      <c r="L90" s="82"/>
      <c r="M90" s="82"/>
      <c r="N90" s="66"/>
      <c r="O90" s="66"/>
      <c r="P90" s="68">
        <f t="shared" si="8"/>
        <v>24</v>
      </c>
      <c r="Q90" s="69">
        <f t="shared" si="4"/>
        <v>12</v>
      </c>
      <c r="R90" s="70" t="s">
        <v>43</v>
      </c>
      <c r="S90" s="149" t="s">
        <v>12</v>
      </c>
      <c r="T90" s="84" t="s">
        <v>11</v>
      </c>
      <c r="U90" s="85">
        <f t="shared" si="5"/>
        <v>0</v>
      </c>
      <c r="V90" s="86">
        <f t="shared" si="7"/>
        <v>0</v>
      </c>
      <c r="W90" s="86"/>
      <c r="X90" s="74" t="s">
        <v>44</v>
      </c>
      <c r="Y90" s="80"/>
      <c r="Z90" s="80"/>
      <c r="AA90" s="80"/>
      <c r="AB90" s="13"/>
      <c r="AC90" s="13"/>
      <c r="AD90" s="13"/>
    </row>
    <row r="91" ht="14.4">
      <c r="A91" s="81" t="s">
        <v>45</v>
      </c>
      <c r="B91" s="66"/>
      <c r="C91" s="66"/>
      <c r="D91" s="66"/>
      <c r="E91" s="66"/>
      <c r="F91" s="78"/>
      <c r="G91" s="78" t="s">
        <v>4</v>
      </c>
      <c r="H91" s="78"/>
      <c r="I91" s="78"/>
      <c r="J91" s="82"/>
      <c r="K91" s="82"/>
      <c r="L91" s="66"/>
      <c r="M91" s="66"/>
      <c r="N91" s="83"/>
      <c r="O91" s="83"/>
      <c r="P91" s="68">
        <f t="shared" si="8"/>
        <v>12</v>
      </c>
      <c r="Q91" s="69">
        <f t="shared" si="4"/>
        <v>0</v>
      </c>
      <c r="R91" s="70" t="str">
        <f t="shared" si="9"/>
        <v>Пузырь</v>
      </c>
      <c r="S91" s="76" t="s">
        <v>10</v>
      </c>
      <c r="T91" s="77" t="s">
        <v>9</v>
      </c>
      <c r="U91" s="73">
        <f t="shared" si="5"/>
        <v>0</v>
      </c>
      <c r="V91" s="62">
        <f t="shared" si="7"/>
        <v>0</v>
      </c>
      <c r="W91" s="62"/>
      <c r="X91" s="74" t="s">
        <v>34</v>
      </c>
      <c r="Y91" s="7"/>
      <c r="Z91" s="7"/>
      <c r="AA91" s="7"/>
      <c r="AB91" s="13"/>
      <c r="AC91" s="13"/>
      <c r="AD91" s="13"/>
    </row>
    <row r="92" ht="14.4">
      <c r="A92" s="81" t="s">
        <v>46</v>
      </c>
      <c r="B92" s="123"/>
      <c r="C92" s="123" t="s">
        <v>33</v>
      </c>
      <c r="D92" s="123"/>
      <c r="E92" s="123" t="s">
        <v>33</v>
      </c>
      <c r="F92" s="123"/>
      <c r="G92" s="123"/>
      <c r="H92" s="150"/>
      <c r="I92" s="150"/>
      <c r="J92" s="78"/>
      <c r="K92" s="78"/>
      <c r="L92" s="78"/>
      <c r="M92" s="78"/>
      <c r="N92" s="66"/>
      <c r="O92" s="66"/>
      <c r="P92" s="68">
        <f t="shared" si="8"/>
        <v>16</v>
      </c>
      <c r="Q92" s="69">
        <f t="shared" si="4"/>
        <v>12</v>
      </c>
      <c r="R92" s="70" t="str">
        <f t="shared" si="9"/>
        <v>Голышев</v>
      </c>
      <c r="S92" s="76" t="s">
        <v>10</v>
      </c>
      <c r="T92" s="77" t="s">
        <v>9</v>
      </c>
      <c r="U92" s="73">
        <f t="shared" si="5"/>
        <v>0</v>
      </c>
      <c r="V92" s="62">
        <f t="shared" si="7"/>
        <v>0</v>
      </c>
      <c r="W92" s="62"/>
      <c r="X92" s="74" t="s">
        <v>34</v>
      </c>
      <c r="Y92" s="7"/>
      <c r="Z92" s="7"/>
      <c r="AA92" s="7"/>
      <c r="AB92" s="13"/>
      <c r="AC92" s="13"/>
      <c r="AD92" s="13"/>
    </row>
    <row r="93" ht="14.4">
      <c r="A93" s="81" t="s">
        <v>47</v>
      </c>
      <c r="B93" s="67"/>
      <c r="C93" s="67"/>
      <c r="D93" s="67"/>
      <c r="E93" s="67"/>
      <c r="F93" s="83"/>
      <c r="G93" s="83" t="s">
        <v>4</v>
      </c>
      <c r="H93" s="83"/>
      <c r="I93" s="83"/>
      <c r="J93" s="66"/>
      <c r="K93" s="66"/>
      <c r="L93" s="67"/>
      <c r="M93" s="67"/>
      <c r="N93" s="78"/>
      <c r="O93" s="78"/>
      <c r="P93" s="68">
        <f t="shared" si="8"/>
        <v>12</v>
      </c>
      <c r="Q93" s="69">
        <f t="shared" si="4"/>
        <v>0</v>
      </c>
      <c r="R93" s="70" t="str">
        <f t="shared" si="9"/>
        <v>Торубара</v>
      </c>
      <c r="S93" s="76" t="s">
        <v>10</v>
      </c>
      <c r="T93" s="77" t="s">
        <v>9</v>
      </c>
      <c r="U93" s="73">
        <f t="shared" si="5"/>
        <v>0</v>
      </c>
      <c r="V93" s="62">
        <f t="shared" si="7"/>
        <v>0</v>
      </c>
      <c r="W93" s="62"/>
      <c r="X93" s="74" t="s">
        <v>34</v>
      </c>
      <c r="Y93" s="7"/>
      <c r="Z93" s="7"/>
      <c r="AA93" s="7"/>
      <c r="AB93" s="13"/>
      <c r="AC93" s="13"/>
      <c r="AD93" s="13"/>
    </row>
    <row r="94" ht="14.4">
      <c r="A94" s="81" t="s">
        <v>48</v>
      </c>
      <c r="B94" s="66"/>
      <c r="C94" s="66"/>
      <c r="D94" s="66"/>
      <c r="E94" s="66"/>
      <c r="F94" s="83"/>
      <c r="G94" s="83" t="s">
        <v>4</v>
      </c>
      <c r="H94" s="83"/>
      <c r="I94" s="83"/>
      <c r="J94" s="82"/>
      <c r="K94" s="82"/>
      <c r="L94" s="66"/>
      <c r="M94" s="66"/>
      <c r="N94" s="78"/>
      <c r="O94" s="78"/>
      <c r="P94" s="68">
        <f t="shared" si="8"/>
        <v>12</v>
      </c>
      <c r="Q94" s="69">
        <f t="shared" ref="Q94:Q97" si="10">Q76-P94</f>
        <v>0</v>
      </c>
      <c r="R94" s="70" t="str">
        <f t="shared" si="9"/>
        <v>Стрыгин</v>
      </c>
      <c r="S94" s="71" t="s">
        <v>8</v>
      </c>
      <c r="T94" s="72" t="s">
        <v>7</v>
      </c>
      <c r="U94" s="73">
        <f t="shared" si="5"/>
        <v>0</v>
      </c>
      <c r="V94" s="62">
        <f t="shared" si="7"/>
        <v>0</v>
      </c>
      <c r="W94" s="62"/>
      <c r="X94" s="74" t="s">
        <v>49</v>
      </c>
      <c r="Y94" s="7"/>
      <c r="Z94" s="7"/>
      <c r="AA94" s="7"/>
      <c r="AB94" s="13"/>
      <c r="AC94" s="13"/>
      <c r="AD94" s="13"/>
    </row>
    <row r="95" ht="14.4">
      <c r="A95" s="81" t="s">
        <v>50</v>
      </c>
      <c r="B95" s="122"/>
      <c r="C95" s="122" t="s">
        <v>33</v>
      </c>
      <c r="D95" s="122"/>
      <c r="E95" s="122" t="s">
        <v>33</v>
      </c>
      <c r="F95" s="132"/>
      <c r="G95" s="132"/>
      <c r="H95" s="108"/>
      <c r="I95" s="108"/>
      <c r="J95" s="83"/>
      <c r="K95" s="83"/>
      <c r="L95" s="83"/>
      <c r="M95" s="83"/>
      <c r="N95" s="82"/>
      <c r="O95" s="82"/>
      <c r="P95" s="68">
        <f t="shared" si="8"/>
        <v>16</v>
      </c>
      <c r="Q95" s="69">
        <f t="shared" si="10"/>
        <v>20</v>
      </c>
      <c r="R95" s="70" t="str">
        <f t="shared" si="9"/>
        <v>Фрик</v>
      </c>
      <c r="S95" s="71" t="s">
        <v>12</v>
      </c>
      <c r="T95" s="72" t="s">
        <v>11</v>
      </c>
      <c r="U95" s="73">
        <f t="shared" si="5"/>
        <v>0</v>
      </c>
      <c r="V95" s="62">
        <f t="shared" si="7"/>
        <v>0</v>
      </c>
      <c r="W95" s="62"/>
      <c r="X95" s="74" t="s">
        <v>44</v>
      </c>
      <c r="Y95" s="7"/>
      <c r="Z95" s="7"/>
      <c r="AA95" s="7"/>
      <c r="AB95" s="13"/>
      <c r="AC95" s="13"/>
      <c r="AD95" s="13"/>
    </row>
    <row r="96" ht="14.4">
      <c r="A96" s="88" t="s">
        <v>51</v>
      </c>
      <c r="B96" s="66"/>
      <c r="C96" s="66"/>
      <c r="D96" s="66"/>
      <c r="E96" s="66"/>
      <c r="F96" s="78"/>
      <c r="G96" s="78" t="s">
        <v>4</v>
      </c>
      <c r="H96" s="78"/>
      <c r="I96" s="78"/>
      <c r="J96" s="66"/>
      <c r="K96" s="66"/>
      <c r="L96" s="82"/>
      <c r="M96" s="82"/>
      <c r="N96" s="83"/>
      <c r="O96" s="83"/>
      <c r="P96" s="68">
        <f t="shared" si="8"/>
        <v>12</v>
      </c>
      <c r="Q96" s="69">
        <f t="shared" si="10"/>
        <v>12</v>
      </c>
      <c r="R96" s="70" t="str">
        <f t="shared" si="9"/>
        <v>Истрашкин</v>
      </c>
      <c r="S96" s="71" t="s">
        <v>10</v>
      </c>
      <c r="T96" s="72" t="s">
        <v>9</v>
      </c>
      <c r="U96" s="73">
        <f t="shared" si="5"/>
        <v>0</v>
      </c>
      <c r="V96" s="62">
        <f t="shared" si="7"/>
        <v>0</v>
      </c>
      <c r="W96" s="62"/>
      <c r="X96" s="74" t="s">
        <v>34</v>
      </c>
      <c r="Y96" s="7"/>
      <c r="Z96" s="7"/>
      <c r="AA96" s="7"/>
      <c r="AB96" s="13"/>
      <c r="AC96" s="13"/>
      <c r="AD96" s="13"/>
    </row>
    <row r="97" ht="14.4">
      <c r="A97" s="88" t="s">
        <v>52</v>
      </c>
      <c r="B97" s="78"/>
      <c r="C97" s="78" t="s">
        <v>33</v>
      </c>
      <c r="D97" s="87"/>
      <c r="E97" s="87"/>
      <c r="J97" s="66"/>
      <c r="K97" s="66"/>
      <c r="L97" s="82"/>
      <c r="M97" s="82"/>
      <c r="N97" s="83"/>
      <c r="O97" s="83"/>
      <c r="P97" s="68">
        <f t="shared" si="8"/>
        <v>8</v>
      </c>
      <c r="Q97" s="69">
        <f t="shared" si="10"/>
        <v>12</v>
      </c>
      <c r="R97" s="70" t="s">
        <v>52</v>
      </c>
      <c r="S97" s="71" t="s">
        <v>8</v>
      </c>
      <c r="T97" s="72" t="s">
        <v>7</v>
      </c>
      <c r="U97" s="90"/>
      <c r="V97" s="62"/>
      <c r="W97" s="62"/>
      <c r="X97" s="91"/>
      <c r="Y97" s="7"/>
      <c r="Z97" s="7"/>
      <c r="AA97" s="7"/>
      <c r="AB97" s="13"/>
      <c r="AC97" s="13"/>
      <c r="AD97" s="13"/>
    </row>
    <row r="98" ht="14.4">
      <c r="A98" s="137"/>
      <c r="B98" s="53">
        <v>46384</v>
      </c>
      <c r="C98" s="53"/>
      <c r="D98" s="53">
        <v>46385</v>
      </c>
      <c r="E98" s="53"/>
      <c r="F98" s="53">
        <v>46386</v>
      </c>
      <c r="G98" s="53"/>
      <c r="H98" s="144">
        <v>46387</v>
      </c>
      <c r="I98" s="144"/>
      <c r="J98" s="145">
        <v>46023</v>
      </c>
      <c r="K98" s="145"/>
      <c r="L98" s="145">
        <v>46024</v>
      </c>
      <c r="M98" s="145"/>
      <c r="N98" s="145">
        <v>46025</v>
      </c>
      <c r="O98" s="151"/>
      <c r="P98" s="152"/>
      <c r="Q98" s="136"/>
      <c r="R98" s="137"/>
      <c r="S98" s="138"/>
      <c r="T98" s="138"/>
      <c r="U98" s="60" t="s">
        <v>27</v>
      </c>
      <c r="V98" s="61" t="s">
        <v>28</v>
      </c>
      <c r="W98" s="62" t="s">
        <v>29</v>
      </c>
      <c r="X98" s="7"/>
      <c r="Y98" s="7"/>
      <c r="Z98" s="7"/>
      <c r="AA98" s="7"/>
      <c r="AB98" s="13"/>
      <c r="AC98" s="13"/>
      <c r="AD98" s="13"/>
    </row>
    <row r="99" ht="14.4">
      <c r="A99" s="139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39"/>
      <c r="Q99" s="127"/>
      <c r="R99" s="139"/>
      <c r="S99" s="139"/>
      <c r="T99" s="139"/>
      <c r="U99" s="127"/>
      <c r="V99" s="127"/>
      <c r="W99" s="128"/>
      <c r="X99" s="7"/>
      <c r="Y99" s="7"/>
      <c r="Z99" s="7"/>
      <c r="AA99" s="7"/>
      <c r="AB99" s="13"/>
      <c r="AC99" s="13"/>
      <c r="AD99" s="13"/>
    </row>
    <row r="100" ht="14.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3"/>
      <c r="R100" s="7"/>
      <c r="S100" s="7"/>
      <c r="T100" s="7"/>
      <c r="U100" s="153"/>
      <c r="V100" s="153"/>
      <c r="W100" s="12"/>
      <c r="X100" s="7"/>
      <c r="Y100" s="7"/>
      <c r="Z100" s="7"/>
      <c r="AA100" s="7"/>
      <c r="AB100" s="13"/>
      <c r="AC100" s="13"/>
      <c r="AD100" s="13"/>
    </row>
    <row r="101" ht="14.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3"/>
      <c r="R101" s="7"/>
      <c r="S101" s="7"/>
      <c r="T101" s="7"/>
      <c r="U101" s="153"/>
      <c r="V101" s="153"/>
      <c r="W101" s="12"/>
      <c r="X101" s="7"/>
      <c r="Y101" s="7"/>
      <c r="Z101" s="7"/>
      <c r="AA101" s="7"/>
      <c r="AB101" s="13"/>
      <c r="AC101" s="13"/>
      <c r="AD101" s="13"/>
    </row>
    <row r="102" ht="14.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3"/>
      <c r="R102" s="7"/>
      <c r="S102" s="7"/>
      <c r="T102" s="7"/>
      <c r="U102" s="153"/>
      <c r="V102" s="153"/>
      <c r="W102" s="12"/>
      <c r="X102" s="7"/>
      <c r="Y102" s="7"/>
      <c r="Z102" s="7"/>
      <c r="AA102" s="7"/>
      <c r="AB102" s="13"/>
      <c r="AC102" s="13"/>
      <c r="AD102" s="13"/>
    </row>
    <row r="103" ht="14.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3"/>
      <c r="R103" s="7"/>
      <c r="S103" s="7"/>
      <c r="T103" s="7"/>
      <c r="U103" s="153"/>
      <c r="V103" s="153"/>
      <c r="W103" s="12"/>
      <c r="X103" s="7"/>
      <c r="Y103" s="7"/>
      <c r="Z103" s="7"/>
      <c r="AA103" s="7"/>
      <c r="AB103" s="13"/>
      <c r="AC103" s="13"/>
      <c r="AD103" s="13"/>
    </row>
    <row r="104" ht="14.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3"/>
      <c r="R104" s="7"/>
      <c r="S104" s="7"/>
      <c r="T104" s="7"/>
      <c r="U104" s="153"/>
      <c r="V104" s="153"/>
      <c r="W104" s="12"/>
      <c r="X104" s="7"/>
      <c r="Y104" s="7"/>
      <c r="Z104" s="7"/>
      <c r="AA104" s="7"/>
      <c r="AB104" s="13"/>
      <c r="AC104" s="13"/>
      <c r="AD104" s="13"/>
    </row>
    <row r="105" ht="14.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3"/>
      <c r="R105" s="7"/>
      <c r="S105" s="7"/>
      <c r="T105" s="7"/>
      <c r="U105" s="153"/>
      <c r="V105" s="153"/>
      <c r="W105" s="12"/>
      <c r="X105" s="7"/>
      <c r="Y105" s="7"/>
      <c r="Z105" s="7"/>
      <c r="AA105" s="7"/>
      <c r="AB105" s="13"/>
      <c r="AC105" s="13"/>
      <c r="AD105" s="13"/>
    </row>
    <row r="106" ht="14.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 ht="14.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 ht="14.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 ht="14.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7"/>
      <c r="Q644" s="153"/>
      <c r="R644" s="7"/>
      <c r="S644" s="7"/>
      <c r="T644" s="7"/>
      <c r="U644" s="153"/>
      <c r="V644" s="153"/>
      <c r="W644" s="12"/>
      <c r="X644" s="7"/>
      <c r="Y644" s="7"/>
      <c r="Z644" s="7"/>
      <c r="AA644" s="7"/>
      <c r="AB644" s="13"/>
      <c r="AC644" s="13"/>
      <c r="AD644" s="13"/>
    </row>
    <row r="645" ht="14.4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7"/>
      <c r="Q645" s="153"/>
      <c r="R645" s="7"/>
      <c r="S645" s="7"/>
      <c r="T645" s="7"/>
      <c r="U645" s="153"/>
      <c r="V645" s="153"/>
      <c r="W645" s="12"/>
      <c r="X645" s="7"/>
      <c r="Y645" s="7"/>
      <c r="Z645" s="7"/>
      <c r="AA645" s="7"/>
      <c r="AB645" s="13"/>
      <c r="AC645" s="13"/>
      <c r="AD645" s="13"/>
    </row>
    <row r="646" ht="14.4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7"/>
      <c r="Q646" s="153"/>
      <c r="R646" s="7"/>
      <c r="S646" s="7"/>
      <c r="T646" s="7"/>
      <c r="U646" s="153"/>
      <c r="V646" s="153"/>
      <c r="W646" s="12"/>
      <c r="X646" s="7"/>
      <c r="Y646" s="7"/>
      <c r="Z646" s="7"/>
      <c r="AA646" s="7"/>
      <c r="AB646" s="13"/>
      <c r="AC646" s="13"/>
      <c r="AD646" s="13"/>
    </row>
    <row r="647" ht="14.4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7"/>
      <c r="Q647" s="153"/>
      <c r="R647" s="7"/>
      <c r="S647" s="7"/>
      <c r="T647" s="7"/>
      <c r="U647" s="153"/>
      <c r="V647" s="153"/>
      <c r="W647" s="12"/>
      <c r="X647" s="7"/>
      <c r="Y647" s="7"/>
      <c r="Z647" s="7"/>
      <c r="AA647" s="7"/>
      <c r="AB647" s="13"/>
      <c r="AC647" s="13"/>
      <c r="AD647" s="13"/>
    </row>
    <row r="648" ht="14.4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7"/>
      <c r="Q648" s="153"/>
      <c r="R648" s="7"/>
      <c r="S648" s="7"/>
      <c r="T648" s="7"/>
      <c r="U648" s="153"/>
      <c r="V648" s="153"/>
      <c r="W648" s="12"/>
      <c r="X648" s="7"/>
      <c r="Y648" s="7"/>
      <c r="Z648" s="7"/>
      <c r="AA648" s="7"/>
      <c r="AB648" s="13"/>
      <c r="AC648" s="13"/>
      <c r="AD648" s="13"/>
    </row>
    <row r="649" ht="14.4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7"/>
      <c r="Q649" s="153"/>
      <c r="R649" s="7"/>
      <c r="S649" s="7"/>
      <c r="T649" s="7"/>
      <c r="U649" s="153"/>
      <c r="V649" s="153"/>
      <c r="W649" s="12"/>
      <c r="X649" s="7"/>
      <c r="Y649" s="7"/>
      <c r="Z649" s="7"/>
      <c r="AA649" s="7"/>
      <c r="AB649" s="13"/>
      <c r="AC649" s="13"/>
      <c r="AD649" s="13"/>
    </row>
    <row r="650" ht="14.4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7"/>
      <c r="Q650" s="153"/>
      <c r="R650" s="7"/>
      <c r="S650" s="7"/>
      <c r="T650" s="7"/>
      <c r="U650" s="153"/>
      <c r="V650" s="153"/>
      <c r="W650" s="12"/>
      <c r="X650" s="7"/>
      <c r="Y650" s="7"/>
      <c r="Z650" s="7"/>
      <c r="AA650" s="7"/>
      <c r="AB650" s="13"/>
      <c r="AC650" s="13"/>
      <c r="AD650" s="13"/>
    </row>
    <row r="651" ht="14.4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7"/>
      <c r="Q651" s="153"/>
      <c r="R651" s="7"/>
      <c r="S651" s="7"/>
      <c r="T651" s="7"/>
      <c r="U651" s="153"/>
      <c r="V651" s="153"/>
      <c r="W651" s="12"/>
      <c r="X651" s="7"/>
      <c r="Y651" s="7"/>
      <c r="Z651" s="7"/>
      <c r="AA651" s="7"/>
      <c r="AB651" s="13"/>
      <c r="AC651" s="13"/>
      <c r="AD651" s="13"/>
    </row>
    <row r="652" ht="14.4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7"/>
      <c r="Q652" s="153"/>
      <c r="R652" s="7"/>
      <c r="S652" s="7"/>
      <c r="T652" s="7"/>
      <c r="U652" s="153"/>
      <c r="V652" s="153"/>
      <c r="W652" s="12"/>
      <c r="X652" s="7"/>
      <c r="Y652" s="7"/>
      <c r="Z652" s="7"/>
      <c r="AA652" s="7"/>
      <c r="AB652" s="13"/>
      <c r="AC652" s="13"/>
      <c r="AD652" s="13"/>
    </row>
    <row r="653" ht="14.4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7"/>
      <c r="Q653" s="153"/>
      <c r="R653" s="7"/>
      <c r="S653" s="7"/>
      <c r="T653" s="7"/>
      <c r="U653" s="153"/>
      <c r="V653" s="153"/>
      <c r="W653" s="12"/>
      <c r="X653" s="7"/>
      <c r="Y653" s="7"/>
      <c r="Z653" s="7"/>
      <c r="AA653" s="7"/>
      <c r="AB653" s="13"/>
      <c r="AC653" s="13"/>
      <c r="AD653" s="13"/>
    </row>
    <row r="654" ht="14.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7"/>
      <c r="Q654" s="153"/>
      <c r="R654" s="7"/>
      <c r="S654" s="7"/>
      <c r="T654" s="7"/>
      <c r="U654" s="153"/>
      <c r="V654" s="153"/>
      <c r="W654" s="12"/>
      <c r="X654" s="21"/>
      <c r="Y654" s="7"/>
      <c r="Z654" s="7"/>
      <c r="AA654" s="7"/>
      <c r="AB654" s="13"/>
      <c r="AC654" s="13"/>
      <c r="AD654" s="13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154"/>
      <c r="R655" s="21"/>
      <c r="S655" s="21"/>
      <c r="T655" s="21"/>
      <c r="U655" s="154"/>
      <c r="V655" s="154"/>
      <c r="W655" s="154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154"/>
      <c r="R656" s="21"/>
      <c r="S656" s="21"/>
      <c r="T656" s="21"/>
      <c r="U656" s="154"/>
      <c r="V656" s="154"/>
      <c r="W656" s="154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154"/>
      <c r="R657" s="21"/>
      <c r="S657" s="21"/>
      <c r="T657" s="21"/>
      <c r="U657" s="154"/>
      <c r="V657" s="154"/>
      <c r="W657" s="154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154"/>
      <c r="R658" s="21"/>
      <c r="S658" s="21"/>
      <c r="T658" s="21"/>
      <c r="U658" s="154"/>
      <c r="V658" s="154"/>
      <c r="W658" s="154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154"/>
      <c r="R659" s="21"/>
      <c r="S659" s="21"/>
      <c r="T659" s="21"/>
      <c r="U659" s="154"/>
      <c r="V659" s="154"/>
      <c r="W659" s="154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154"/>
      <c r="R660" s="21"/>
      <c r="S660" s="21"/>
      <c r="T660" s="21"/>
      <c r="U660" s="154"/>
      <c r="V660" s="154"/>
      <c r="W660" s="154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154"/>
      <c r="R661" s="21"/>
      <c r="S661" s="21"/>
      <c r="T661" s="21"/>
      <c r="U661" s="154"/>
      <c r="V661" s="154"/>
      <c r="W661" s="154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154"/>
      <c r="R662" s="21"/>
      <c r="S662" s="21"/>
      <c r="T662" s="21"/>
      <c r="U662" s="154"/>
      <c r="V662" s="154"/>
      <c r="W662" s="154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154"/>
      <c r="R663" s="21"/>
      <c r="S663" s="21"/>
      <c r="T663" s="21"/>
      <c r="U663" s="154"/>
      <c r="V663" s="154"/>
      <c r="W663" s="154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154"/>
      <c r="R664" s="21"/>
      <c r="S664" s="21"/>
      <c r="T664" s="21"/>
      <c r="U664" s="154"/>
      <c r="V664" s="154"/>
      <c r="W664" s="154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154"/>
      <c r="R665" s="21"/>
      <c r="S665" s="21"/>
      <c r="T665" s="21"/>
      <c r="U665" s="154"/>
      <c r="V665" s="154"/>
      <c r="W665" s="154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54"/>
      <c r="R666" s="21"/>
      <c r="S666" s="21"/>
      <c r="T666" s="21"/>
      <c r="U666" s="154"/>
      <c r="V666" s="154"/>
      <c r="W666" s="154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54"/>
      <c r="R667" s="21"/>
      <c r="S667" s="21"/>
      <c r="T667" s="21"/>
      <c r="U667" s="154"/>
      <c r="V667" s="154"/>
      <c r="W667" s="154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54"/>
      <c r="R668" s="21"/>
      <c r="S668" s="21"/>
      <c r="T668" s="21"/>
      <c r="U668" s="154"/>
      <c r="V668" s="154"/>
      <c r="W668" s="154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54"/>
      <c r="R669" s="21"/>
      <c r="S669" s="21"/>
      <c r="T669" s="21"/>
      <c r="U669" s="154"/>
      <c r="V669" s="154"/>
      <c r="W669" s="154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54"/>
      <c r="R670" s="21"/>
      <c r="S670" s="21"/>
      <c r="T670" s="21"/>
      <c r="U670" s="154"/>
      <c r="V670" s="154"/>
      <c r="W670" s="154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54"/>
      <c r="R671" s="21"/>
      <c r="S671" s="21"/>
      <c r="T671" s="21"/>
      <c r="U671" s="154"/>
      <c r="V671" s="154"/>
      <c r="W671" s="154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54"/>
      <c r="R672" s="21"/>
      <c r="S672" s="21"/>
      <c r="T672" s="21"/>
      <c r="U672" s="154"/>
      <c r="V672" s="154"/>
      <c r="W672" s="154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54"/>
      <c r="R673" s="21"/>
      <c r="S673" s="21"/>
      <c r="T673" s="21"/>
      <c r="U673" s="154"/>
      <c r="V673" s="154"/>
      <c r="W673" s="154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54"/>
      <c r="R674" s="21"/>
      <c r="S674" s="21"/>
      <c r="T674" s="21"/>
      <c r="U674" s="154"/>
      <c r="V674" s="154"/>
      <c r="W674" s="154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54"/>
      <c r="R675" s="21"/>
      <c r="S675" s="21"/>
      <c r="T675" s="21"/>
      <c r="U675" s="154"/>
      <c r="V675" s="154"/>
      <c r="W675" s="154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54"/>
      <c r="R676" s="21"/>
      <c r="S676" s="21"/>
      <c r="T676" s="21"/>
      <c r="U676" s="154"/>
      <c r="V676" s="154"/>
      <c r="W676" s="154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54"/>
      <c r="R677" s="21"/>
      <c r="S677" s="21"/>
      <c r="T677" s="21"/>
      <c r="U677" s="154"/>
      <c r="V677" s="154"/>
      <c r="W677" s="154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54"/>
      <c r="R678" s="21"/>
      <c r="S678" s="21"/>
      <c r="T678" s="21"/>
      <c r="U678" s="154"/>
      <c r="V678" s="154"/>
      <c r="W678" s="154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54"/>
      <c r="R679" s="21"/>
      <c r="S679" s="21"/>
      <c r="T679" s="21"/>
      <c r="U679" s="154"/>
      <c r="V679" s="154"/>
      <c r="W679" s="154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54"/>
      <c r="R680" s="21"/>
      <c r="S680" s="21"/>
      <c r="T680" s="21"/>
      <c r="U680" s="154"/>
      <c r="V680" s="154"/>
      <c r="W680" s="154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54"/>
      <c r="R681" s="21"/>
      <c r="S681" s="21"/>
      <c r="T681" s="21"/>
      <c r="U681" s="154"/>
      <c r="V681" s="154"/>
      <c r="W681" s="154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54"/>
      <c r="R682" s="21"/>
      <c r="S682" s="21"/>
      <c r="T682" s="21"/>
      <c r="U682" s="154"/>
      <c r="V682" s="154"/>
      <c r="W682" s="154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54"/>
      <c r="R683" s="21"/>
      <c r="S683" s="21"/>
      <c r="T683" s="21"/>
      <c r="U683" s="154"/>
      <c r="V683" s="154"/>
      <c r="W683" s="154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54"/>
      <c r="R684" s="21"/>
      <c r="S684" s="21"/>
      <c r="T684" s="21"/>
      <c r="U684" s="154"/>
      <c r="V684" s="154"/>
      <c r="W684" s="154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54"/>
      <c r="R685" s="21"/>
      <c r="S685" s="21"/>
      <c r="T685" s="21"/>
      <c r="U685" s="154"/>
      <c r="V685" s="154"/>
      <c r="W685" s="154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154"/>
      <c r="R815" s="21"/>
      <c r="S815" s="21"/>
      <c r="T815" s="21"/>
      <c r="U815" s="154"/>
      <c r="V815" s="154"/>
      <c r="W815" s="154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154"/>
      <c r="R816" s="21"/>
      <c r="S816" s="21"/>
      <c r="T816" s="21"/>
      <c r="U816" s="154"/>
      <c r="V816" s="154"/>
      <c r="W816" s="154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154"/>
      <c r="R817" s="21"/>
      <c r="S817" s="21"/>
      <c r="T817" s="21"/>
      <c r="U817" s="154"/>
      <c r="V817" s="154"/>
      <c r="W817" s="154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154"/>
      <c r="R818" s="21"/>
      <c r="S818" s="21"/>
      <c r="T818" s="21"/>
      <c r="U818" s="154"/>
      <c r="V818" s="154"/>
      <c r="W818" s="154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154"/>
      <c r="R819" s="21"/>
      <c r="S819" s="21"/>
      <c r="T819" s="21"/>
      <c r="U819" s="154"/>
      <c r="V819" s="154"/>
      <c r="W819" s="154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154"/>
      <c r="R820" s="21"/>
      <c r="S820" s="21"/>
      <c r="T820" s="21"/>
      <c r="U820" s="154"/>
      <c r="V820" s="154"/>
      <c r="W820" s="154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154"/>
      <c r="R821" s="21"/>
      <c r="S821" s="21"/>
      <c r="T821" s="21"/>
      <c r="U821" s="154"/>
      <c r="V821" s="154"/>
      <c r="W821" s="154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154"/>
      <c r="R822" s="21"/>
      <c r="S822" s="21"/>
      <c r="T822" s="21"/>
      <c r="U822" s="154"/>
      <c r="V822" s="154"/>
      <c r="W822" s="154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154"/>
      <c r="R823" s="21"/>
      <c r="S823" s="21"/>
      <c r="T823" s="21"/>
      <c r="U823" s="154"/>
      <c r="V823" s="154"/>
      <c r="W823" s="154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154"/>
      <c r="R824" s="21"/>
      <c r="S824" s="21"/>
      <c r="T824" s="21"/>
      <c r="U824" s="154"/>
      <c r="V824" s="154"/>
      <c r="W824" s="154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</sheetData>
  <mergeCells count="14">
    <mergeCell ref="F1:J1"/>
    <mergeCell ref="L1:N5"/>
    <mergeCell ref="F2:K5"/>
    <mergeCell ref="N6:P7"/>
    <mergeCell ref="F7:J7"/>
    <mergeCell ref="A9:Q9"/>
    <mergeCell ref="U9:V9"/>
    <mergeCell ref="P10:Q10"/>
    <mergeCell ref="A27:Q27"/>
    <mergeCell ref="P28:Q28"/>
    <mergeCell ref="A45:Q45"/>
    <mergeCell ref="P46:Q46"/>
    <mergeCell ref="P64:Q64"/>
    <mergeCell ref="P82:Q8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9" zoomScale="100" workbookViewId="0">
      <selection activeCell="B66" activeCellId="0" sqref="B66:O66"/>
    </sheetView>
  </sheetViews>
  <sheetFormatPr defaultRowHeight="13.800000000000001"/>
  <cols>
    <col customWidth="1" min="1" max="1" width="13.88671875"/>
    <col customWidth="1" min="2" max="2" width="13.109375"/>
    <col customWidth="1" min="3" max="3" width="5.33203125"/>
    <col customWidth="1" min="4" max="4" width="11.5546875"/>
    <col customWidth="1" min="5" max="5" width="5.33203125"/>
    <col customWidth="1" min="6" max="6" width="12"/>
    <col customWidth="1" min="7" max="7" width="5.33203125"/>
    <col customWidth="1" min="8" max="8" width="10.6640625"/>
    <col customWidth="1" min="9" max="9" width="5.33203125"/>
    <col customWidth="1" min="10" max="10" width="10.88671875"/>
    <col customWidth="1" min="11" max="11" width="5.33203125"/>
    <col customWidth="1" min="12" max="12" width="11.5546875"/>
    <col customWidth="1" min="13" max="13" width="5.33203125"/>
    <col customWidth="1" min="14" max="14" width="11.88671875"/>
    <col customWidth="1" min="15" max="16" width="5.33203125"/>
    <col customWidth="1" min="17" max="17" width="6.5546875"/>
    <col customWidth="1" min="18" max="18" width="12.6640625"/>
  </cols>
  <sheetData>
    <row r="1" s="21" customFormat="1" ht="14.4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4">
      <c r="A2" s="14"/>
      <c r="B2" s="15" t="s">
        <v>3</v>
      </c>
      <c r="C2" s="15" t="s">
        <v>4</v>
      </c>
      <c r="D2" s="16" t="s">
        <v>5</v>
      </c>
      <c r="E2" s="16" t="s">
        <v>4</v>
      </c>
      <c r="F2" s="17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4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4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4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4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4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399999999999999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ht="14.4">
      <c r="A10" s="42"/>
      <c r="B10" s="43" t="s">
        <v>17</v>
      </c>
      <c r="C10" s="44"/>
      <c r="D10" s="43" t="s">
        <v>18</v>
      </c>
      <c r="E10" s="44"/>
      <c r="F10" s="43" t="s">
        <v>19</v>
      </c>
      <c r="G10" s="44"/>
      <c r="H10" s="43" t="s">
        <v>20</v>
      </c>
      <c r="I10" s="44"/>
      <c r="J10" s="45" t="s">
        <v>21</v>
      </c>
      <c r="K10" s="46"/>
      <c r="L10" s="43" t="s">
        <v>22</v>
      </c>
      <c r="M10" s="44"/>
      <c r="N10" s="43" t="s">
        <v>23</v>
      </c>
      <c r="O10" s="44"/>
      <c r="P10" s="47" t="s">
        <v>24</v>
      </c>
      <c r="Q10" s="48"/>
      <c r="R10" s="42">
        <v>159</v>
      </c>
      <c r="S10" s="42"/>
      <c r="T10" s="49"/>
      <c r="U10" s="50">
        <v>159</v>
      </c>
      <c r="V10" s="50"/>
      <c r="W10" s="50"/>
      <c r="X10" s="51"/>
      <c r="Y10" s="7"/>
      <c r="Z10" s="7"/>
      <c r="AA10" s="7"/>
      <c r="AB10" s="13"/>
      <c r="AC10" s="13"/>
      <c r="AD10" s="13"/>
    </row>
    <row r="11" ht="14.4">
      <c r="A11" s="52"/>
      <c r="B11" s="53">
        <v>46321</v>
      </c>
      <c r="C11" s="53"/>
      <c r="D11" s="53">
        <v>46322</v>
      </c>
      <c r="E11" s="53"/>
      <c r="F11" s="53">
        <v>46323</v>
      </c>
      <c r="G11" s="53"/>
      <c r="H11" s="53">
        <v>46324</v>
      </c>
      <c r="I11" s="53"/>
      <c r="J11" s="53">
        <v>46325</v>
      </c>
      <c r="K11" s="53"/>
      <c r="L11" s="53">
        <v>46326</v>
      </c>
      <c r="M11" s="53"/>
      <c r="N11" s="53">
        <v>46327</v>
      </c>
      <c r="O11" s="54"/>
      <c r="P11" s="55" t="s">
        <v>25</v>
      </c>
      <c r="Q11" s="56" t="s">
        <v>26</v>
      </c>
      <c r="R11" s="57"/>
      <c r="S11" s="58"/>
      <c r="T11" s="59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ht="14.4">
      <c r="A12" s="64" t="s">
        <v>31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 t="s">
        <v>32</v>
      </c>
      <c r="M12" s="65" t="s">
        <v>33</v>
      </c>
      <c r="N12" s="67"/>
      <c r="O12" s="67"/>
      <c r="P12" s="68">
        <f t="shared" ref="P12:P75" si="11">C12+E12+G12+I12+K12+M12+O12</f>
        <v>8</v>
      </c>
      <c r="Q12" s="69">
        <f>R10-P12</f>
        <v>151</v>
      </c>
      <c r="R12" s="70" t="str">
        <f t="shared" ref="R12:R75" si="12">A12</f>
        <v>Нетронин</v>
      </c>
      <c r="S12" s="71" t="s">
        <v>10</v>
      </c>
      <c r="T12" s="72" t="s">
        <v>9</v>
      </c>
      <c r="U12" s="73">
        <v>0</v>
      </c>
      <c r="V12" s="62"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ht="14.4">
      <c r="A13" s="75" t="s">
        <v>35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 t="s">
        <v>32</v>
      </c>
      <c r="M13" s="65" t="s">
        <v>33</v>
      </c>
      <c r="N13" s="66"/>
      <c r="O13" s="66"/>
      <c r="P13" s="68">
        <f t="shared" si="11"/>
        <v>8</v>
      </c>
      <c r="Q13" s="69">
        <f>R10-P13</f>
        <v>151</v>
      </c>
      <c r="R13" s="70" t="str">
        <f t="shared" si="12"/>
        <v>Рычков</v>
      </c>
      <c r="S13" s="76" t="s">
        <v>10</v>
      </c>
      <c r="T13" s="77" t="s">
        <v>9</v>
      </c>
      <c r="U13" s="73">
        <f t="shared" ref="U13:U23" si="13">COUNTIF(T13,B13)+COUNTIF(T13,D13)+COUNTIF(T13,F13)+COUNTIF(T13,H13)+COUNTIF(T13,J13)+COUNTIF(T13,L13)+COUNTIF(T13,N13)</f>
        <v>0</v>
      </c>
      <c r="V13" s="62">
        <f t="shared" ref="V13:V23" si="14">COUNTIF(S13,B13)+COUNTIF(S13,D13)+COUNTIF(S13,F13)+COUNTIF(S13,H13)+COUNTIF(S13,J13)+COUNTIF(S13,L13)+COUNTIF(S13,N13)</f>
        <v>0</v>
      </c>
      <c r="W13" s="62"/>
      <c r="X13" s="74" t="s">
        <v>34</v>
      </c>
      <c r="Y13" s="7"/>
      <c r="Z13" s="7"/>
      <c r="AA13" s="7"/>
      <c r="AB13" s="13"/>
      <c r="AC13" s="13"/>
      <c r="AD13" s="13"/>
    </row>
    <row r="14" ht="14.4">
      <c r="A14" s="64" t="s">
        <v>39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120" t="s">
        <v>32</v>
      </c>
      <c r="M14" s="120" t="s">
        <v>33</v>
      </c>
      <c r="N14" s="66"/>
      <c r="O14" s="66"/>
      <c r="P14" s="68">
        <f t="shared" si="11"/>
        <v>8</v>
      </c>
      <c r="Q14" s="69">
        <f>R10-P14</f>
        <v>151</v>
      </c>
      <c r="R14" s="70" t="str">
        <f t="shared" si="12"/>
        <v>Игумнов</v>
      </c>
      <c r="S14" s="76" t="s">
        <v>10</v>
      </c>
      <c r="T14" s="77" t="s">
        <v>9</v>
      </c>
      <c r="U14" s="73">
        <f t="shared" si="13"/>
        <v>0</v>
      </c>
      <c r="V14" s="62">
        <f t="shared" si="14"/>
        <v>0</v>
      </c>
      <c r="W14" s="62"/>
      <c r="X14" s="79" t="s">
        <v>34</v>
      </c>
      <c r="Y14" s="7"/>
      <c r="Z14" s="80"/>
      <c r="AA14" s="80"/>
      <c r="AB14" s="13"/>
      <c r="AC14" s="13"/>
      <c r="AD14" s="13"/>
    </row>
    <row r="15" ht="14.4">
      <c r="A15" s="64" t="s">
        <v>40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 t="s">
        <v>32</v>
      </c>
      <c r="M15" s="65" t="s">
        <v>33</v>
      </c>
      <c r="N15" s="66"/>
      <c r="O15" s="66"/>
      <c r="P15" s="68">
        <f t="shared" si="11"/>
        <v>8</v>
      </c>
      <c r="Q15" s="69">
        <f>R10-P15</f>
        <v>151</v>
      </c>
      <c r="R15" s="70" t="str">
        <f t="shared" si="12"/>
        <v>Душин</v>
      </c>
      <c r="S15" s="76" t="s">
        <v>10</v>
      </c>
      <c r="T15" s="77" t="s">
        <v>9</v>
      </c>
      <c r="U15" s="73">
        <f t="shared" si="13"/>
        <v>0</v>
      </c>
      <c r="V15" s="62">
        <f t="shared" si="14"/>
        <v>0</v>
      </c>
      <c r="W15" s="62"/>
      <c r="X15" s="74" t="s">
        <v>38</v>
      </c>
      <c r="Y15" s="80"/>
      <c r="Z15" s="80"/>
      <c r="AA15" s="80"/>
      <c r="AB15" s="13"/>
      <c r="AC15" s="13"/>
      <c r="AD15" s="13"/>
    </row>
    <row r="16" ht="14.4">
      <c r="A16" s="64" t="s">
        <v>42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 t="s">
        <v>32</v>
      </c>
      <c r="M16" s="65" t="s">
        <v>33</v>
      </c>
      <c r="N16" s="66"/>
      <c r="O16" s="66"/>
      <c r="P16" s="68">
        <f t="shared" si="11"/>
        <v>8</v>
      </c>
      <c r="Q16" s="69">
        <f>R10-P16</f>
        <v>151</v>
      </c>
      <c r="R16" s="70" t="str">
        <f t="shared" si="12"/>
        <v>Юращик</v>
      </c>
      <c r="S16" s="76" t="s">
        <v>10</v>
      </c>
      <c r="T16" s="77" t="s">
        <v>9</v>
      </c>
      <c r="U16" s="73">
        <f t="shared" si="13"/>
        <v>0</v>
      </c>
      <c r="V16" s="62">
        <f t="shared" si="14"/>
        <v>0</v>
      </c>
      <c r="W16" s="62"/>
      <c r="X16" s="74" t="s">
        <v>38</v>
      </c>
      <c r="Y16" s="80"/>
      <c r="Z16" s="80"/>
      <c r="AA16" s="80"/>
      <c r="AB16" s="13"/>
      <c r="AC16" s="13"/>
      <c r="AD16" s="13"/>
    </row>
    <row r="17" ht="14.4">
      <c r="A17" s="81" t="s">
        <v>43</v>
      </c>
      <c r="B17" s="76"/>
      <c r="C17" s="76"/>
      <c r="D17" s="67"/>
      <c r="E17" s="67"/>
      <c r="F17" s="67"/>
      <c r="G17" s="67"/>
      <c r="H17" s="131"/>
      <c r="I17" s="131"/>
      <c r="J17" s="83"/>
      <c r="K17" s="83"/>
      <c r="L17" s="82"/>
      <c r="M17" s="82"/>
      <c r="N17" s="66"/>
      <c r="O17" s="66"/>
      <c r="P17" s="68">
        <f t="shared" si="11"/>
        <v>0</v>
      </c>
      <c r="Q17" s="69">
        <f>U10-P17</f>
        <v>159</v>
      </c>
      <c r="R17" s="70" t="s">
        <v>43</v>
      </c>
      <c r="S17" s="71" t="s">
        <v>12</v>
      </c>
      <c r="T17" s="84" t="s">
        <v>11</v>
      </c>
      <c r="U17" s="85">
        <f t="shared" si="13"/>
        <v>0</v>
      </c>
      <c r="V17" s="86">
        <f t="shared" si="14"/>
        <v>0</v>
      </c>
      <c r="W17" s="86"/>
      <c r="X17" s="74" t="s">
        <v>44</v>
      </c>
      <c r="Y17" s="80"/>
      <c r="Z17" s="80"/>
      <c r="AA17" s="80"/>
      <c r="AB17" s="13"/>
      <c r="AC17" s="13"/>
      <c r="AD17" s="13"/>
    </row>
    <row r="18" ht="14.4">
      <c r="A18" s="81" t="s">
        <v>45</v>
      </c>
      <c r="B18" s="66"/>
      <c r="C18" s="66"/>
      <c r="D18" s="78"/>
      <c r="E18" s="78"/>
      <c r="F18" s="78"/>
      <c r="G18" s="78"/>
      <c r="H18" s="66"/>
      <c r="I18" s="66"/>
      <c r="J18" s="82"/>
      <c r="K18" s="82"/>
      <c r="L18" s="83"/>
      <c r="M18" s="83" t="s">
        <v>4</v>
      </c>
      <c r="N18" s="83"/>
      <c r="O18" s="83" t="s">
        <v>4</v>
      </c>
      <c r="P18" s="68">
        <f t="shared" si="11"/>
        <v>24</v>
      </c>
      <c r="Q18" s="69">
        <f>U10-P18</f>
        <v>135</v>
      </c>
      <c r="R18" s="70" t="str">
        <f t="shared" si="12"/>
        <v>Пузырь</v>
      </c>
      <c r="S18" s="76" t="s">
        <v>10</v>
      </c>
      <c r="T18" s="77" t="s">
        <v>9</v>
      </c>
      <c r="U18" s="73">
        <f t="shared" si="13"/>
        <v>0</v>
      </c>
      <c r="V18" s="62">
        <f t="shared" si="14"/>
        <v>0</v>
      </c>
      <c r="W18" s="62"/>
      <c r="X18" s="74" t="s">
        <v>34</v>
      </c>
      <c r="Y18" s="80"/>
      <c r="Z18" s="80"/>
      <c r="AA18" s="80"/>
      <c r="AB18" s="13"/>
      <c r="AC18" s="13"/>
      <c r="AD18" s="13"/>
    </row>
    <row r="19" ht="14.4">
      <c r="A19" s="81" t="s">
        <v>46</v>
      </c>
      <c r="B19" s="76"/>
      <c r="C19" s="76"/>
      <c r="D19" s="67"/>
      <c r="E19" s="67"/>
      <c r="F19" s="67"/>
      <c r="G19" s="67"/>
      <c r="H19" s="131"/>
      <c r="I19" s="131"/>
      <c r="J19" s="83"/>
      <c r="K19" s="83"/>
      <c r="L19" s="82"/>
      <c r="M19" s="82"/>
      <c r="N19" s="66"/>
      <c r="O19" s="66"/>
      <c r="P19" s="68">
        <f t="shared" si="11"/>
        <v>0</v>
      </c>
      <c r="Q19" s="69">
        <f>U10-P19</f>
        <v>159</v>
      </c>
      <c r="R19" s="70" t="str">
        <f t="shared" si="12"/>
        <v>Голышев</v>
      </c>
      <c r="S19" s="76" t="s">
        <v>10</v>
      </c>
      <c r="T19" s="77" t="s">
        <v>9</v>
      </c>
      <c r="U19" s="73">
        <f t="shared" si="13"/>
        <v>0</v>
      </c>
      <c r="V19" s="62">
        <f t="shared" si="14"/>
        <v>0</v>
      </c>
      <c r="W19" s="62"/>
      <c r="X19" s="74" t="s">
        <v>34</v>
      </c>
      <c r="Y19" s="80"/>
      <c r="Z19" s="7"/>
      <c r="AA19" s="7"/>
      <c r="AB19" s="13"/>
      <c r="AC19" s="13"/>
      <c r="AD19" s="13"/>
    </row>
    <row r="20" ht="14.4">
      <c r="A20" s="81" t="s">
        <v>47</v>
      </c>
      <c r="B20" s="67"/>
      <c r="C20" s="67"/>
      <c r="D20" s="77"/>
      <c r="E20" s="77"/>
      <c r="F20" s="156"/>
      <c r="G20" s="156"/>
      <c r="H20" s="67"/>
      <c r="I20" s="67"/>
      <c r="J20" s="66"/>
      <c r="K20" s="66"/>
      <c r="L20" s="76"/>
      <c r="M20" s="76" t="s">
        <v>4</v>
      </c>
      <c r="N20" s="78"/>
      <c r="O20" s="78" t="s">
        <v>4</v>
      </c>
      <c r="P20" s="68">
        <f t="shared" si="11"/>
        <v>24</v>
      </c>
      <c r="Q20" s="69">
        <f>U10-P20</f>
        <v>135</v>
      </c>
      <c r="R20" s="70" t="str">
        <f t="shared" si="12"/>
        <v>Торубара</v>
      </c>
      <c r="S20" s="76" t="s">
        <v>10</v>
      </c>
      <c r="T20" s="77" t="s">
        <v>9</v>
      </c>
      <c r="U20" s="73">
        <f t="shared" si="13"/>
        <v>0</v>
      </c>
      <c r="V20" s="62">
        <f t="shared" si="14"/>
        <v>0</v>
      </c>
      <c r="W20" s="62"/>
      <c r="X20" s="74" t="s">
        <v>34</v>
      </c>
      <c r="Y20" s="7"/>
      <c r="Z20" s="7"/>
      <c r="AA20" s="7"/>
      <c r="AB20" s="13"/>
      <c r="AC20" s="13"/>
      <c r="AD20" s="13"/>
    </row>
    <row r="21" ht="14.4">
      <c r="A21" s="81" t="s">
        <v>48</v>
      </c>
      <c r="B21" s="66"/>
      <c r="C21" s="66"/>
      <c r="D21" s="83"/>
      <c r="E21" s="83"/>
      <c r="F21" s="83"/>
      <c r="G21" s="83"/>
      <c r="H21" s="67"/>
      <c r="I21" s="66"/>
      <c r="J21" s="82"/>
      <c r="K21" s="82"/>
      <c r="L21" s="78"/>
      <c r="M21" s="78" t="s">
        <v>4</v>
      </c>
      <c r="N21" s="78"/>
      <c r="O21" s="78" t="s">
        <v>4</v>
      </c>
      <c r="P21" s="68">
        <f t="shared" si="11"/>
        <v>24</v>
      </c>
      <c r="Q21" s="69">
        <f>U10-P21</f>
        <v>135</v>
      </c>
      <c r="R21" s="70" t="str">
        <f t="shared" si="12"/>
        <v>Стрыгин</v>
      </c>
      <c r="S21" s="71" t="s">
        <v>8</v>
      </c>
      <c r="T21" s="72" t="s">
        <v>7</v>
      </c>
      <c r="U21" s="73">
        <f t="shared" si="13"/>
        <v>0</v>
      </c>
      <c r="V21" s="62">
        <f t="shared" si="14"/>
        <v>0</v>
      </c>
      <c r="W21" s="62"/>
      <c r="X21" s="74" t="s">
        <v>49</v>
      </c>
      <c r="Y21" s="7"/>
      <c r="Z21" s="7"/>
      <c r="AA21" s="7"/>
      <c r="AB21" s="13"/>
      <c r="AC21" s="13"/>
      <c r="AD21" s="13"/>
    </row>
    <row r="22" ht="14.4">
      <c r="A22" s="81" t="s">
        <v>50</v>
      </c>
      <c r="B22" s="110"/>
      <c r="C22" s="110"/>
      <c r="D22" s="108"/>
      <c r="E22" s="108"/>
      <c r="F22" s="109"/>
      <c r="G22" s="109"/>
      <c r="H22" s="107"/>
      <c r="I22" s="107"/>
      <c r="J22" s="107"/>
      <c r="K22" s="107"/>
      <c r="L22" s="109"/>
      <c r="M22" s="109"/>
      <c r="N22" s="109"/>
      <c r="O22" s="109"/>
      <c r="P22" s="68">
        <f t="shared" si="11"/>
        <v>0</v>
      </c>
      <c r="Q22" s="69">
        <f>U10-P22</f>
        <v>159</v>
      </c>
      <c r="R22" s="70" t="str">
        <f t="shared" si="12"/>
        <v>Фрик</v>
      </c>
      <c r="S22" s="71" t="s">
        <v>12</v>
      </c>
      <c r="T22" s="72" t="s">
        <v>11</v>
      </c>
      <c r="U22" s="73">
        <v>2</v>
      </c>
      <c r="V22" s="62">
        <f t="shared" si="14"/>
        <v>0</v>
      </c>
      <c r="W22" s="62"/>
      <c r="X22" s="74" t="s">
        <v>44</v>
      </c>
      <c r="Y22" s="7"/>
      <c r="Z22" s="7"/>
      <c r="AA22" s="7"/>
      <c r="AB22" s="13"/>
      <c r="AC22" s="13"/>
      <c r="AD22" s="13"/>
    </row>
    <row r="23" ht="14.4">
      <c r="A23" s="88" t="s">
        <v>51</v>
      </c>
      <c r="B23" s="66"/>
      <c r="C23" s="66"/>
      <c r="D23" s="78"/>
      <c r="E23" s="78"/>
      <c r="F23" s="76"/>
      <c r="G23" s="76"/>
      <c r="H23" s="67"/>
      <c r="I23" s="67"/>
      <c r="J23" s="66"/>
      <c r="K23" s="66"/>
      <c r="L23" s="156"/>
      <c r="M23" s="156" t="s">
        <v>4</v>
      </c>
      <c r="N23" s="156"/>
      <c r="O23" s="156" t="s">
        <v>4</v>
      </c>
      <c r="P23" s="68">
        <f t="shared" si="11"/>
        <v>24</v>
      </c>
      <c r="Q23" s="69">
        <f>U10-P23</f>
        <v>135</v>
      </c>
      <c r="R23" s="70" t="str">
        <f t="shared" si="12"/>
        <v>Истрашкин</v>
      </c>
      <c r="S23" s="71" t="s">
        <v>10</v>
      </c>
      <c r="T23" s="72" t="s">
        <v>9</v>
      </c>
      <c r="U23" s="73">
        <f t="shared" si="13"/>
        <v>0</v>
      </c>
      <c r="V23" s="62">
        <f t="shared" si="14"/>
        <v>0</v>
      </c>
      <c r="W23" s="50"/>
      <c r="X23" s="74" t="s">
        <v>34</v>
      </c>
      <c r="Y23" s="7"/>
      <c r="Z23" s="7"/>
      <c r="AA23" s="7"/>
      <c r="AB23" s="13"/>
      <c r="AC23" s="13"/>
      <c r="AD23" s="13"/>
    </row>
    <row r="24" ht="14.4">
      <c r="A24" s="137"/>
      <c r="B24" s="53">
        <v>46321</v>
      </c>
      <c r="C24" s="53"/>
      <c r="D24" s="53">
        <v>46322</v>
      </c>
      <c r="E24" s="53"/>
      <c r="F24" s="53">
        <v>46323</v>
      </c>
      <c r="G24" s="53"/>
      <c r="H24" s="53">
        <v>46324</v>
      </c>
      <c r="I24" s="53"/>
      <c r="J24" s="53">
        <v>46325</v>
      </c>
      <c r="K24" s="53"/>
      <c r="L24" s="53">
        <v>46326</v>
      </c>
      <c r="M24" s="53"/>
      <c r="N24" s="53">
        <v>46327</v>
      </c>
      <c r="O24" s="157"/>
      <c r="P24" s="158"/>
      <c r="Q24" s="159"/>
      <c r="R24" s="160"/>
      <c r="S24" s="161"/>
      <c r="T24" s="161"/>
      <c r="U24" s="60" t="s">
        <v>27</v>
      </c>
      <c r="V24" s="61" t="s">
        <v>28</v>
      </c>
      <c r="W24" s="62" t="s">
        <v>29</v>
      </c>
      <c r="X24" s="96"/>
      <c r="Y24" s="7"/>
      <c r="Z24" s="7"/>
      <c r="AA24" s="7"/>
      <c r="AB24" s="13"/>
      <c r="AC24" s="13"/>
      <c r="AD24" s="13"/>
    </row>
    <row r="25" ht="14.4">
      <c r="A25" s="162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4"/>
      <c r="R25" s="165"/>
      <c r="S25" s="165"/>
      <c r="T25" s="165"/>
      <c r="U25" s="100"/>
      <c r="V25" s="100"/>
      <c r="W25" s="100"/>
      <c r="X25" s="7"/>
      <c r="Y25" s="7"/>
      <c r="Z25" s="7"/>
      <c r="AA25" s="7"/>
      <c r="AB25" s="13"/>
      <c r="AC25" s="13"/>
      <c r="AD25" s="13"/>
    </row>
    <row r="26" ht="14.4">
      <c r="A26" s="166"/>
      <c r="B26" s="167" t="s">
        <v>17</v>
      </c>
      <c r="C26" s="167"/>
      <c r="D26" s="167" t="s">
        <v>18</v>
      </c>
      <c r="E26" s="167"/>
      <c r="F26" s="167" t="s">
        <v>19</v>
      </c>
      <c r="G26" s="167"/>
      <c r="H26" s="167" t="s">
        <v>20</v>
      </c>
      <c r="I26" s="167"/>
      <c r="J26" s="168" t="s">
        <v>21</v>
      </c>
      <c r="K26" s="168"/>
      <c r="L26" s="167" t="s">
        <v>22</v>
      </c>
      <c r="M26" s="167"/>
      <c r="N26" s="167" t="s">
        <v>23</v>
      </c>
      <c r="O26" s="167"/>
      <c r="P26" s="169" t="s">
        <v>24</v>
      </c>
      <c r="Q26" s="170"/>
      <c r="R26" s="166"/>
      <c r="S26" s="166"/>
      <c r="T26" s="166"/>
      <c r="U26" s="100"/>
      <c r="V26" s="100"/>
      <c r="W26" s="100"/>
      <c r="X26" s="51"/>
      <c r="Y26" s="7"/>
      <c r="Z26" s="7"/>
      <c r="AA26" s="7"/>
      <c r="AB26" s="13"/>
      <c r="AC26" s="13"/>
      <c r="AD26" s="13"/>
    </row>
    <row r="27" ht="14.4">
      <c r="A27" s="98"/>
      <c r="B27" s="171">
        <v>46328</v>
      </c>
      <c r="C27" s="171"/>
      <c r="D27" s="144">
        <v>46329</v>
      </c>
      <c r="E27" s="144"/>
      <c r="F27" s="144">
        <v>46330</v>
      </c>
      <c r="G27" s="144"/>
      <c r="H27" s="53">
        <v>46331</v>
      </c>
      <c r="I27" s="53"/>
      <c r="J27" s="53">
        <v>46332</v>
      </c>
      <c r="K27" s="53"/>
      <c r="L27" s="53">
        <v>46333</v>
      </c>
      <c r="M27" s="53"/>
      <c r="N27" s="53">
        <v>46334</v>
      </c>
      <c r="O27" s="54"/>
      <c r="P27" s="103" t="s">
        <v>25</v>
      </c>
      <c r="Q27" s="101" t="s">
        <v>26</v>
      </c>
      <c r="R27" s="104"/>
      <c r="S27" s="98"/>
      <c r="T27" s="98"/>
      <c r="U27" s="172" t="s">
        <v>27</v>
      </c>
      <c r="V27" s="106" t="s">
        <v>28</v>
      </c>
      <c r="W27" s="100" t="s">
        <v>29</v>
      </c>
      <c r="X27" s="63" t="s">
        <v>30</v>
      </c>
      <c r="Y27" s="7"/>
      <c r="Z27" s="7"/>
      <c r="AA27" s="7"/>
      <c r="AB27" s="13"/>
      <c r="AC27" s="13"/>
      <c r="AD27" s="13"/>
    </row>
    <row r="28" ht="14.4">
      <c r="A28" s="64" t="s">
        <v>31</v>
      </c>
      <c r="B28" s="66"/>
      <c r="C28" s="66"/>
      <c r="D28" s="66"/>
      <c r="E28" s="66"/>
      <c r="F28" s="65" t="s">
        <v>32</v>
      </c>
      <c r="G28" s="65" t="s">
        <v>33</v>
      </c>
      <c r="H28" s="65" t="s">
        <v>32</v>
      </c>
      <c r="I28" s="65" t="s">
        <v>33</v>
      </c>
      <c r="J28" s="65" t="s">
        <v>32</v>
      </c>
      <c r="K28" s="65" t="s">
        <v>33</v>
      </c>
      <c r="L28" s="67"/>
      <c r="M28" s="67"/>
      <c r="N28" s="67"/>
      <c r="O28" s="67"/>
      <c r="P28" s="68">
        <f t="shared" si="11"/>
        <v>24</v>
      </c>
      <c r="Q28" s="69">
        <f t="shared" ref="Q28:Q91" si="15">Q12-P28</f>
        <v>127</v>
      </c>
      <c r="R28" s="70" t="str">
        <f t="shared" si="12"/>
        <v>Нетронин</v>
      </c>
      <c r="S28" s="71" t="s">
        <v>10</v>
      </c>
      <c r="T28" s="72" t="s">
        <v>9</v>
      </c>
      <c r="U28" s="73">
        <v>0</v>
      </c>
      <c r="V28" s="62">
        <v>0</v>
      </c>
      <c r="W28" s="62"/>
      <c r="X28" s="74" t="s">
        <v>34</v>
      </c>
      <c r="Y28" s="7"/>
      <c r="Z28" s="7"/>
      <c r="AA28" s="7"/>
      <c r="AB28" s="13"/>
      <c r="AC28" s="13"/>
      <c r="AD28" s="13"/>
    </row>
    <row r="29" ht="14.4">
      <c r="A29" s="64" t="s">
        <v>35</v>
      </c>
      <c r="B29" s="66"/>
      <c r="C29" s="66"/>
      <c r="D29" s="66"/>
      <c r="E29" s="66"/>
      <c r="F29" s="65" t="s">
        <v>32</v>
      </c>
      <c r="G29" s="65" t="s">
        <v>33</v>
      </c>
      <c r="H29" s="148" t="s">
        <v>32</v>
      </c>
      <c r="I29" s="148" t="s">
        <v>33</v>
      </c>
      <c r="J29" s="148" t="s">
        <v>32</v>
      </c>
      <c r="K29" s="148" t="s">
        <v>33</v>
      </c>
      <c r="L29" s="108"/>
      <c r="M29" s="108"/>
      <c r="N29" s="108"/>
      <c r="O29" s="108"/>
      <c r="P29" s="68">
        <f t="shared" si="11"/>
        <v>24</v>
      </c>
      <c r="Q29" s="69">
        <f t="shared" si="15"/>
        <v>127</v>
      </c>
      <c r="R29" s="70" t="str">
        <f t="shared" si="12"/>
        <v>Рычков</v>
      </c>
      <c r="S29" s="76" t="s">
        <v>10</v>
      </c>
      <c r="T29" s="77" t="s">
        <v>9</v>
      </c>
      <c r="U29" s="73">
        <f>COUNTIF(T29,B29)+COUNTIF(T29,D29)+COUNTIF(T29,F29)+COUNTIF(T29,H29)+COUNTIF(T29,J29)+COUNTIF(T29,L29)+COUNTIF(T29,#REF!)</f>
        <v>0</v>
      </c>
      <c r="V29" s="62">
        <f>COUNTIF(S29,B29)+COUNTIF(S29,D29)+COUNTIF(S29,F29)+COUNTIF(S29,H29)+COUNTIF(S29,J29)+COUNTIF(S29,L29)+COUNTIF(S29,#REF!)</f>
        <v>0</v>
      </c>
      <c r="W29" s="62"/>
      <c r="X29" s="74" t="s">
        <v>34</v>
      </c>
      <c r="Y29" s="7"/>
      <c r="Z29" s="7"/>
      <c r="AA29" s="7"/>
      <c r="AB29" s="13"/>
      <c r="AC29" s="13"/>
      <c r="AD29" s="13"/>
    </row>
    <row r="30" ht="14.4">
      <c r="A30" s="64" t="s">
        <v>39</v>
      </c>
      <c r="B30" s="66"/>
      <c r="C30" s="66"/>
      <c r="D30" s="66"/>
      <c r="E30" s="66"/>
      <c r="F30" s="65" t="s">
        <v>32</v>
      </c>
      <c r="G30" s="65" t="s">
        <v>33</v>
      </c>
      <c r="H30" s="65" t="s">
        <v>32</v>
      </c>
      <c r="I30" s="65" t="s">
        <v>33</v>
      </c>
      <c r="J30" s="65" t="s">
        <v>32</v>
      </c>
      <c r="K30" s="65" t="s">
        <v>33</v>
      </c>
      <c r="L30" s="66"/>
      <c r="M30" s="66"/>
      <c r="O30" s="66"/>
      <c r="P30" s="68">
        <f t="shared" si="11"/>
        <v>24</v>
      </c>
      <c r="Q30" s="69">
        <f t="shared" si="15"/>
        <v>127</v>
      </c>
      <c r="R30" s="70" t="str">
        <f t="shared" si="12"/>
        <v>Игумнов</v>
      </c>
      <c r="S30" s="76" t="s">
        <v>10</v>
      </c>
      <c r="T30" s="77" t="s">
        <v>9</v>
      </c>
      <c r="U30" s="73">
        <f>COUNTIF(T30,B30)+COUNTIF(T30,D30)+COUNTIF(T30,F30)+COUNTIF(T30,H30)+COUNTIF(T30,J30)+COUNTIF(T30,L30)+COUNTIF(T30,N31)</f>
        <v>0</v>
      </c>
      <c r="V30" s="62">
        <f>COUNTIF(S30,B30)+COUNTIF(S30,D30)+COUNTIF(S30,F30)+COUNTIF(S30,H30)+COUNTIF(S30,J30)+COUNTIF(S30,L30)+COUNTIF(S30,N31)</f>
        <v>0</v>
      </c>
      <c r="W30" s="62"/>
      <c r="X30" s="79" t="s">
        <v>34</v>
      </c>
      <c r="Y30" s="7"/>
      <c r="Z30" s="80"/>
      <c r="AA30" s="80"/>
      <c r="AB30" s="13"/>
      <c r="AC30" s="13"/>
      <c r="AD30" s="13"/>
    </row>
    <row r="31" ht="14.4">
      <c r="A31" s="64" t="s">
        <v>40</v>
      </c>
      <c r="B31" s="66"/>
      <c r="C31" s="66"/>
      <c r="D31" s="66"/>
      <c r="E31" s="66"/>
      <c r="F31" s="65" t="s">
        <v>32</v>
      </c>
      <c r="G31" s="65" t="s">
        <v>33</v>
      </c>
      <c r="H31" s="65" t="s">
        <v>32</v>
      </c>
      <c r="I31" s="65" t="s">
        <v>33</v>
      </c>
      <c r="J31" s="65" t="s">
        <v>32</v>
      </c>
      <c r="K31" s="65" t="s">
        <v>33</v>
      </c>
      <c r="L31" s="66"/>
      <c r="M31" s="66"/>
      <c r="N31" s="66"/>
      <c r="O31" s="66"/>
      <c r="P31" s="68">
        <f t="shared" si="11"/>
        <v>24</v>
      </c>
      <c r="Q31" s="69">
        <f t="shared" si="15"/>
        <v>127</v>
      </c>
      <c r="R31" s="70" t="str">
        <f t="shared" si="12"/>
        <v>Душин</v>
      </c>
      <c r="S31" s="76" t="s">
        <v>10</v>
      </c>
      <c r="T31" s="77" t="s">
        <v>9</v>
      </c>
      <c r="U31" s="73">
        <f>COUNTIF(T31,B31)+COUNTIF(T31,D31)+COUNTIF(T31,F31)+COUNTIF(T31,H31)+COUNTIF(T31,J31)+COUNTIF(T31,L31)+COUNTIF(T31,#REF!)</f>
        <v>0</v>
      </c>
      <c r="V31" s="62">
        <f>COUNTIF(S31,B31)+COUNTIF(S31,D31)+COUNTIF(S31,F31)+COUNTIF(S31,H31)+COUNTIF(S31,J31)+COUNTIF(S31,L31)+COUNTIF(S31,#REF!)</f>
        <v>0</v>
      </c>
      <c r="W31" s="62"/>
      <c r="X31" s="74" t="s">
        <v>38</v>
      </c>
      <c r="Y31" s="80"/>
      <c r="Z31" s="80"/>
      <c r="AA31" s="80"/>
      <c r="AB31" s="13"/>
      <c r="AC31" s="13"/>
      <c r="AD31" s="13"/>
    </row>
    <row r="32" ht="14.4">
      <c r="A32" s="64" t="s">
        <v>42</v>
      </c>
      <c r="B32" s="66"/>
      <c r="C32" s="66"/>
      <c r="D32" s="66"/>
      <c r="E32" s="66"/>
      <c r="F32" s="65" t="s">
        <v>32</v>
      </c>
      <c r="G32" s="65" t="s">
        <v>33</v>
      </c>
      <c r="H32" s="65" t="s">
        <v>32</v>
      </c>
      <c r="I32" s="65" t="s">
        <v>33</v>
      </c>
      <c r="J32" s="65" t="s">
        <v>32</v>
      </c>
      <c r="K32" s="65" t="s">
        <v>33</v>
      </c>
      <c r="L32" s="66"/>
      <c r="M32" s="66"/>
      <c r="N32" s="66"/>
      <c r="O32" s="66"/>
      <c r="P32" s="68">
        <f t="shared" si="11"/>
        <v>24</v>
      </c>
      <c r="Q32" s="69">
        <f t="shared" si="15"/>
        <v>127</v>
      </c>
      <c r="R32" s="70" t="str">
        <f t="shared" si="12"/>
        <v>Юращик</v>
      </c>
      <c r="S32" s="76" t="s">
        <v>10</v>
      </c>
      <c r="T32" s="77" t="s">
        <v>9</v>
      </c>
      <c r="U32" s="73">
        <f t="shared" ref="U32:U95" si="16">COUNTIF(T32,B32)+COUNTIF(T32,D32)+COUNTIF(T32,F32)+COUNTIF(T32,H32)+COUNTIF(T32,J32)+COUNTIF(T32,L32)+COUNTIF(T32,N32)</f>
        <v>0</v>
      </c>
      <c r="V32" s="62">
        <f t="shared" ref="V32:V62" si="17">COUNTIF(S32,B32)+COUNTIF(S32,D32)+COUNTIF(S32,F32)+COUNTIF(S32,H32)+COUNTIF(S32,J32)+COUNTIF(S32,L32)+COUNTIF(S32,N32)</f>
        <v>0</v>
      </c>
      <c r="W32" s="62"/>
      <c r="X32" s="74" t="s">
        <v>38</v>
      </c>
      <c r="Y32" s="80"/>
      <c r="Z32" s="80"/>
      <c r="AA32" s="80"/>
      <c r="AB32" s="13"/>
      <c r="AC32" s="13"/>
      <c r="AD32" s="13"/>
    </row>
    <row r="33" ht="14.4">
      <c r="A33" s="81" t="s">
        <v>43</v>
      </c>
      <c r="B33" s="76"/>
      <c r="C33" s="76" t="s">
        <v>4</v>
      </c>
      <c r="D33" s="173"/>
      <c r="E33" s="76" t="s">
        <v>4</v>
      </c>
      <c r="F33" s="67"/>
      <c r="G33" s="67"/>
      <c r="H33" s="131"/>
      <c r="I33" s="131">
        <v>12</v>
      </c>
      <c r="J33" s="83"/>
      <c r="K33" s="83" t="s">
        <v>4</v>
      </c>
      <c r="L33" s="82"/>
      <c r="M33" s="82"/>
      <c r="N33" s="66"/>
      <c r="O33" s="66"/>
      <c r="P33" s="68">
        <f t="shared" si="11"/>
        <v>48</v>
      </c>
      <c r="Q33" s="69">
        <f t="shared" si="15"/>
        <v>111</v>
      </c>
      <c r="R33" s="70" t="s">
        <v>43</v>
      </c>
      <c r="S33" s="71" t="s">
        <v>12</v>
      </c>
      <c r="T33" s="72" t="s">
        <v>11</v>
      </c>
      <c r="U33" s="85">
        <f t="shared" si="16"/>
        <v>0</v>
      </c>
      <c r="V33" s="86">
        <f t="shared" si="17"/>
        <v>0</v>
      </c>
      <c r="W33" s="86"/>
      <c r="X33" s="74" t="s">
        <v>44</v>
      </c>
      <c r="Y33" s="80"/>
      <c r="Z33" s="80"/>
      <c r="AA33" s="80"/>
      <c r="AB33" s="13"/>
      <c r="AC33" s="13"/>
      <c r="AD33" s="13"/>
    </row>
    <row r="34" ht="14.4">
      <c r="A34" s="81" t="s">
        <v>45</v>
      </c>
      <c r="B34" s="82"/>
      <c r="C34" s="82"/>
      <c r="D34" s="66"/>
      <c r="E34" s="66"/>
      <c r="F34" s="76"/>
      <c r="G34" s="76" t="s">
        <v>4</v>
      </c>
      <c r="H34" s="78"/>
      <c r="I34" s="78" t="s">
        <v>4</v>
      </c>
      <c r="J34" s="82"/>
      <c r="K34" s="82"/>
      <c r="L34" s="66"/>
      <c r="M34" s="66"/>
      <c r="N34" s="112"/>
      <c r="O34" s="83" t="s">
        <v>53</v>
      </c>
      <c r="P34" s="68">
        <f t="shared" si="11"/>
        <v>34</v>
      </c>
      <c r="Q34" s="69">
        <f t="shared" si="15"/>
        <v>101</v>
      </c>
      <c r="R34" s="70" t="str">
        <f t="shared" si="12"/>
        <v>Пузырь</v>
      </c>
      <c r="S34" s="76" t="s">
        <v>10</v>
      </c>
      <c r="T34" s="77" t="s">
        <v>9</v>
      </c>
      <c r="U34" s="73">
        <f t="shared" si="16"/>
        <v>0</v>
      </c>
      <c r="V34" s="62">
        <f t="shared" si="17"/>
        <v>0</v>
      </c>
      <c r="W34" s="62"/>
      <c r="X34" s="74" t="s">
        <v>34</v>
      </c>
      <c r="Y34" s="80"/>
      <c r="Z34" s="7"/>
      <c r="AA34" s="7"/>
      <c r="AB34" s="13"/>
      <c r="AC34" s="13"/>
      <c r="AD34" s="13"/>
    </row>
    <row r="35" ht="14.4">
      <c r="A35" s="81" t="s">
        <v>46</v>
      </c>
      <c r="B35" s="76"/>
      <c r="C35" s="76" t="s">
        <v>4</v>
      </c>
      <c r="D35" s="78"/>
      <c r="E35" s="78" t="s">
        <v>4</v>
      </c>
      <c r="F35" s="66"/>
      <c r="G35" s="66"/>
      <c r="H35" s="66"/>
      <c r="I35" s="66"/>
      <c r="J35" s="112"/>
      <c r="K35" s="83" t="s">
        <v>4</v>
      </c>
      <c r="L35" s="83"/>
      <c r="M35" s="83" t="s">
        <v>4</v>
      </c>
      <c r="N35" s="67"/>
      <c r="O35" s="67"/>
      <c r="P35" s="68">
        <f t="shared" si="11"/>
        <v>48</v>
      </c>
      <c r="Q35" s="69">
        <f t="shared" si="15"/>
        <v>111</v>
      </c>
      <c r="R35" s="70" t="str">
        <f t="shared" si="12"/>
        <v>Голышев</v>
      </c>
      <c r="S35" s="76" t="s">
        <v>10</v>
      </c>
      <c r="T35" s="77" t="s">
        <v>9</v>
      </c>
      <c r="U35" s="73">
        <f t="shared" si="16"/>
        <v>0</v>
      </c>
      <c r="V35" s="62">
        <f t="shared" si="17"/>
        <v>0</v>
      </c>
      <c r="W35" s="62"/>
      <c r="X35" s="74" t="s">
        <v>34</v>
      </c>
      <c r="Y35" s="80"/>
      <c r="Z35" s="7"/>
      <c r="AA35" s="7"/>
      <c r="AB35" s="13"/>
      <c r="AC35" s="13"/>
      <c r="AD35" s="13"/>
    </row>
    <row r="36" ht="14.4">
      <c r="A36" s="81" t="s">
        <v>47</v>
      </c>
      <c r="B36" s="66"/>
      <c r="C36" s="66"/>
      <c r="D36" s="112"/>
      <c r="E36" s="83" t="s">
        <v>4</v>
      </c>
      <c r="F36" s="83"/>
      <c r="G36" s="83" t="s">
        <v>4</v>
      </c>
      <c r="H36" s="66"/>
      <c r="I36" s="66"/>
      <c r="J36" s="67"/>
      <c r="K36" s="67"/>
      <c r="L36" s="87"/>
      <c r="M36" s="87"/>
      <c r="N36" s="89"/>
      <c r="O36" s="78" t="s">
        <v>33</v>
      </c>
      <c r="P36" s="68">
        <f t="shared" si="11"/>
        <v>32</v>
      </c>
      <c r="Q36" s="69">
        <f t="shared" si="15"/>
        <v>103</v>
      </c>
      <c r="R36" s="70" t="str">
        <f t="shared" si="12"/>
        <v>Торубара</v>
      </c>
      <c r="S36" s="76" t="s">
        <v>10</v>
      </c>
      <c r="T36" s="77" t="s">
        <v>9</v>
      </c>
      <c r="U36" s="73">
        <f t="shared" si="16"/>
        <v>0</v>
      </c>
      <c r="V36" s="62">
        <f t="shared" si="17"/>
        <v>0</v>
      </c>
      <c r="W36" s="62"/>
      <c r="X36" s="74" t="s">
        <v>34</v>
      </c>
      <c r="Y36" s="7"/>
      <c r="Z36" s="7"/>
      <c r="AA36" s="7"/>
      <c r="AB36" s="13"/>
      <c r="AC36" s="13"/>
      <c r="AD36" s="13"/>
    </row>
    <row r="37" ht="14.4">
      <c r="A37" s="81" t="s">
        <v>48</v>
      </c>
      <c r="B37" s="82"/>
      <c r="C37" s="82"/>
      <c r="D37" s="82"/>
      <c r="E37" s="82"/>
      <c r="F37" s="112"/>
      <c r="G37" s="83" t="s">
        <v>4</v>
      </c>
      <c r="H37" s="83"/>
      <c r="I37" s="83" t="s">
        <v>4</v>
      </c>
      <c r="J37" s="66"/>
      <c r="K37" s="66"/>
      <c r="L37" s="82"/>
      <c r="M37" s="82"/>
      <c r="N37" s="78"/>
      <c r="O37" s="78" t="s">
        <v>4</v>
      </c>
      <c r="P37" s="68">
        <f t="shared" si="11"/>
        <v>36</v>
      </c>
      <c r="Q37" s="69">
        <f t="shared" si="15"/>
        <v>99</v>
      </c>
      <c r="R37" s="70" t="str">
        <f t="shared" si="12"/>
        <v>Стрыгин</v>
      </c>
      <c r="S37" s="71" t="s">
        <v>8</v>
      </c>
      <c r="T37" s="72" t="s">
        <v>7</v>
      </c>
      <c r="U37" s="73">
        <f t="shared" si="16"/>
        <v>0</v>
      </c>
      <c r="V37" s="62">
        <f t="shared" si="17"/>
        <v>0</v>
      </c>
      <c r="W37" s="62"/>
      <c r="X37" s="74" t="s">
        <v>49</v>
      </c>
      <c r="Y37" s="7"/>
      <c r="Z37" s="7"/>
      <c r="AA37" s="7"/>
      <c r="AB37" s="13"/>
      <c r="AC37" s="13"/>
      <c r="AD37" s="13"/>
    </row>
    <row r="38" ht="14.4">
      <c r="A38" s="81" t="s">
        <v>50</v>
      </c>
      <c r="B38" s="83"/>
      <c r="C38" s="83" t="s">
        <v>4</v>
      </c>
      <c r="D38" s="83"/>
      <c r="E38" s="83" t="s">
        <v>4</v>
      </c>
      <c r="F38" s="66"/>
      <c r="G38" s="66"/>
      <c r="H38" s="66"/>
      <c r="I38" s="66"/>
      <c r="J38" s="78"/>
      <c r="K38" s="78" t="s">
        <v>4</v>
      </c>
      <c r="L38" s="78"/>
      <c r="M38" s="78" t="s">
        <v>4</v>
      </c>
      <c r="N38" s="66"/>
      <c r="O38" s="66"/>
      <c r="P38" s="68">
        <f t="shared" si="11"/>
        <v>48</v>
      </c>
      <c r="Q38" s="69">
        <f t="shared" si="15"/>
        <v>111</v>
      </c>
      <c r="R38" s="70" t="str">
        <f t="shared" si="12"/>
        <v>Фрик</v>
      </c>
      <c r="S38" s="71" t="s">
        <v>12</v>
      </c>
      <c r="T38" s="72" t="s">
        <v>11</v>
      </c>
      <c r="U38" s="73">
        <f t="shared" si="16"/>
        <v>0</v>
      </c>
      <c r="V38" s="62">
        <f t="shared" si="17"/>
        <v>0</v>
      </c>
      <c r="W38" s="62"/>
      <c r="X38" s="74" t="s">
        <v>44</v>
      </c>
      <c r="Y38" s="7"/>
      <c r="Z38" s="7"/>
      <c r="AA38" s="7"/>
      <c r="AB38" s="13"/>
      <c r="AC38" s="13"/>
      <c r="AD38" s="13"/>
    </row>
    <row r="39" ht="14.4">
      <c r="A39" s="88" t="s">
        <v>51</v>
      </c>
      <c r="B39" s="156"/>
      <c r="C39" s="174" t="s">
        <v>53</v>
      </c>
      <c r="D39" s="66"/>
      <c r="E39" s="66"/>
      <c r="F39" s="87"/>
      <c r="G39" s="87"/>
      <c r="H39" s="78"/>
      <c r="I39" s="78" t="s">
        <v>4</v>
      </c>
      <c r="J39" s="66"/>
      <c r="K39" s="66"/>
      <c r="L39" s="67"/>
      <c r="M39" s="67"/>
      <c r="N39" s="83"/>
      <c r="O39" s="83" t="s">
        <v>4</v>
      </c>
      <c r="P39" s="68">
        <f t="shared" si="11"/>
        <v>34</v>
      </c>
      <c r="Q39" s="69">
        <f t="shared" si="15"/>
        <v>101</v>
      </c>
      <c r="R39" s="70" t="str">
        <f t="shared" si="12"/>
        <v>Истрашкин</v>
      </c>
      <c r="S39" s="71" t="s">
        <v>10</v>
      </c>
      <c r="T39" s="72" t="s">
        <v>9</v>
      </c>
      <c r="U39" s="73">
        <f t="shared" si="16"/>
        <v>0</v>
      </c>
      <c r="V39" s="62">
        <f t="shared" si="17"/>
        <v>0</v>
      </c>
      <c r="W39" s="62"/>
      <c r="X39" s="74" t="s">
        <v>34</v>
      </c>
      <c r="Y39" s="7"/>
      <c r="Z39" s="7"/>
      <c r="AA39" s="7"/>
      <c r="AB39" s="13"/>
      <c r="AC39" s="13"/>
      <c r="AD39" s="13"/>
    </row>
    <row r="40" ht="14.4">
      <c r="A40" s="175"/>
      <c r="B40" s="171">
        <v>46328</v>
      </c>
      <c r="C40" s="171"/>
      <c r="D40" s="144">
        <v>46329</v>
      </c>
      <c r="E40" s="144"/>
      <c r="F40" s="144">
        <v>46330</v>
      </c>
      <c r="G40" s="144"/>
      <c r="H40" s="53">
        <v>46331</v>
      </c>
      <c r="I40" s="53"/>
      <c r="J40" s="53">
        <v>46332</v>
      </c>
      <c r="K40" s="53"/>
      <c r="L40" s="53">
        <v>46333</v>
      </c>
      <c r="M40" s="53"/>
      <c r="N40" s="53">
        <v>46334</v>
      </c>
      <c r="O40" s="157"/>
      <c r="P40" s="176"/>
      <c r="Q40" s="177"/>
      <c r="R40" s="175"/>
      <c r="S40" s="178"/>
      <c r="T40" s="178"/>
      <c r="U40" s="100"/>
      <c r="V40" s="100"/>
      <c r="W40" s="100"/>
      <c r="X40" s="7"/>
      <c r="Y40" s="7"/>
      <c r="Z40" s="7"/>
      <c r="AA40" s="7"/>
      <c r="AB40" s="13"/>
      <c r="AC40" s="13"/>
      <c r="AD40" s="13"/>
    </row>
    <row r="41" ht="14.4">
      <c r="A41" s="179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1"/>
      <c r="R41" s="166"/>
      <c r="S41" s="166"/>
      <c r="T41" s="165"/>
      <c r="U41" s="100"/>
      <c r="V41" s="100"/>
      <c r="W41" s="100"/>
      <c r="X41" s="51"/>
      <c r="Y41" s="7"/>
      <c r="Z41" s="7"/>
      <c r="AA41" s="7"/>
      <c r="AB41" s="13"/>
      <c r="AC41" s="13"/>
      <c r="AD41" s="13"/>
    </row>
    <row r="42" ht="14.4">
      <c r="A42" s="52"/>
      <c r="B42" s="56" t="s">
        <v>17</v>
      </c>
      <c r="C42" s="116"/>
      <c r="D42" s="56" t="s">
        <v>18</v>
      </c>
      <c r="E42" s="116"/>
      <c r="F42" s="56" t="s">
        <v>19</v>
      </c>
      <c r="G42" s="56"/>
      <c r="H42" s="56" t="s">
        <v>20</v>
      </c>
      <c r="I42" s="116"/>
      <c r="J42" s="56" t="s">
        <v>21</v>
      </c>
      <c r="K42" s="56"/>
      <c r="L42" s="56" t="s">
        <v>22</v>
      </c>
      <c r="M42" s="56"/>
      <c r="N42" s="56" t="s">
        <v>23</v>
      </c>
      <c r="O42" s="56"/>
      <c r="P42" s="56" t="s">
        <v>24</v>
      </c>
      <c r="Q42" s="56"/>
      <c r="R42" s="52"/>
      <c r="S42" s="52"/>
      <c r="T42" s="117"/>
      <c r="U42" s="62"/>
      <c r="V42" s="62"/>
      <c r="W42" s="62"/>
      <c r="X42" s="63"/>
      <c r="Y42" s="7"/>
      <c r="Z42" s="7"/>
      <c r="AA42" s="7"/>
      <c r="AB42" s="13"/>
      <c r="AC42" s="13"/>
      <c r="AD42" s="13"/>
    </row>
    <row r="43" ht="14.4">
      <c r="A43" s="52"/>
      <c r="B43" s="53">
        <v>46335</v>
      </c>
      <c r="C43" s="53"/>
      <c r="D43" s="53">
        <v>46336</v>
      </c>
      <c r="E43" s="53"/>
      <c r="F43" s="53">
        <v>46337</v>
      </c>
      <c r="G43" s="53"/>
      <c r="H43" s="53">
        <v>46338</v>
      </c>
      <c r="I43" s="53"/>
      <c r="J43" s="53">
        <v>46339</v>
      </c>
      <c r="K43" s="53"/>
      <c r="L43" s="53">
        <v>46340</v>
      </c>
      <c r="M43" s="53"/>
      <c r="N43" s="53">
        <v>46341</v>
      </c>
      <c r="O43" s="54"/>
      <c r="P43" s="55" t="s">
        <v>25</v>
      </c>
      <c r="Q43" s="56" t="s">
        <v>26</v>
      </c>
      <c r="R43" s="118"/>
      <c r="S43" s="52"/>
      <c r="T43" s="119"/>
      <c r="U43" s="60" t="s">
        <v>27</v>
      </c>
      <c r="V43" s="61" t="s">
        <v>28</v>
      </c>
      <c r="W43" s="62" t="s">
        <v>29</v>
      </c>
      <c r="X43" s="63" t="s">
        <v>30</v>
      </c>
      <c r="Y43" s="7"/>
      <c r="Z43" s="7"/>
      <c r="AA43" s="7"/>
      <c r="AB43" s="13"/>
      <c r="AC43" s="13"/>
      <c r="AD43" s="13"/>
    </row>
    <row r="44" ht="14.4">
      <c r="A44" s="64" t="s">
        <v>31</v>
      </c>
      <c r="B44" s="65" t="s">
        <v>32</v>
      </c>
      <c r="C44" s="65" t="s">
        <v>33</v>
      </c>
      <c r="D44" s="65" t="s">
        <v>32</v>
      </c>
      <c r="E44" s="65" t="s">
        <v>33</v>
      </c>
      <c r="F44" s="65" t="s">
        <v>32</v>
      </c>
      <c r="G44" s="65" t="s">
        <v>33</v>
      </c>
      <c r="H44" s="65" t="s">
        <v>32</v>
      </c>
      <c r="I44" s="65" t="s">
        <v>33</v>
      </c>
      <c r="J44" s="65" t="s">
        <v>32</v>
      </c>
      <c r="K44" s="65" t="s">
        <v>33</v>
      </c>
      <c r="L44" s="67"/>
      <c r="M44" s="67"/>
      <c r="N44" s="67"/>
      <c r="O44" s="67"/>
      <c r="P44" s="68">
        <f t="shared" si="11"/>
        <v>40</v>
      </c>
      <c r="Q44" s="69">
        <f t="shared" si="15"/>
        <v>87</v>
      </c>
      <c r="R44" s="70" t="str">
        <f t="shared" si="12"/>
        <v>Нетронин</v>
      </c>
      <c r="S44" s="71" t="s">
        <v>10</v>
      </c>
      <c r="T44" s="72" t="s">
        <v>9</v>
      </c>
      <c r="U44" s="73">
        <f t="shared" si="16"/>
        <v>0</v>
      </c>
      <c r="V44" s="62">
        <f t="shared" si="17"/>
        <v>0</v>
      </c>
      <c r="W44" s="62"/>
      <c r="X44" s="74" t="s">
        <v>34</v>
      </c>
      <c r="Y44" s="7"/>
      <c r="Z44" s="7"/>
      <c r="AA44" s="7"/>
      <c r="AB44" s="13"/>
      <c r="AC44" s="13"/>
      <c r="AD44" s="13"/>
    </row>
    <row r="45" ht="14.4">
      <c r="A45" s="75" t="s">
        <v>35</v>
      </c>
      <c r="B45" s="148" t="s">
        <v>32</v>
      </c>
      <c r="C45" s="148" t="s">
        <v>33</v>
      </c>
      <c r="D45" s="148" t="s">
        <v>32</v>
      </c>
      <c r="E45" s="148" t="s">
        <v>33</v>
      </c>
      <c r="F45" s="148" t="s">
        <v>32</v>
      </c>
      <c r="G45" s="148" t="s">
        <v>33</v>
      </c>
      <c r="H45" s="65" t="s">
        <v>32</v>
      </c>
      <c r="I45" s="65" t="s">
        <v>33</v>
      </c>
      <c r="J45" s="65" t="s">
        <v>32</v>
      </c>
      <c r="K45" s="65" t="s">
        <v>33</v>
      </c>
      <c r="L45" s="66"/>
      <c r="M45" s="66"/>
      <c r="N45" s="66"/>
      <c r="O45" s="66"/>
      <c r="P45" s="68">
        <f t="shared" si="11"/>
        <v>40</v>
      </c>
      <c r="Q45" s="69">
        <f t="shared" si="15"/>
        <v>87</v>
      </c>
      <c r="R45" s="70" t="str">
        <f t="shared" si="12"/>
        <v>Рычков</v>
      </c>
      <c r="S45" s="76" t="s">
        <v>10</v>
      </c>
      <c r="T45" s="77" t="s">
        <v>9</v>
      </c>
      <c r="U45" s="73">
        <f t="shared" si="16"/>
        <v>0</v>
      </c>
      <c r="V45" s="62">
        <f t="shared" si="17"/>
        <v>0</v>
      </c>
      <c r="W45" s="62"/>
      <c r="X45" s="74" t="s">
        <v>34</v>
      </c>
      <c r="Y45" s="7"/>
      <c r="Z45" s="7"/>
      <c r="AA45" s="7"/>
      <c r="AB45" s="13"/>
      <c r="AC45" s="13"/>
      <c r="AD45" s="13"/>
    </row>
    <row r="46" ht="14.4">
      <c r="A46" s="64" t="s">
        <v>39</v>
      </c>
      <c r="B46" s="65" t="s">
        <v>32</v>
      </c>
      <c r="C46" s="65" t="s">
        <v>33</v>
      </c>
      <c r="D46" s="65" t="s">
        <v>32</v>
      </c>
      <c r="E46" s="65" t="s">
        <v>33</v>
      </c>
      <c r="F46" s="65" t="s">
        <v>32</v>
      </c>
      <c r="G46" s="65" t="s">
        <v>33</v>
      </c>
      <c r="H46" s="65" t="s">
        <v>32</v>
      </c>
      <c r="I46" s="65" t="s">
        <v>33</v>
      </c>
      <c r="J46" s="65" t="s">
        <v>32</v>
      </c>
      <c r="K46" s="65" t="s">
        <v>33</v>
      </c>
      <c r="L46" s="66"/>
      <c r="M46" s="66"/>
      <c r="N46" s="66"/>
      <c r="O46" s="66"/>
      <c r="P46" s="68">
        <f t="shared" si="11"/>
        <v>40</v>
      </c>
      <c r="Q46" s="69">
        <f t="shared" si="15"/>
        <v>87</v>
      </c>
      <c r="R46" s="70" t="str">
        <f t="shared" si="12"/>
        <v>Игумнов</v>
      </c>
      <c r="S46" s="76" t="s">
        <v>10</v>
      </c>
      <c r="T46" s="77" t="s">
        <v>9</v>
      </c>
      <c r="U46" s="73">
        <f t="shared" si="16"/>
        <v>0</v>
      </c>
      <c r="V46" s="62">
        <f t="shared" si="17"/>
        <v>0</v>
      </c>
      <c r="W46" s="62"/>
      <c r="X46" s="79" t="s">
        <v>34</v>
      </c>
      <c r="Y46" s="7"/>
      <c r="Z46" s="7"/>
      <c r="AA46" s="7"/>
      <c r="AB46" s="13"/>
      <c r="AC46" s="13"/>
      <c r="AD46" s="13"/>
    </row>
    <row r="47" ht="14.4">
      <c r="A47" s="64" t="s">
        <v>40</v>
      </c>
      <c r="B47" s="65" t="s">
        <v>32</v>
      </c>
      <c r="C47" s="65" t="s">
        <v>33</v>
      </c>
      <c r="D47" s="65" t="s">
        <v>32</v>
      </c>
      <c r="E47" s="65" t="s">
        <v>33</v>
      </c>
      <c r="F47" s="65" t="s">
        <v>32</v>
      </c>
      <c r="G47" s="65" t="s">
        <v>33</v>
      </c>
      <c r="H47" s="65" t="s">
        <v>32</v>
      </c>
      <c r="I47" s="65" t="s">
        <v>33</v>
      </c>
      <c r="J47" s="65" t="s">
        <v>32</v>
      </c>
      <c r="K47" s="65" t="s">
        <v>33</v>
      </c>
      <c r="L47" s="66"/>
      <c r="M47" s="66"/>
      <c r="N47" s="66"/>
      <c r="O47" s="66"/>
      <c r="P47" s="68">
        <f t="shared" si="11"/>
        <v>40</v>
      </c>
      <c r="Q47" s="69">
        <f t="shared" si="15"/>
        <v>87</v>
      </c>
      <c r="R47" s="70" t="str">
        <f t="shared" si="12"/>
        <v>Душин</v>
      </c>
      <c r="S47" s="76" t="s">
        <v>10</v>
      </c>
      <c r="T47" s="77" t="s">
        <v>9</v>
      </c>
      <c r="U47" s="73">
        <f t="shared" si="16"/>
        <v>0</v>
      </c>
      <c r="V47" s="62">
        <f t="shared" si="17"/>
        <v>0</v>
      </c>
      <c r="W47" s="62"/>
      <c r="X47" s="74" t="s">
        <v>38</v>
      </c>
      <c r="Y47" s="7"/>
      <c r="Z47" s="7"/>
      <c r="AA47" s="7"/>
      <c r="AB47" s="13"/>
      <c r="AC47" s="13"/>
      <c r="AD47" s="13"/>
    </row>
    <row r="48" ht="14.4">
      <c r="A48" s="64" t="s">
        <v>42</v>
      </c>
      <c r="B48" s="65" t="s">
        <v>32</v>
      </c>
      <c r="C48" s="65" t="s">
        <v>33</v>
      </c>
      <c r="D48" s="65" t="s">
        <v>32</v>
      </c>
      <c r="E48" s="65" t="s">
        <v>33</v>
      </c>
      <c r="F48" s="65" t="s">
        <v>32</v>
      </c>
      <c r="G48" s="65" t="s">
        <v>33</v>
      </c>
      <c r="H48" s="65" t="s">
        <v>32</v>
      </c>
      <c r="I48" s="65" t="s">
        <v>33</v>
      </c>
      <c r="J48" s="65" t="s">
        <v>32</v>
      </c>
      <c r="K48" s="65" t="s">
        <v>33</v>
      </c>
      <c r="L48" s="66"/>
      <c r="M48" s="66"/>
      <c r="N48" s="66"/>
      <c r="O48" s="66"/>
      <c r="P48" s="68">
        <f t="shared" si="11"/>
        <v>40</v>
      </c>
      <c r="Q48" s="69">
        <f t="shared" si="15"/>
        <v>87</v>
      </c>
      <c r="R48" s="70" t="str">
        <f t="shared" si="12"/>
        <v>Юращик</v>
      </c>
      <c r="S48" s="76" t="s">
        <v>10</v>
      </c>
      <c r="T48" s="77" t="s">
        <v>9</v>
      </c>
      <c r="U48" s="73"/>
      <c r="V48" s="62"/>
      <c r="W48" s="62"/>
      <c r="X48" s="74" t="s">
        <v>38</v>
      </c>
      <c r="Y48" s="7"/>
      <c r="Z48" s="7"/>
      <c r="AA48" s="7"/>
      <c r="AB48" s="13"/>
      <c r="AC48" s="13"/>
      <c r="AD48" s="13"/>
    </row>
    <row r="49" ht="14.4">
      <c r="A49" s="81" t="s">
        <v>43</v>
      </c>
      <c r="B49" s="120"/>
      <c r="C49" s="182" t="s">
        <v>33</v>
      </c>
      <c r="D49" s="120"/>
      <c r="E49" s="182" t="s">
        <v>33</v>
      </c>
      <c r="F49" s="120"/>
      <c r="G49" s="182" t="s">
        <v>33</v>
      </c>
      <c r="H49" s="120"/>
      <c r="I49" s="182" t="s">
        <v>33</v>
      </c>
      <c r="J49" s="120"/>
      <c r="K49" s="182" t="s">
        <v>33</v>
      </c>
      <c r="L49" s="183"/>
      <c r="M49" s="184"/>
      <c r="N49" s="183"/>
      <c r="O49" s="184"/>
      <c r="P49" s="68">
        <f t="shared" si="11"/>
        <v>40</v>
      </c>
      <c r="Q49" s="69">
        <f t="shared" si="15"/>
        <v>71</v>
      </c>
      <c r="R49" s="70" t="s">
        <v>43</v>
      </c>
      <c r="S49" s="71" t="s">
        <v>12</v>
      </c>
      <c r="T49" s="84" t="s">
        <v>11</v>
      </c>
      <c r="U49" s="85">
        <f t="shared" si="16"/>
        <v>0</v>
      </c>
      <c r="V49" s="86">
        <f t="shared" si="17"/>
        <v>0</v>
      </c>
      <c r="W49" s="86"/>
      <c r="X49" s="74" t="s">
        <v>44</v>
      </c>
      <c r="Y49" s="80"/>
      <c r="Z49" s="80"/>
      <c r="AA49" s="80"/>
      <c r="AB49" s="13"/>
      <c r="AC49" s="13"/>
      <c r="AD49" s="13"/>
    </row>
    <row r="50" ht="14.4">
      <c r="A50" s="121" t="s">
        <v>45</v>
      </c>
      <c r="B50" s="110"/>
      <c r="C50" s="110" t="s">
        <v>4</v>
      </c>
      <c r="D50" s="108"/>
      <c r="E50" s="108"/>
      <c r="F50" s="108"/>
      <c r="G50" s="108"/>
      <c r="H50" s="107"/>
      <c r="I50" s="107" t="s">
        <v>4</v>
      </c>
      <c r="J50" s="107"/>
      <c r="K50" s="107" t="s">
        <v>4</v>
      </c>
      <c r="L50" s="109"/>
      <c r="M50" s="109"/>
      <c r="N50" s="108"/>
      <c r="O50" s="108"/>
      <c r="P50" s="68">
        <f t="shared" si="11"/>
        <v>36</v>
      </c>
      <c r="Q50" s="69">
        <f t="shared" si="15"/>
        <v>65</v>
      </c>
      <c r="R50" s="70" t="str">
        <f t="shared" si="12"/>
        <v>Пузырь</v>
      </c>
      <c r="S50" s="76" t="s">
        <v>10</v>
      </c>
      <c r="T50" s="77" t="s">
        <v>9</v>
      </c>
      <c r="U50" s="73">
        <f t="shared" si="16"/>
        <v>0</v>
      </c>
      <c r="V50" s="62">
        <f t="shared" si="17"/>
        <v>0</v>
      </c>
      <c r="W50" s="62"/>
      <c r="X50" s="74" t="s">
        <v>34</v>
      </c>
      <c r="Y50" s="7"/>
      <c r="Z50" s="7"/>
      <c r="AA50" s="7"/>
      <c r="AB50" s="13"/>
      <c r="AC50" s="13"/>
      <c r="AD50" s="13"/>
    </row>
    <row r="51" ht="14.4">
      <c r="A51" s="121" t="s">
        <v>46</v>
      </c>
      <c r="B51" s="66"/>
      <c r="C51" s="185"/>
      <c r="D51" s="107"/>
      <c r="E51" s="186" t="s">
        <v>4</v>
      </c>
      <c r="F51" s="107"/>
      <c r="G51" s="186" t="s">
        <v>4</v>
      </c>
      <c r="H51" s="108"/>
      <c r="I51" s="187"/>
      <c r="J51" s="108"/>
      <c r="K51" s="187"/>
      <c r="L51" s="188"/>
      <c r="M51" s="189"/>
      <c r="N51" s="110"/>
      <c r="O51" s="190" t="s">
        <v>4</v>
      </c>
      <c r="P51" s="191">
        <f t="shared" si="11"/>
        <v>36</v>
      </c>
      <c r="Q51" s="69">
        <f t="shared" si="15"/>
        <v>75</v>
      </c>
      <c r="R51" s="70" t="str">
        <f t="shared" si="12"/>
        <v>Голышев</v>
      </c>
      <c r="S51" s="76" t="s">
        <v>10</v>
      </c>
      <c r="T51" s="77" t="s">
        <v>9</v>
      </c>
      <c r="U51" s="73">
        <f>COUNTIF(T51,B51)+COUNTIF(T51,D51)+COUNTIF(T51,F51)+COUNTIF(T51,H51)+COUNTIF(T51,J51)+COUNTIF(T51,L52)+COUNTIF(T51,N51)</f>
        <v>0</v>
      </c>
      <c r="V51" s="62">
        <f>COUNTIF(S51,B51)+COUNTIF(S51,D51)+COUNTIF(S51,F51)+COUNTIF(S51,H51)+COUNTIF(S51,J51)+COUNTIF(S51,L52)+COUNTIF(S51,N51)</f>
        <v>0</v>
      </c>
      <c r="W51" s="62"/>
      <c r="X51" s="74" t="s">
        <v>34</v>
      </c>
      <c r="Y51" s="7"/>
      <c r="Z51" s="7"/>
      <c r="AA51" s="7"/>
      <c r="AB51" s="13"/>
      <c r="AC51" s="13"/>
      <c r="AD51" s="13"/>
    </row>
    <row r="52" ht="14.4">
      <c r="A52" s="121" t="s">
        <v>47</v>
      </c>
      <c r="B52" s="66"/>
      <c r="C52" s="66"/>
      <c r="D52" s="82"/>
      <c r="E52" s="82"/>
      <c r="F52" s="66"/>
      <c r="G52" s="66"/>
      <c r="H52" s="87"/>
      <c r="I52" s="87"/>
      <c r="J52" s="66"/>
      <c r="K52" s="66"/>
      <c r="L52" s="83"/>
      <c r="M52" s="83" t="s">
        <v>4</v>
      </c>
      <c r="N52" s="66"/>
      <c r="O52" s="66"/>
      <c r="P52" s="68">
        <f>C52+E52+G52+I52+K52+M53+O52</f>
        <v>12</v>
      </c>
      <c r="Q52" s="69">
        <f t="shared" si="15"/>
        <v>91</v>
      </c>
      <c r="R52" s="70" t="str">
        <f t="shared" si="12"/>
        <v>Торубара</v>
      </c>
      <c r="S52" s="76" t="s">
        <v>10</v>
      </c>
      <c r="T52" s="77" t="s">
        <v>9</v>
      </c>
      <c r="U52" s="73">
        <f>COUNTIF(T52,B52)+COUNTIF(T52,D52)+COUNTIF(T52,F52)+COUNTIF(T52,H52)+COUNTIF(T52,J52)+COUNTIF(T52,#REF!)+COUNTIF(T52,N52)</f>
        <v>0</v>
      </c>
      <c r="V52" s="62">
        <f>COUNTIF(S52,B52)+COUNTIF(S52,D52)+COUNTIF(S52,F52)+COUNTIF(S52,H52)+COUNTIF(S52,J52)+COUNTIF(S52,#REF!)+COUNTIF(S52,N52)</f>
        <v>0</v>
      </c>
      <c r="W52" s="62"/>
      <c r="X52" s="74" t="s">
        <v>34</v>
      </c>
      <c r="Y52" s="7"/>
      <c r="Z52" s="7"/>
      <c r="AA52" s="7"/>
      <c r="AB52" s="13"/>
      <c r="AC52" s="13"/>
      <c r="AD52" s="13"/>
    </row>
    <row r="53" ht="14.4">
      <c r="A53" s="121" t="s">
        <v>48</v>
      </c>
      <c r="B53" s="78"/>
      <c r="C53" s="78" t="s">
        <v>4</v>
      </c>
      <c r="D53" s="82"/>
      <c r="E53" s="82"/>
      <c r="F53" s="66"/>
      <c r="G53" s="66"/>
      <c r="H53" s="87"/>
      <c r="I53" s="87"/>
      <c r="J53" s="87"/>
      <c r="K53" s="87"/>
      <c r="L53" s="131"/>
      <c r="M53" s="83">
        <v>12</v>
      </c>
      <c r="N53" s="82"/>
      <c r="O53" s="82"/>
      <c r="P53" s="68">
        <f t="shared" si="11"/>
        <v>24</v>
      </c>
      <c r="Q53" s="69">
        <f t="shared" si="15"/>
        <v>75</v>
      </c>
      <c r="R53" s="70" t="str">
        <f t="shared" si="12"/>
        <v>Стрыгин</v>
      </c>
      <c r="S53" s="71" t="s">
        <v>8</v>
      </c>
      <c r="T53" s="72" t="s">
        <v>7</v>
      </c>
      <c r="U53" s="73">
        <f t="shared" si="16"/>
        <v>0</v>
      </c>
      <c r="V53" s="62">
        <f t="shared" si="17"/>
        <v>0</v>
      </c>
      <c r="W53" s="62"/>
      <c r="X53" s="74" t="s">
        <v>49</v>
      </c>
      <c r="Y53" s="7"/>
      <c r="Z53" s="7"/>
      <c r="AA53" s="7"/>
      <c r="AB53" s="13"/>
      <c r="AC53" s="13"/>
      <c r="AD53" s="13"/>
    </row>
    <row r="54" ht="14.4">
      <c r="A54" s="121" t="s">
        <v>50</v>
      </c>
      <c r="B54" s="66"/>
      <c r="C54" s="66"/>
      <c r="D54" s="83"/>
      <c r="E54" s="83" t="s">
        <v>4</v>
      </c>
      <c r="F54" s="83"/>
      <c r="G54" s="83" t="s">
        <v>4</v>
      </c>
      <c r="H54" s="66"/>
      <c r="I54" s="66"/>
      <c r="J54" s="66"/>
      <c r="K54" s="66"/>
      <c r="L54" s="78"/>
      <c r="M54" s="78" t="s">
        <v>4</v>
      </c>
      <c r="N54" s="78"/>
      <c r="O54" s="78" t="s">
        <v>4</v>
      </c>
      <c r="P54" s="68">
        <f t="shared" si="11"/>
        <v>48</v>
      </c>
      <c r="Q54" s="69">
        <f t="shared" si="15"/>
        <v>63</v>
      </c>
      <c r="R54" s="70" t="str">
        <f t="shared" si="12"/>
        <v>Фрик</v>
      </c>
      <c r="S54" s="71" t="s">
        <v>12</v>
      </c>
      <c r="T54" s="72" t="s">
        <v>11</v>
      </c>
      <c r="U54" s="73">
        <f t="shared" si="16"/>
        <v>0</v>
      </c>
      <c r="V54" s="62">
        <f t="shared" si="17"/>
        <v>0</v>
      </c>
      <c r="W54" s="62"/>
      <c r="X54" s="74" t="s">
        <v>44</v>
      </c>
      <c r="Y54" s="7"/>
      <c r="Z54" s="7"/>
      <c r="AA54" s="7"/>
      <c r="AB54" s="13"/>
      <c r="AC54" s="13"/>
      <c r="AD54" s="13"/>
    </row>
    <row r="55" ht="14.4">
      <c r="A55" s="125" t="s">
        <v>51</v>
      </c>
      <c r="B55" s="66"/>
      <c r="C55" s="66"/>
      <c r="D55" s="67"/>
      <c r="E55" s="66"/>
      <c r="F55" s="67"/>
      <c r="G55" s="67"/>
      <c r="H55" s="83"/>
      <c r="I55" s="83" t="s">
        <v>4</v>
      </c>
      <c r="J55" s="83"/>
      <c r="K55" s="83" t="s">
        <v>4</v>
      </c>
      <c r="L55" s="66"/>
      <c r="M55" s="66"/>
      <c r="N55" s="67"/>
      <c r="O55" s="67"/>
      <c r="P55" s="68">
        <f t="shared" si="11"/>
        <v>24</v>
      </c>
      <c r="Q55" s="69">
        <f t="shared" si="15"/>
        <v>77</v>
      </c>
      <c r="R55" s="70" t="str">
        <f t="shared" si="12"/>
        <v>Истрашкин</v>
      </c>
      <c r="S55" s="71" t="s">
        <v>10</v>
      </c>
      <c r="T55" s="72" t="s">
        <v>9</v>
      </c>
      <c r="U55" s="73">
        <f t="shared" si="16"/>
        <v>0</v>
      </c>
      <c r="V55" s="62">
        <f t="shared" si="17"/>
        <v>0</v>
      </c>
      <c r="W55" s="62"/>
      <c r="X55" s="74" t="s">
        <v>34</v>
      </c>
      <c r="Y55" s="7"/>
      <c r="Z55" s="7"/>
      <c r="AA55" s="7"/>
      <c r="AB55" s="13"/>
      <c r="AC55" s="13"/>
      <c r="AD55" s="13"/>
    </row>
    <row r="56" ht="14.4">
      <c r="A56" s="137"/>
      <c r="B56" s="53">
        <v>46335</v>
      </c>
      <c r="C56" s="53"/>
      <c r="D56" s="53">
        <v>46336</v>
      </c>
      <c r="E56" s="53"/>
      <c r="F56" s="53">
        <v>46337</v>
      </c>
      <c r="G56" s="53"/>
      <c r="H56" s="53">
        <v>46338</v>
      </c>
      <c r="I56" s="53"/>
      <c r="J56" s="53">
        <v>46339</v>
      </c>
      <c r="K56" s="53"/>
      <c r="L56" s="53">
        <v>46340</v>
      </c>
      <c r="M56" s="53"/>
      <c r="N56" s="53">
        <v>46341</v>
      </c>
      <c r="O56" s="192"/>
      <c r="P56" s="152"/>
      <c r="Q56" s="136"/>
      <c r="R56" s="137"/>
      <c r="S56" s="138"/>
      <c r="T56" s="138"/>
      <c r="U56" s="60" t="s">
        <v>27</v>
      </c>
      <c r="V56" s="61" t="s">
        <v>28</v>
      </c>
      <c r="W56" s="62" t="s">
        <v>29</v>
      </c>
      <c r="X56" s="7"/>
      <c r="Y56" s="7"/>
      <c r="Z56" s="7"/>
      <c r="AA56" s="7"/>
      <c r="AB56" s="13"/>
      <c r="AC56" s="13"/>
      <c r="AD56" s="13"/>
    </row>
    <row r="57" ht="14.4">
      <c r="A57" s="165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65"/>
      <c r="Q57" s="165"/>
      <c r="R57" s="193"/>
      <c r="S57" s="127"/>
      <c r="T57" s="127"/>
      <c r="U57" s="127"/>
      <c r="V57" s="127"/>
      <c r="W57" s="128"/>
      <c r="X57" s="7"/>
      <c r="Y57" s="7"/>
      <c r="Z57" s="7"/>
      <c r="AA57" s="7"/>
      <c r="AB57" s="13"/>
      <c r="AC57" s="13"/>
      <c r="AD57" s="13"/>
    </row>
    <row r="58" ht="14.4">
      <c r="A58" s="141"/>
      <c r="B58" s="43" t="s">
        <v>17</v>
      </c>
      <c r="C58" s="142"/>
      <c r="D58" s="43" t="s">
        <v>18</v>
      </c>
      <c r="E58" s="142"/>
      <c r="F58" s="43" t="s">
        <v>19</v>
      </c>
      <c r="G58" s="43"/>
      <c r="H58" s="43" t="s">
        <v>20</v>
      </c>
      <c r="I58" s="142"/>
      <c r="J58" s="45" t="s">
        <v>21</v>
      </c>
      <c r="K58" s="45"/>
      <c r="L58" s="43" t="s">
        <v>22</v>
      </c>
      <c r="M58" s="43"/>
      <c r="N58" s="43" t="s">
        <v>23</v>
      </c>
      <c r="O58" s="43"/>
      <c r="P58" s="47" t="s">
        <v>24</v>
      </c>
      <c r="Q58" s="48"/>
      <c r="R58" s="141"/>
      <c r="S58" s="141"/>
      <c r="T58" s="141"/>
      <c r="U58" s="62"/>
      <c r="V58" s="62"/>
      <c r="W58" s="62"/>
      <c r="X58" s="51"/>
      <c r="Y58" s="7"/>
      <c r="Z58" s="7"/>
      <c r="AA58" s="7"/>
      <c r="AB58" s="13"/>
      <c r="AC58" s="13"/>
      <c r="AD58" s="13"/>
    </row>
    <row r="59" ht="14.4">
      <c r="A59" s="52"/>
      <c r="B59" s="53">
        <v>46342</v>
      </c>
      <c r="C59" s="53"/>
      <c r="D59" s="53">
        <v>46343</v>
      </c>
      <c r="E59" s="53"/>
      <c r="F59" s="53">
        <v>46344</v>
      </c>
      <c r="G59" s="53"/>
      <c r="H59" s="53">
        <v>46345</v>
      </c>
      <c r="I59" s="53"/>
      <c r="J59" s="53">
        <v>46346</v>
      </c>
      <c r="K59" s="53"/>
      <c r="L59" s="53">
        <v>46347</v>
      </c>
      <c r="M59" s="53"/>
      <c r="N59" s="53">
        <v>46348</v>
      </c>
      <c r="O59" s="53"/>
      <c r="P59" s="55" t="s">
        <v>25</v>
      </c>
      <c r="Q59" s="56" t="s">
        <v>26</v>
      </c>
      <c r="R59" s="118"/>
      <c r="S59" s="52"/>
      <c r="T59" s="52"/>
      <c r="U59" s="194" t="s">
        <v>27</v>
      </c>
      <c r="V59" s="61" t="s">
        <v>28</v>
      </c>
      <c r="W59" s="62" t="s">
        <v>29</v>
      </c>
      <c r="X59" s="63" t="s">
        <v>30</v>
      </c>
      <c r="Y59" s="7"/>
      <c r="Z59" s="7"/>
      <c r="AA59" s="7"/>
      <c r="AB59" s="13"/>
      <c r="AC59" s="13"/>
      <c r="AD59" s="13"/>
    </row>
    <row r="60" ht="14.4">
      <c r="A60" s="64" t="s">
        <v>31</v>
      </c>
      <c r="B60" s="65" t="s">
        <v>32</v>
      </c>
      <c r="C60" s="65" t="s">
        <v>33</v>
      </c>
      <c r="D60" s="65" t="s">
        <v>32</v>
      </c>
      <c r="E60" s="65" t="s">
        <v>33</v>
      </c>
      <c r="F60" s="65" t="s">
        <v>32</v>
      </c>
      <c r="G60" s="65" t="s">
        <v>33</v>
      </c>
      <c r="H60" s="65" t="s">
        <v>32</v>
      </c>
      <c r="I60" s="65" t="s">
        <v>33</v>
      </c>
      <c r="J60" s="65" t="s">
        <v>32</v>
      </c>
      <c r="K60" s="65" t="s">
        <v>33</v>
      </c>
      <c r="L60" s="183"/>
      <c r="M60" s="183"/>
      <c r="N60" s="183"/>
      <c r="O60" s="183"/>
      <c r="P60" s="68">
        <f t="shared" si="11"/>
        <v>40</v>
      </c>
      <c r="Q60" s="69">
        <f t="shared" si="15"/>
        <v>47</v>
      </c>
      <c r="R60" s="70" t="str">
        <f t="shared" si="12"/>
        <v>Нетронин</v>
      </c>
      <c r="S60" s="71" t="s">
        <v>10</v>
      </c>
      <c r="T60" s="72" t="s">
        <v>9</v>
      </c>
      <c r="U60" s="73">
        <v>0</v>
      </c>
      <c r="V60" s="62">
        <v>0</v>
      </c>
      <c r="W60" s="62"/>
      <c r="X60" s="74" t="s">
        <v>34</v>
      </c>
      <c r="Y60" s="7"/>
      <c r="Z60" s="7"/>
      <c r="AA60" s="7"/>
      <c r="AB60" s="13"/>
      <c r="AC60" s="13"/>
      <c r="AD60" s="13"/>
    </row>
    <row r="61" ht="14.4">
      <c r="A61" s="75" t="s">
        <v>35</v>
      </c>
      <c r="B61" s="65" t="s">
        <v>32</v>
      </c>
      <c r="C61" s="65" t="s">
        <v>33</v>
      </c>
      <c r="D61" s="65" t="s">
        <v>32</v>
      </c>
      <c r="E61" s="65" t="s">
        <v>33</v>
      </c>
      <c r="F61" s="65" t="s">
        <v>32</v>
      </c>
      <c r="G61" s="65" t="s">
        <v>33</v>
      </c>
      <c r="H61" s="65" t="s">
        <v>32</v>
      </c>
      <c r="I61" s="65" t="s">
        <v>33</v>
      </c>
      <c r="J61" s="65" t="s">
        <v>32</v>
      </c>
      <c r="K61" s="65" t="s">
        <v>33</v>
      </c>
      <c r="L61" s="66"/>
      <c r="M61" s="66"/>
      <c r="N61" s="66"/>
      <c r="O61" s="66"/>
      <c r="P61" s="68">
        <f t="shared" si="11"/>
        <v>40</v>
      </c>
      <c r="Q61" s="69">
        <f t="shared" si="15"/>
        <v>47</v>
      </c>
      <c r="R61" s="70" t="str">
        <f t="shared" si="12"/>
        <v>Рычков</v>
      </c>
      <c r="S61" s="76" t="s">
        <v>10</v>
      </c>
      <c r="T61" s="77" t="s">
        <v>9</v>
      </c>
      <c r="U61" s="73">
        <f t="shared" si="16"/>
        <v>0</v>
      </c>
      <c r="V61" s="62">
        <f t="shared" si="17"/>
        <v>0</v>
      </c>
      <c r="W61" s="62"/>
      <c r="X61" s="74" t="s">
        <v>34</v>
      </c>
      <c r="Y61" s="7"/>
      <c r="Z61" s="7"/>
      <c r="AA61" s="7"/>
      <c r="AB61" s="13"/>
      <c r="AC61" s="13"/>
      <c r="AD61" s="13"/>
    </row>
    <row r="62" ht="14.4">
      <c r="A62" s="64" t="s">
        <v>39</v>
      </c>
      <c r="B62" s="65" t="s">
        <v>32</v>
      </c>
      <c r="C62" s="65" t="s">
        <v>33</v>
      </c>
      <c r="D62" s="65" t="s">
        <v>32</v>
      </c>
      <c r="E62" s="65" t="s">
        <v>33</v>
      </c>
      <c r="F62" s="65" t="s">
        <v>32</v>
      </c>
      <c r="G62" s="65" t="s">
        <v>33</v>
      </c>
      <c r="H62" s="65" t="s">
        <v>32</v>
      </c>
      <c r="I62" s="65" t="s">
        <v>33</v>
      </c>
      <c r="J62" s="65" t="s">
        <v>32</v>
      </c>
      <c r="K62" s="65" t="s">
        <v>33</v>
      </c>
      <c r="L62" s="66"/>
      <c r="M62" s="66"/>
      <c r="N62" s="66"/>
      <c r="O62" s="66"/>
      <c r="P62" s="68">
        <f t="shared" si="11"/>
        <v>40</v>
      </c>
      <c r="Q62" s="69">
        <f t="shared" si="15"/>
        <v>47</v>
      </c>
      <c r="R62" s="70" t="str">
        <f t="shared" si="12"/>
        <v>Игумнов</v>
      </c>
      <c r="S62" s="76" t="s">
        <v>10</v>
      </c>
      <c r="T62" s="77" t="s">
        <v>9</v>
      </c>
      <c r="U62" s="73">
        <f t="shared" si="16"/>
        <v>0</v>
      </c>
      <c r="V62" s="62">
        <f t="shared" si="17"/>
        <v>0</v>
      </c>
      <c r="W62" s="62"/>
      <c r="X62" s="79" t="s">
        <v>34</v>
      </c>
      <c r="Y62" s="7"/>
      <c r="Z62" s="7"/>
      <c r="AA62" s="7"/>
      <c r="AB62" s="13"/>
      <c r="AC62" s="13"/>
      <c r="AD62" s="13"/>
    </row>
    <row r="63" ht="14.4">
      <c r="A63" s="64" t="s">
        <v>40</v>
      </c>
      <c r="B63" s="65" t="s">
        <v>32</v>
      </c>
      <c r="C63" s="65" t="s">
        <v>33</v>
      </c>
      <c r="D63" s="65" t="s">
        <v>32</v>
      </c>
      <c r="E63" s="65" t="s">
        <v>33</v>
      </c>
      <c r="F63" s="65" t="s">
        <v>32</v>
      </c>
      <c r="G63" s="65" t="s">
        <v>33</v>
      </c>
      <c r="H63" s="65" t="s">
        <v>32</v>
      </c>
      <c r="I63" s="65" t="s">
        <v>33</v>
      </c>
      <c r="J63" s="65" t="s">
        <v>32</v>
      </c>
      <c r="K63" s="65" t="s">
        <v>33</v>
      </c>
      <c r="L63" s="66"/>
      <c r="M63" s="66"/>
      <c r="N63" s="66"/>
      <c r="O63" s="66"/>
      <c r="P63" s="68">
        <f t="shared" si="11"/>
        <v>40</v>
      </c>
      <c r="Q63" s="69">
        <f t="shared" si="15"/>
        <v>47</v>
      </c>
      <c r="R63" s="70" t="str">
        <f t="shared" si="12"/>
        <v>Душин</v>
      </c>
      <c r="S63" s="76" t="s">
        <v>10</v>
      </c>
      <c r="T63" s="77" t="s">
        <v>9</v>
      </c>
      <c r="U63" s="73">
        <f t="shared" si="16"/>
        <v>0</v>
      </c>
      <c r="V63" s="62">
        <f>COUNTIF(U63,C63)+COUNTIF(U63,E63)+COUNTIF(U63,G63)+COUNTIF(U63,I63)+COUNTIF(U63,K63)+COUNTIF(U63,M63)+COUNTIF(U63,O63)</f>
        <v>2</v>
      </c>
      <c r="W63" s="62"/>
      <c r="X63" s="74" t="s">
        <v>38</v>
      </c>
      <c r="Y63" s="7"/>
      <c r="Z63" s="7"/>
      <c r="AA63" s="7"/>
      <c r="AB63" s="13"/>
      <c r="AC63" s="13"/>
      <c r="AD63" s="13"/>
    </row>
    <row r="64" ht="14.4">
      <c r="A64" s="64" t="s">
        <v>42</v>
      </c>
      <c r="B64" s="148" t="s">
        <v>32</v>
      </c>
      <c r="C64" s="148" t="s">
        <v>33</v>
      </c>
      <c r="D64" s="148" t="s">
        <v>32</v>
      </c>
      <c r="E64" s="148" t="s">
        <v>33</v>
      </c>
      <c r="F64" s="148" t="s">
        <v>32</v>
      </c>
      <c r="G64" s="148" t="s">
        <v>33</v>
      </c>
      <c r="H64" s="148" t="s">
        <v>32</v>
      </c>
      <c r="I64" s="148" t="s">
        <v>33</v>
      </c>
      <c r="J64" s="148" t="s">
        <v>32</v>
      </c>
      <c r="K64" s="148" t="s">
        <v>33</v>
      </c>
      <c r="L64" s="108"/>
      <c r="M64" s="108"/>
      <c r="N64" s="108"/>
      <c r="O64" s="108"/>
      <c r="P64" s="68">
        <f t="shared" si="11"/>
        <v>40</v>
      </c>
      <c r="Q64" s="69">
        <f t="shared" si="15"/>
        <v>47</v>
      </c>
      <c r="R64" s="70" t="str">
        <f t="shared" si="12"/>
        <v>Юращик</v>
      </c>
      <c r="S64" s="76" t="s">
        <v>10</v>
      </c>
      <c r="T64" s="77" t="s">
        <v>9</v>
      </c>
      <c r="U64" s="73"/>
      <c r="V64" s="62"/>
      <c r="W64" s="62"/>
      <c r="X64" s="74" t="s">
        <v>38</v>
      </c>
      <c r="Y64" s="7"/>
      <c r="Z64" s="7"/>
      <c r="AA64" s="7"/>
      <c r="AB64" s="13"/>
      <c r="AC64" s="13"/>
      <c r="AD64" s="13"/>
    </row>
    <row r="65" ht="14.4">
      <c r="A65" s="81" t="s">
        <v>43</v>
      </c>
      <c r="B65" s="120"/>
      <c r="C65" s="182" t="s">
        <v>33</v>
      </c>
      <c r="D65" s="120"/>
      <c r="E65" s="182" t="s">
        <v>33</v>
      </c>
      <c r="F65" s="120"/>
      <c r="G65" s="182" t="s">
        <v>33</v>
      </c>
      <c r="H65" s="120"/>
      <c r="I65" s="182" t="s">
        <v>33</v>
      </c>
      <c r="J65" s="120"/>
      <c r="K65" s="182" t="s">
        <v>33</v>
      </c>
      <c r="L65" s="183"/>
      <c r="M65" s="184"/>
      <c r="N65" s="183"/>
      <c r="O65" s="184"/>
      <c r="P65" s="68">
        <f t="shared" si="11"/>
        <v>40</v>
      </c>
      <c r="Q65" s="69">
        <f t="shared" si="15"/>
        <v>31</v>
      </c>
      <c r="R65" s="70" t="s">
        <v>43</v>
      </c>
      <c r="S65" s="71" t="s">
        <v>12</v>
      </c>
      <c r="T65" s="72" t="s">
        <v>11</v>
      </c>
      <c r="U65" s="85">
        <f t="shared" si="16"/>
        <v>0</v>
      </c>
      <c r="V65" s="86">
        <f t="shared" ref="V65:V103" si="18">COUNTIF(S65,B65)+COUNTIF(S65,D65)+COUNTIF(S65,F65)+COUNTIF(S65,H65)+COUNTIF(S65,J65)+COUNTIF(S65,L65)+COUNTIF(S65,N65)</f>
        <v>0</v>
      </c>
      <c r="W65" s="86"/>
      <c r="X65" s="74" t="s">
        <v>44</v>
      </c>
      <c r="Y65" s="80"/>
      <c r="Z65" s="80"/>
      <c r="AA65" s="80"/>
      <c r="AB65" s="13"/>
      <c r="AC65" s="13"/>
      <c r="AD65" s="13"/>
    </row>
    <row r="66" ht="14.4">
      <c r="A66" s="81" t="s">
        <v>45</v>
      </c>
      <c r="B66" s="150"/>
      <c r="C66" s="150"/>
      <c r="D66" s="108"/>
      <c r="E66" s="108"/>
      <c r="F66" s="109"/>
      <c r="G66" s="109"/>
      <c r="H66" s="109"/>
      <c r="I66" s="109"/>
      <c r="J66" s="107"/>
      <c r="K66" s="107" t="s">
        <v>4</v>
      </c>
      <c r="L66" s="107"/>
      <c r="M66" s="107" t="s">
        <v>4</v>
      </c>
      <c r="N66" s="108"/>
      <c r="O66" s="108"/>
      <c r="P66" s="68">
        <f t="shared" si="11"/>
        <v>24</v>
      </c>
      <c r="Q66" s="69">
        <f t="shared" si="15"/>
        <v>41</v>
      </c>
      <c r="R66" s="70" t="str">
        <f t="shared" si="12"/>
        <v>Пузырь</v>
      </c>
      <c r="S66" s="76" t="s">
        <v>10</v>
      </c>
      <c r="T66" s="77" t="s">
        <v>9</v>
      </c>
      <c r="U66" s="73">
        <f t="shared" si="16"/>
        <v>0</v>
      </c>
      <c r="V66" s="62">
        <f t="shared" si="18"/>
        <v>0</v>
      </c>
      <c r="W66" s="62"/>
      <c r="X66" s="74" t="s">
        <v>34</v>
      </c>
      <c r="Y66" s="7"/>
      <c r="Z66" s="7"/>
      <c r="AA66" s="7"/>
      <c r="AB66" s="13"/>
      <c r="AC66" s="13"/>
      <c r="AD66" s="13"/>
    </row>
    <row r="67" ht="14.4">
      <c r="A67" s="81" t="s">
        <v>46</v>
      </c>
      <c r="B67" s="195"/>
      <c r="C67" s="195"/>
      <c r="D67" s="67"/>
      <c r="E67" s="67"/>
      <c r="F67" s="78"/>
      <c r="G67" s="78" t="s">
        <v>4</v>
      </c>
      <c r="H67" s="78"/>
      <c r="I67" s="78" t="s">
        <v>4</v>
      </c>
      <c r="J67" s="66"/>
      <c r="K67" s="66"/>
      <c r="L67" s="67"/>
      <c r="M67" s="67"/>
      <c r="N67" s="83"/>
      <c r="O67" s="83" t="s">
        <v>4</v>
      </c>
      <c r="P67" s="68">
        <f t="shared" si="11"/>
        <v>36</v>
      </c>
      <c r="Q67" s="69">
        <f t="shared" si="15"/>
        <v>39</v>
      </c>
      <c r="R67" s="70" t="str">
        <f t="shared" si="12"/>
        <v>Голышев</v>
      </c>
      <c r="S67" s="76" t="s">
        <v>10</v>
      </c>
      <c r="T67" s="77" t="s">
        <v>9</v>
      </c>
      <c r="U67" s="73">
        <f t="shared" si="16"/>
        <v>0</v>
      </c>
      <c r="V67" s="62">
        <f t="shared" si="18"/>
        <v>0</v>
      </c>
      <c r="W67" s="62"/>
      <c r="X67" s="74" t="s">
        <v>34</v>
      </c>
      <c r="Y67" s="7"/>
      <c r="Z67" s="7"/>
      <c r="AA67" s="7"/>
      <c r="AB67" s="13"/>
      <c r="AC67" s="13"/>
      <c r="AD67" s="13"/>
    </row>
    <row r="68" ht="14.4">
      <c r="A68" s="81" t="s">
        <v>47</v>
      </c>
      <c r="B68" s="78"/>
      <c r="C68" s="78" t="s">
        <v>4</v>
      </c>
      <c r="D68" s="78"/>
      <c r="E68" s="78" t="s">
        <v>4</v>
      </c>
      <c r="F68" s="82"/>
      <c r="G68" s="82"/>
      <c r="H68" s="67"/>
      <c r="I68" s="66"/>
      <c r="J68" s="83"/>
      <c r="K68" s="83" t="s">
        <v>4</v>
      </c>
      <c r="L68" s="87"/>
      <c r="M68" s="87"/>
      <c r="N68" s="82"/>
      <c r="O68" s="82"/>
      <c r="P68" s="68">
        <f t="shared" si="11"/>
        <v>36</v>
      </c>
      <c r="Q68" s="69">
        <f t="shared" si="15"/>
        <v>55</v>
      </c>
      <c r="R68" s="70" t="str">
        <f t="shared" si="12"/>
        <v>Торубара</v>
      </c>
      <c r="S68" s="76" t="s">
        <v>10</v>
      </c>
      <c r="T68" s="77" t="s">
        <v>9</v>
      </c>
      <c r="U68" s="73">
        <f t="shared" si="16"/>
        <v>0</v>
      </c>
      <c r="V68" s="62">
        <f t="shared" si="18"/>
        <v>0</v>
      </c>
      <c r="W68" s="62"/>
      <c r="X68" s="74" t="s">
        <v>34</v>
      </c>
      <c r="Y68" s="7"/>
      <c r="Z68" s="7"/>
      <c r="AA68" s="7"/>
      <c r="AB68" s="13"/>
      <c r="AC68" s="13"/>
      <c r="AD68" s="13"/>
    </row>
    <row r="69" ht="14.4">
      <c r="A69" s="81" t="s">
        <v>48</v>
      </c>
      <c r="B69" s="120"/>
      <c r="C69" s="120" t="s">
        <v>33</v>
      </c>
      <c r="D69" s="196"/>
      <c r="E69" s="196" t="s">
        <v>33</v>
      </c>
      <c r="F69" s="120"/>
      <c r="G69" s="120" t="s">
        <v>33</v>
      </c>
      <c r="H69" s="120"/>
      <c r="I69" s="120" t="s">
        <v>33</v>
      </c>
      <c r="J69" s="196"/>
      <c r="K69" s="196" t="s">
        <v>33</v>
      </c>
      <c r="L69" s="120"/>
      <c r="M69" s="120"/>
      <c r="N69" s="120"/>
      <c r="O69" s="120"/>
      <c r="P69" s="68">
        <f t="shared" si="11"/>
        <v>40</v>
      </c>
      <c r="Q69" s="69">
        <f t="shared" si="15"/>
        <v>35</v>
      </c>
      <c r="R69" s="70" t="str">
        <f t="shared" si="12"/>
        <v>Стрыгин</v>
      </c>
      <c r="S69" s="71" t="s">
        <v>8</v>
      </c>
      <c r="T69" s="72" t="s">
        <v>7</v>
      </c>
      <c r="U69" s="73">
        <f t="shared" si="16"/>
        <v>0</v>
      </c>
      <c r="V69" s="62">
        <f t="shared" si="18"/>
        <v>0</v>
      </c>
      <c r="W69" s="62"/>
      <c r="X69" s="74" t="s">
        <v>49</v>
      </c>
      <c r="Y69" s="7"/>
      <c r="Z69" s="7"/>
      <c r="AA69" s="7"/>
      <c r="AB69" s="13"/>
      <c r="AC69" s="13"/>
      <c r="AD69" s="13"/>
    </row>
    <row r="70" ht="14.4">
      <c r="A70" s="81" t="s">
        <v>50</v>
      </c>
      <c r="B70" s="82"/>
      <c r="C70" s="82"/>
      <c r="D70" s="66"/>
      <c r="E70" s="66"/>
      <c r="F70" s="83"/>
      <c r="G70" s="83" t="s">
        <v>53</v>
      </c>
      <c r="H70" s="112"/>
      <c r="I70" s="83" t="s">
        <v>4</v>
      </c>
      <c r="J70" s="82"/>
      <c r="K70" s="82"/>
      <c r="L70" s="82"/>
      <c r="M70" s="82"/>
      <c r="N70" s="78"/>
      <c r="O70" s="78" t="s">
        <v>4</v>
      </c>
      <c r="P70" s="68">
        <f t="shared" si="11"/>
        <v>34</v>
      </c>
      <c r="Q70" s="69">
        <f t="shared" si="15"/>
        <v>29</v>
      </c>
      <c r="R70" s="70" t="str">
        <f t="shared" si="12"/>
        <v>Фрик</v>
      </c>
      <c r="S70" s="71" t="s">
        <v>12</v>
      </c>
      <c r="T70" s="72" t="s">
        <v>11</v>
      </c>
      <c r="U70" s="73">
        <f t="shared" si="16"/>
        <v>0</v>
      </c>
      <c r="V70" s="62">
        <f t="shared" si="18"/>
        <v>0</v>
      </c>
      <c r="W70" s="62"/>
      <c r="X70" s="74" t="s">
        <v>44</v>
      </c>
      <c r="Y70" s="7"/>
      <c r="Z70" s="7"/>
      <c r="AA70" s="7"/>
      <c r="AB70" s="13"/>
      <c r="AC70" s="13"/>
      <c r="AD70" s="13"/>
    </row>
    <row r="71" ht="14.4">
      <c r="A71" s="88" t="s">
        <v>51</v>
      </c>
      <c r="B71" s="83"/>
      <c r="C71" s="112" t="s">
        <v>4</v>
      </c>
      <c r="D71" s="83"/>
      <c r="E71" s="83" t="s">
        <v>4</v>
      </c>
      <c r="F71" s="67"/>
      <c r="G71" s="66"/>
      <c r="H71" s="82"/>
      <c r="I71" s="82"/>
      <c r="J71" s="87"/>
      <c r="K71" s="87"/>
      <c r="L71" s="83"/>
      <c r="M71" s="83" t="s">
        <v>4</v>
      </c>
      <c r="N71" s="66"/>
      <c r="O71" s="66"/>
      <c r="P71" s="68">
        <f t="shared" si="11"/>
        <v>36</v>
      </c>
      <c r="Q71" s="69">
        <f t="shared" si="15"/>
        <v>41</v>
      </c>
      <c r="R71" s="70" t="str">
        <f t="shared" si="12"/>
        <v>Истрашкин</v>
      </c>
      <c r="S71" s="71" t="s">
        <v>10</v>
      </c>
      <c r="T71" s="72" t="s">
        <v>9</v>
      </c>
      <c r="U71" s="73">
        <f t="shared" si="16"/>
        <v>0</v>
      </c>
      <c r="V71" s="62">
        <f t="shared" si="18"/>
        <v>0</v>
      </c>
      <c r="W71" s="62"/>
      <c r="X71" s="74" t="s">
        <v>34</v>
      </c>
      <c r="Y71" s="7"/>
      <c r="Z71" s="7"/>
      <c r="AA71" s="7"/>
      <c r="AB71" s="13"/>
      <c r="AC71" s="13"/>
      <c r="AD71" s="13"/>
    </row>
    <row r="72" ht="14.4">
      <c r="A72" s="137"/>
      <c r="B72" s="53">
        <v>46342</v>
      </c>
      <c r="C72" s="53"/>
      <c r="D72" s="53">
        <v>46343</v>
      </c>
      <c r="E72" s="53"/>
      <c r="F72" s="53">
        <v>46344</v>
      </c>
      <c r="G72" s="53"/>
      <c r="H72" s="53">
        <v>46345</v>
      </c>
      <c r="I72" s="53"/>
      <c r="J72" s="53">
        <v>46346</v>
      </c>
      <c r="K72" s="53"/>
      <c r="L72" s="53">
        <v>46347</v>
      </c>
      <c r="M72" s="53"/>
      <c r="N72" s="53">
        <v>46348</v>
      </c>
      <c r="O72" s="192"/>
      <c r="P72" s="152"/>
      <c r="Q72" s="136"/>
      <c r="R72" s="137"/>
      <c r="S72" s="138"/>
      <c r="T72" s="138"/>
      <c r="U72" s="60" t="s">
        <v>27</v>
      </c>
      <c r="V72" s="61" t="s">
        <v>28</v>
      </c>
      <c r="W72" s="62" t="s">
        <v>29</v>
      </c>
      <c r="X72" s="7"/>
      <c r="Y72" s="7"/>
      <c r="Z72" s="7"/>
      <c r="AA72" s="7"/>
      <c r="AB72" s="13"/>
      <c r="AC72" s="13"/>
      <c r="AD72" s="13"/>
    </row>
    <row r="73" ht="14.4">
      <c r="A73" s="139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39"/>
      <c r="Q73" s="127"/>
      <c r="R73" s="139"/>
      <c r="S73" s="139"/>
      <c r="T73" s="139"/>
      <c r="U73" s="127"/>
      <c r="V73" s="127"/>
      <c r="W73" s="128"/>
      <c r="X73" s="7"/>
      <c r="Y73" s="7"/>
      <c r="Z73" s="7"/>
      <c r="AA73" s="7"/>
      <c r="AB73" s="13"/>
      <c r="AC73" s="13"/>
      <c r="AD73" s="13"/>
    </row>
    <row r="74" ht="14.4">
      <c r="A74" s="143"/>
      <c r="B74" s="43" t="s">
        <v>17</v>
      </c>
      <c r="C74" s="142"/>
      <c r="D74" s="43" t="s">
        <v>18</v>
      </c>
      <c r="E74" s="142"/>
      <c r="F74" s="43" t="s">
        <v>19</v>
      </c>
      <c r="G74" s="43"/>
      <c r="H74" s="43" t="s">
        <v>20</v>
      </c>
      <c r="I74" s="142"/>
      <c r="J74" s="45" t="s">
        <v>21</v>
      </c>
      <c r="K74" s="45"/>
      <c r="L74" s="43" t="s">
        <v>22</v>
      </c>
      <c r="M74" s="43"/>
      <c r="N74" s="43" t="s">
        <v>23</v>
      </c>
      <c r="O74" s="43"/>
      <c r="P74" s="47" t="s">
        <v>24</v>
      </c>
      <c r="Q74" s="48"/>
      <c r="R74" s="141"/>
      <c r="S74" s="143"/>
      <c r="T74" s="143"/>
      <c r="U74" s="62"/>
      <c r="V74" s="62"/>
      <c r="W74" s="62"/>
      <c r="X74" s="51"/>
      <c r="Y74" s="7"/>
      <c r="Z74" s="7"/>
      <c r="AA74" s="7"/>
      <c r="AB74" s="13"/>
      <c r="AC74" s="13"/>
      <c r="AD74" s="13"/>
    </row>
    <row r="75" ht="14.4">
      <c r="A75" s="197"/>
      <c r="B75" s="53">
        <v>46349</v>
      </c>
      <c r="C75" s="53"/>
      <c r="D75" s="53">
        <v>46350</v>
      </c>
      <c r="E75" s="53"/>
      <c r="F75" s="53">
        <v>46351</v>
      </c>
      <c r="G75" s="53"/>
      <c r="H75" s="53">
        <v>46352</v>
      </c>
      <c r="I75" s="53"/>
      <c r="J75" s="53">
        <v>46353</v>
      </c>
      <c r="K75" s="53"/>
      <c r="L75" s="53">
        <v>46354</v>
      </c>
      <c r="M75" s="53"/>
      <c r="N75" s="53">
        <v>46355</v>
      </c>
      <c r="O75" s="54"/>
      <c r="P75" s="55" t="s">
        <v>25</v>
      </c>
      <c r="Q75" s="56" t="s">
        <v>26</v>
      </c>
      <c r="R75" s="118"/>
      <c r="S75" s="119"/>
      <c r="T75" s="147"/>
      <c r="U75" s="60" t="s">
        <v>27</v>
      </c>
      <c r="V75" s="61" t="s">
        <v>28</v>
      </c>
      <c r="W75" s="62" t="s">
        <v>29</v>
      </c>
      <c r="X75" s="63" t="s">
        <v>30</v>
      </c>
      <c r="Y75" s="7"/>
      <c r="Z75" s="7"/>
      <c r="AA75" s="7"/>
      <c r="AB75" s="13"/>
      <c r="AC75" s="13"/>
      <c r="AD75" s="13"/>
    </row>
    <row r="76" ht="14.4">
      <c r="A76" s="64" t="s">
        <v>31</v>
      </c>
      <c r="B76" s="65" t="s">
        <v>32</v>
      </c>
      <c r="C76" s="198" t="s">
        <v>33</v>
      </c>
      <c r="D76" s="199" t="s">
        <v>32</v>
      </c>
      <c r="E76" s="198" t="s">
        <v>33</v>
      </c>
      <c r="F76" s="199" t="s">
        <v>32</v>
      </c>
      <c r="G76" s="198" t="s">
        <v>33</v>
      </c>
      <c r="H76" s="199" t="s">
        <v>32</v>
      </c>
      <c r="I76" s="198" t="s">
        <v>33</v>
      </c>
      <c r="J76" s="199" t="s">
        <v>32</v>
      </c>
      <c r="K76" s="198" t="s">
        <v>33</v>
      </c>
      <c r="L76" s="200"/>
      <c r="M76" s="200"/>
      <c r="N76" s="201"/>
      <c r="O76" s="201"/>
      <c r="P76" s="68">
        <f t="shared" ref="P76:P103" si="19">C76+E76+G76+I76+K76+M76+O76</f>
        <v>40</v>
      </c>
      <c r="Q76" s="69">
        <f t="shared" si="15"/>
        <v>7</v>
      </c>
      <c r="R76" s="70" t="str">
        <f t="shared" ref="R76:R103" si="20">A76</f>
        <v>Нетронин</v>
      </c>
      <c r="S76" s="71" t="s">
        <v>10</v>
      </c>
      <c r="T76" s="72" t="s">
        <v>9</v>
      </c>
      <c r="U76" s="73">
        <v>0</v>
      </c>
      <c r="V76" s="62">
        <v>0</v>
      </c>
      <c r="W76" s="62"/>
      <c r="X76" s="74" t="s">
        <v>34</v>
      </c>
      <c r="Y76" s="7"/>
      <c r="Z76" s="7"/>
      <c r="AA76" s="7"/>
      <c r="AB76" s="13"/>
      <c r="AC76" s="13"/>
      <c r="AD76" s="13"/>
    </row>
    <row r="77" ht="14.4">
      <c r="A77" s="202" t="s">
        <v>35</v>
      </c>
      <c r="B77" s="65" t="s">
        <v>32</v>
      </c>
      <c r="C77" s="65" t="s">
        <v>33</v>
      </c>
      <c r="D77" s="65" t="s">
        <v>32</v>
      </c>
      <c r="E77" s="65" t="s">
        <v>33</v>
      </c>
      <c r="F77" s="65" t="s">
        <v>32</v>
      </c>
      <c r="G77" s="65" t="s">
        <v>33</v>
      </c>
      <c r="H77" s="65" t="s">
        <v>32</v>
      </c>
      <c r="I77" s="65" t="s">
        <v>33</v>
      </c>
      <c r="J77" s="65" t="s">
        <v>32</v>
      </c>
      <c r="K77" s="65" t="s">
        <v>33</v>
      </c>
      <c r="L77" s="66"/>
      <c r="M77" s="66"/>
      <c r="N77" s="66"/>
      <c r="O77" s="66"/>
      <c r="P77" s="68">
        <f t="shared" si="19"/>
        <v>40</v>
      </c>
      <c r="Q77" s="69">
        <f t="shared" si="15"/>
        <v>7</v>
      </c>
      <c r="R77" s="70" t="str">
        <f t="shared" si="20"/>
        <v>Рычков</v>
      </c>
      <c r="S77" s="76" t="s">
        <v>10</v>
      </c>
      <c r="T77" s="77" t="s">
        <v>9</v>
      </c>
      <c r="U77" s="73">
        <f t="shared" si="16"/>
        <v>0</v>
      </c>
      <c r="V77" s="62">
        <f t="shared" si="18"/>
        <v>0</v>
      </c>
      <c r="W77" s="62"/>
      <c r="X77" s="74" t="s">
        <v>34</v>
      </c>
      <c r="Y77" s="7"/>
      <c r="Z77" s="7"/>
      <c r="AA77" s="7"/>
      <c r="AB77" s="13"/>
      <c r="AC77" s="13"/>
      <c r="AD77" s="13"/>
    </row>
    <row r="78" ht="14.4">
      <c r="A78" s="203" t="s">
        <v>39</v>
      </c>
      <c r="B78" s="65" t="s">
        <v>32</v>
      </c>
      <c r="C78" s="65" t="s">
        <v>33</v>
      </c>
      <c r="D78" s="65" t="s">
        <v>32</v>
      </c>
      <c r="E78" s="65" t="s">
        <v>33</v>
      </c>
      <c r="F78" s="65" t="s">
        <v>32</v>
      </c>
      <c r="G78" s="65" t="s">
        <v>33</v>
      </c>
      <c r="H78" s="65" t="s">
        <v>32</v>
      </c>
      <c r="I78" s="65" t="s">
        <v>33</v>
      </c>
      <c r="J78" s="65" t="s">
        <v>32</v>
      </c>
      <c r="K78" s="65" t="s">
        <v>33</v>
      </c>
      <c r="L78" s="66"/>
      <c r="M78" s="66"/>
      <c r="N78" s="66"/>
      <c r="O78" s="66"/>
      <c r="P78" s="68">
        <f t="shared" si="19"/>
        <v>40</v>
      </c>
      <c r="Q78" s="69">
        <f t="shared" si="15"/>
        <v>7</v>
      </c>
      <c r="R78" s="70" t="str">
        <f t="shared" si="20"/>
        <v>Игумнов</v>
      </c>
      <c r="S78" s="76" t="s">
        <v>10</v>
      </c>
      <c r="T78" s="77" t="s">
        <v>9</v>
      </c>
      <c r="U78" s="73">
        <f t="shared" si="16"/>
        <v>0</v>
      </c>
      <c r="V78" s="62">
        <f t="shared" si="18"/>
        <v>0</v>
      </c>
      <c r="W78" s="62"/>
      <c r="X78" s="79" t="s">
        <v>34</v>
      </c>
      <c r="Y78" s="7"/>
      <c r="Z78" s="7"/>
      <c r="AA78" s="7"/>
      <c r="AB78" s="13"/>
      <c r="AC78" s="13"/>
      <c r="AD78" s="13"/>
    </row>
    <row r="79" ht="14.4">
      <c r="A79" s="203" t="s">
        <v>40</v>
      </c>
      <c r="B79" s="148" t="s">
        <v>32</v>
      </c>
      <c r="C79" s="148" t="s">
        <v>33</v>
      </c>
      <c r="D79" s="148" t="s">
        <v>32</v>
      </c>
      <c r="E79" s="148" t="s">
        <v>33</v>
      </c>
      <c r="F79" s="65" t="s">
        <v>32</v>
      </c>
      <c r="G79" s="65" t="s">
        <v>33</v>
      </c>
      <c r="H79" s="65" t="s">
        <v>32</v>
      </c>
      <c r="I79" s="65" t="s">
        <v>33</v>
      </c>
      <c r="J79" s="65" t="s">
        <v>32</v>
      </c>
      <c r="K79" s="65" t="s">
        <v>33</v>
      </c>
      <c r="L79" s="66"/>
      <c r="M79" s="66"/>
      <c r="N79" s="66"/>
      <c r="O79" s="66"/>
      <c r="P79" s="68">
        <f t="shared" si="19"/>
        <v>40</v>
      </c>
      <c r="Q79" s="69">
        <f t="shared" si="15"/>
        <v>7</v>
      </c>
      <c r="R79" s="70" t="str">
        <f t="shared" si="20"/>
        <v>Душин</v>
      </c>
      <c r="S79" s="76" t="s">
        <v>10</v>
      </c>
      <c r="T79" s="77" t="s">
        <v>9</v>
      </c>
      <c r="U79" s="73">
        <f t="shared" si="16"/>
        <v>0</v>
      </c>
      <c r="V79" s="62">
        <f t="shared" si="18"/>
        <v>0</v>
      </c>
      <c r="W79" s="62"/>
      <c r="X79" s="74" t="s">
        <v>38</v>
      </c>
      <c r="Y79" s="7"/>
      <c r="Z79" s="7"/>
      <c r="AA79" s="7"/>
      <c r="AB79" s="13"/>
      <c r="AC79" s="13"/>
      <c r="AD79" s="13"/>
    </row>
    <row r="80" ht="14.4">
      <c r="A80" s="203" t="s">
        <v>42</v>
      </c>
      <c r="B80" s="65" t="s">
        <v>32</v>
      </c>
      <c r="C80" s="65" t="s">
        <v>33</v>
      </c>
      <c r="D80" s="65" t="s">
        <v>32</v>
      </c>
      <c r="E80" s="65" t="s">
        <v>33</v>
      </c>
      <c r="F80" s="65" t="s">
        <v>32</v>
      </c>
      <c r="G80" s="65" t="s">
        <v>33</v>
      </c>
      <c r="H80" s="65" t="s">
        <v>32</v>
      </c>
      <c r="I80" s="65" t="s">
        <v>33</v>
      </c>
      <c r="J80" s="65" t="s">
        <v>32</v>
      </c>
      <c r="K80" s="65" t="s">
        <v>33</v>
      </c>
      <c r="L80" s="66"/>
      <c r="M80" s="66"/>
      <c r="N80" s="66"/>
      <c r="O80" s="66"/>
      <c r="P80" s="68">
        <f t="shared" si="19"/>
        <v>40</v>
      </c>
      <c r="Q80" s="69">
        <f t="shared" si="15"/>
        <v>7</v>
      </c>
      <c r="R80" s="70" t="str">
        <f t="shared" si="20"/>
        <v>Юращик</v>
      </c>
      <c r="S80" s="76" t="s">
        <v>10</v>
      </c>
      <c r="T80" s="77" t="s">
        <v>9</v>
      </c>
      <c r="U80" s="73"/>
      <c r="V80" s="62"/>
      <c r="W80" s="62"/>
      <c r="X80" s="74" t="s">
        <v>38</v>
      </c>
      <c r="Y80" s="7"/>
      <c r="Z80" s="7"/>
      <c r="AA80" s="7"/>
      <c r="AB80" s="13"/>
      <c r="AC80" s="13"/>
      <c r="AD80" s="13"/>
    </row>
    <row r="81" ht="14.4">
      <c r="A81" s="204" t="s">
        <v>43</v>
      </c>
      <c r="B81" s="76"/>
      <c r="C81" s="76" t="s">
        <v>4</v>
      </c>
      <c r="D81" s="67"/>
      <c r="E81" s="67"/>
      <c r="F81" s="67"/>
      <c r="G81" s="67"/>
      <c r="H81" s="131"/>
      <c r="I81" s="131">
        <v>12</v>
      </c>
      <c r="J81" s="87"/>
      <c r="K81" s="87"/>
      <c r="L81" s="82"/>
      <c r="M81" s="82"/>
      <c r="N81" s="66"/>
      <c r="O81" s="66"/>
      <c r="P81" s="68">
        <f t="shared" si="19"/>
        <v>24</v>
      </c>
      <c r="Q81" s="69">
        <f t="shared" si="15"/>
        <v>7</v>
      </c>
      <c r="R81" s="70" t="s">
        <v>43</v>
      </c>
      <c r="S81" s="149" t="s">
        <v>12</v>
      </c>
      <c r="T81" s="84" t="s">
        <v>11</v>
      </c>
      <c r="U81" s="85">
        <f t="shared" si="16"/>
        <v>0</v>
      </c>
      <c r="V81" s="86">
        <f t="shared" si="18"/>
        <v>0</v>
      </c>
      <c r="W81" s="86"/>
      <c r="X81" s="74" t="s">
        <v>44</v>
      </c>
      <c r="Y81" s="80"/>
      <c r="Z81" s="80"/>
      <c r="AA81" s="80"/>
      <c r="AB81" s="13"/>
      <c r="AC81" s="13"/>
      <c r="AD81" s="13"/>
    </row>
    <row r="82" ht="14.4">
      <c r="A82" s="205" t="s">
        <v>45</v>
      </c>
      <c r="B82" s="66"/>
      <c r="C82" s="66"/>
      <c r="D82" s="66"/>
      <c r="E82" s="66"/>
      <c r="F82" s="83"/>
      <c r="G82" s="83" t="s">
        <v>4</v>
      </c>
      <c r="H82" s="66"/>
      <c r="I82" s="66"/>
      <c r="J82" s="82"/>
      <c r="K82" s="82"/>
      <c r="L82" s="78"/>
      <c r="M82" s="78" t="s">
        <v>4</v>
      </c>
      <c r="N82" s="78"/>
      <c r="O82" s="78" t="s">
        <v>4</v>
      </c>
      <c r="P82" s="68">
        <f t="shared" si="19"/>
        <v>36</v>
      </c>
      <c r="Q82" s="69">
        <f t="shared" si="15"/>
        <v>5</v>
      </c>
      <c r="R82" s="70" t="str">
        <f t="shared" si="20"/>
        <v>Пузырь</v>
      </c>
      <c r="S82" s="76" t="s">
        <v>10</v>
      </c>
      <c r="T82" s="77" t="s">
        <v>9</v>
      </c>
      <c r="U82" s="73">
        <f t="shared" si="16"/>
        <v>0</v>
      </c>
      <c r="V82" s="62">
        <f t="shared" si="18"/>
        <v>0</v>
      </c>
      <c r="W82" s="62"/>
      <c r="X82" s="74" t="s">
        <v>34</v>
      </c>
      <c r="Y82" s="7"/>
      <c r="Z82" s="7"/>
      <c r="AA82" s="7"/>
      <c r="AB82" s="13"/>
      <c r="AC82" s="13"/>
      <c r="AD82" s="13"/>
    </row>
    <row r="83" ht="14.4">
      <c r="A83" s="205" t="s">
        <v>46</v>
      </c>
      <c r="B83" s="83"/>
      <c r="C83" s="83" t="s">
        <v>33</v>
      </c>
      <c r="D83" s="67"/>
      <c r="E83" s="67"/>
      <c r="F83" s="67"/>
      <c r="G83" s="67"/>
      <c r="H83" s="78"/>
      <c r="I83" s="78" t="s">
        <v>4</v>
      </c>
      <c r="J83" s="78"/>
      <c r="K83" s="78" t="s">
        <v>4</v>
      </c>
      <c r="L83" s="82"/>
      <c r="M83" s="82"/>
      <c r="N83" s="66"/>
      <c r="O83" s="66"/>
      <c r="P83" s="68">
        <f t="shared" si="19"/>
        <v>32</v>
      </c>
      <c r="Q83" s="69">
        <f t="shared" si="15"/>
        <v>7</v>
      </c>
      <c r="R83" s="70" t="str">
        <f t="shared" si="20"/>
        <v>Голышев</v>
      </c>
      <c r="S83" s="76" t="s">
        <v>10</v>
      </c>
      <c r="T83" s="77" t="s">
        <v>9</v>
      </c>
      <c r="U83" s="73">
        <f t="shared" si="16"/>
        <v>0</v>
      </c>
      <c r="V83" s="62">
        <f t="shared" si="18"/>
        <v>0</v>
      </c>
      <c r="W83" s="62"/>
      <c r="X83" s="74" t="s">
        <v>34</v>
      </c>
      <c r="Y83" s="7"/>
      <c r="Z83" s="7"/>
      <c r="AA83" s="7"/>
      <c r="AB83" s="13"/>
      <c r="AC83" s="13"/>
      <c r="AD83" s="13"/>
    </row>
    <row r="84" ht="14.4">
      <c r="A84" s="205" t="s">
        <v>47</v>
      </c>
      <c r="B84" s="67"/>
      <c r="C84" s="67"/>
      <c r="D84" s="78"/>
      <c r="E84" s="78" t="s">
        <v>4</v>
      </c>
      <c r="F84" s="78"/>
      <c r="G84" s="78" t="s">
        <v>4</v>
      </c>
      <c r="H84" s="67"/>
      <c r="I84" s="67"/>
      <c r="J84" s="66"/>
      <c r="K84" s="66"/>
      <c r="L84" s="83"/>
      <c r="M84" s="83" t="s">
        <v>4</v>
      </c>
      <c r="N84" s="83"/>
      <c r="O84" s="83" t="s">
        <v>4</v>
      </c>
      <c r="P84" s="68">
        <f t="shared" si="19"/>
        <v>48</v>
      </c>
      <c r="Q84" s="69">
        <f t="shared" si="15"/>
        <v>7</v>
      </c>
      <c r="R84" s="70" t="str">
        <f t="shared" si="20"/>
        <v>Торубара</v>
      </c>
      <c r="S84" s="76" t="s">
        <v>10</v>
      </c>
      <c r="T84" s="77" t="s">
        <v>9</v>
      </c>
      <c r="U84" s="73">
        <f t="shared" si="16"/>
        <v>0</v>
      </c>
      <c r="V84" s="62">
        <f t="shared" si="18"/>
        <v>0</v>
      </c>
      <c r="W84" s="62"/>
      <c r="X84" s="74" t="s">
        <v>34</v>
      </c>
      <c r="Y84" s="7"/>
      <c r="Z84" s="7"/>
      <c r="AA84" s="7"/>
      <c r="AB84" s="13"/>
      <c r="AC84" s="13"/>
      <c r="AD84" s="13"/>
    </row>
    <row r="85" ht="14.4">
      <c r="A85" s="205" t="s">
        <v>48</v>
      </c>
      <c r="B85" s="120"/>
      <c r="C85" s="120" t="s">
        <v>33</v>
      </c>
      <c r="D85" s="120"/>
      <c r="E85" s="120" t="s">
        <v>33</v>
      </c>
      <c r="F85" s="120"/>
      <c r="G85" s="120" t="s">
        <v>33</v>
      </c>
      <c r="H85" s="183"/>
      <c r="I85" s="120" t="s">
        <v>33</v>
      </c>
      <c r="J85" s="196"/>
      <c r="K85" s="196" t="s">
        <v>33</v>
      </c>
      <c r="L85" s="120"/>
      <c r="M85" s="120"/>
      <c r="N85" s="120"/>
      <c r="O85" s="120"/>
      <c r="P85" s="68">
        <f t="shared" si="19"/>
        <v>40</v>
      </c>
      <c r="Q85" s="69">
        <f t="shared" si="15"/>
        <v>-5</v>
      </c>
      <c r="R85" s="70" t="str">
        <f t="shared" si="20"/>
        <v>Стрыгин</v>
      </c>
      <c r="S85" s="71" t="s">
        <v>8</v>
      </c>
      <c r="T85" s="72" t="s">
        <v>7</v>
      </c>
      <c r="U85" s="73">
        <f t="shared" si="16"/>
        <v>0</v>
      </c>
      <c r="V85" s="62">
        <f t="shared" si="18"/>
        <v>0</v>
      </c>
      <c r="W85" s="62"/>
      <c r="X85" s="74" t="s">
        <v>49</v>
      </c>
      <c r="Y85" s="7"/>
      <c r="Z85" s="7"/>
      <c r="AA85" s="7"/>
      <c r="AB85" s="13"/>
      <c r="AC85" s="13"/>
      <c r="AD85" s="13"/>
    </row>
    <row r="86" ht="14.4">
      <c r="A86" s="205" t="s">
        <v>50</v>
      </c>
      <c r="B86" s="78"/>
      <c r="C86" s="78" t="s">
        <v>53</v>
      </c>
      <c r="D86" s="66"/>
      <c r="E86" s="66"/>
      <c r="F86" s="82"/>
      <c r="G86" s="82"/>
      <c r="H86" s="87"/>
      <c r="I86" s="87"/>
      <c r="J86" s="83"/>
      <c r="K86" s="83" t="s">
        <v>4</v>
      </c>
      <c r="L86" s="82"/>
      <c r="M86" s="82"/>
      <c r="N86" s="82"/>
      <c r="O86" s="82"/>
      <c r="P86" s="68">
        <f t="shared" si="19"/>
        <v>22</v>
      </c>
      <c r="Q86" s="69">
        <f t="shared" si="15"/>
        <v>7</v>
      </c>
      <c r="R86" s="70" t="str">
        <f t="shared" si="20"/>
        <v>Фрик</v>
      </c>
      <c r="S86" s="71" t="s">
        <v>12</v>
      </c>
      <c r="T86" s="72" t="s">
        <v>11</v>
      </c>
      <c r="U86" s="73">
        <f t="shared" si="16"/>
        <v>0</v>
      </c>
      <c r="V86" s="62">
        <f t="shared" si="18"/>
        <v>0</v>
      </c>
      <c r="W86" s="62"/>
      <c r="X86" s="74" t="s">
        <v>44</v>
      </c>
      <c r="Y86" s="7"/>
      <c r="Z86" s="7"/>
      <c r="AA86" s="7"/>
      <c r="AB86" s="13"/>
      <c r="AC86" s="13"/>
      <c r="AD86" s="13"/>
    </row>
    <row r="87" ht="14.4">
      <c r="A87" s="206" t="s">
        <v>51</v>
      </c>
      <c r="B87" s="66"/>
      <c r="C87" s="66"/>
      <c r="D87" s="83"/>
      <c r="E87" s="83" t="s">
        <v>53</v>
      </c>
      <c r="F87" s="66"/>
      <c r="G87" s="66"/>
      <c r="H87" s="67"/>
      <c r="I87" s="67"/>
      <c r="J87" s="66"/>
      <c r="K87" s="66"/>
      <c r="L87" s="78"/>
      <c r="M87" s="78" t="s">
        <v>4</v>
      </c>
      <c r="N87" s="78"/>
      <c r="O87" s="78" t="s">
        <v>4</v>
      </c>
      <c r="P87" s="68">
        <f t="shared" si="19"/>
        <v>34</v>
      </c>
      <c r="Q87" s="69">
        <f t="shared" si="15"/>
        <v>7</v>
      </c>
      <c r="R87" s="70" t="str">
        <f t="shared" si="20"/>
        <v>Истрашкин</v>
      </c>
      <c r="S87" s="71" t="s">
        <v>10</v>
      </c>
      <c r="T87" s="72" t="s">
        <v>9</v>
      </c>
      <c r="U87" s="73">
        <f t="shared" si="16"/>
        <v>0</v>
      </c>
      <c r="V87" s="62">
        <f t="shared" si="18"/>
        <v>0</v>
      </c>
      <c r="W87" s="62"/>
      <c r="X87" s="74" t="s">
        <v>34</v>
      </c>
      <c r="Y87" s="7"/>
      <c r="Z87" s="7"/>
      <c r="AA87" s="7"/>
      <c r="AB87" s="13"/>
      <c r="AC87" s="13"/>
      <c r="AD87" s="13"/>
    </row>
    <row r="88" ht="14.4">
      <c r="A88" s="207"/>
      <c r="B88" s="53">
        <v>46349</v>
      </c>
      <c r="C88" s="53"/>
      <c r="D88" s="53">
        <v>46350</v>
      </c>
      <c r="E88" s="53"/>
      <c r="F88" s="53">
        <v>46351</v>
      </c>
      <c r="G88" s="53"/>
      <c r="H88" s="53">
        <v>46352</v>
      </c>
      <c r="I88" s="53"/>
      <c r="J88" s="53">
        <v>46353</v>
      </c>
      <c r="K88" s="53"/>
      <c r="L88" s="53">
        <v>46354</v>
      </c>
      <c r="M88" s="53"/>
      <c r="N88" s="53">
        <v>46355</v>
      </c>
      <c r="O88" s="54"/>
      <c r="P88" s="152"/>
      <c r="Q88" s="136"/>
      <c r="R88" s="137"/>
      <c r="S88" s="138"/>
      <c r="T88" s="138"/>
      <c r="U88" s="60" t="s">
        <v>27</v>
      </c>
      <c r="V88" s="61" t="s">
        <v>28</v>
      </c>
      <c r="W88" s="62" t="s">
        <v>29</v>
      </c>
      <c r="X88" s="7"/>
      <c r="Y88" s="7"/>
      <c r="Z88" s="7"/>
      <c r="AA88" s="7"/>
      <c r="AB88" s="13"/>
      <c r="AC88" s="13"/>
      <c r="AD88" s="13"/>
    </row>
    <row r="89" ht="14.4">
      <c r="A89" s="139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39"/>
      <c r="Q89" s="127"/>
      <c r="R89" s="139"/>
      <c r="S89" s="139"/>
      <c r="T89" s="139"/>
      <c r="U89" s="127"/>
      <c r="V89" s="127"/>
      <c r="W89" s="128"/>
      <c r="X89" s="7"/>
      <c r="Y89" s="7"/>
      <c r="Z89" s="7"/>
      <c r="AA89" s="7"/>
      <c r="AB89" s="13"/>
      <c r="AC89" s="13"/>
      <c r="AD89" s="13"/>
    </row>
    <row r="90" s="21" customFormat="1" ht="14.4">
      <c r="A90" s="143"/>
      <c r="B90" s="43" t="s">
        <v>17</v>
      </c>
      <c r="C90" s="142"/>
      <c r="D90" s="43" t="s">
        <v>18</v>
      </c>
      <c r="E90" s="142"/>
      <c r="F90" s="43" t="s">
        <v>19</v>
      </c>
      <c r="G90" s="43"/>
      <c r="H90" s="43" t="s">
        <v>20</v>
      </c>
      <c r="I90" s="142"/>
      <c r="J90" s="45" t="s">
        <v>21</v>
      </c>
      <c r="K90" s="45"/>
      <c r="L90" s="43" t="s">
        <v>22</v>
      </c>
      <c r="M90" s="43"/>
      <c r="N90" s="43" t="s">
        <v>23</v>
      </c>
      <c r="O90" s="43"/>
      <c r="P90" s="47" t="s">
        <v>24</v>
      </c>
      <c r="Q90" s="48"/>
      <c r="R90" s="141"/>
      <c r="S90" s="143"/>
      <c r="T90" s="143"/>
      <c r="U90" s="62"/>
      <c r="V90" s="62"/>
      <c r="W90" s="62"/>
      <c r="X90" s="51"/>
      <c r="Y90" s="7"/>
      <c r="Z90" s="7"/>
      <c r="AA90" s="7"/>
      <c r="AB90" s="13"/>
      <c r="AC90" s="13"/>
      <c r="AD90" s="13"/>
    </row>
    <row r="91" s="21" customFormat="1" ht="14.4">
      <c r="A91" s="197"/>
      <c r="B91" s="53">
        <v>46356</v>
      </c>
      <c r="C91" s="53"/>
      <c r="D91" s="53">
        <v>46357</v>
      </c>
      <c r="E91" s="53"/>
      <c r="F91" s="53">
        <v>46358</v>
      </c>
      <c r="G91" s="53"/>
      <c r="H91" s="53">
        <v>46359</v>
      </c>
      <c r="I91" s="53"/>
      <c r="J91" s="53">
        <v>46360</v>
      </c>
      <c r="K91" s="53"/>
      <c r="L91" s="53">
        <v>46361</v>
      </c>
      <c r="M91" s="53"/>
      <c r="N91" s="53">
        <v>46362</v>
      </c>
      <c r="O91" s="54"/>
      <c r="P91" s="55" t="s">
        <v>25</v>
      </c>
      <c r="Q91" s="56" t="s">
        <v>26</v>
      </c>
      <c r="R91" s="118"/>
      <c r="S91" s="119"/>
      <c r="T91" s="147"/>
      <c r="U91" s="60" t="s">
        <v>27</v>
      </c>
      <c r="V91" s="61" t="s">
        <v>28</v>
      </c>
      <c r="W91" s="62" t="s">
        <v>29</v>
      </c>
      <c r="X91" s="63" t="s">
        <v>30</v>
      </c>
      <c r="Y91" s="7"/>
      <c r="Z91" s="7"/>
      <c r="AA91" s="7"/>
      <c r="AB91" s="13"/>
      <c r="AC91" s="13"/>
      <c r="AD91" s="13"/>
    </row>
    <row r="92" s="21" customFormat="1" ht="14.4">
      <c r="A92" s="64" t="s">
        <v>31</v>
      </c>
      <c r="B92" s="65" t="s">
        <v>32</v>
      </c>
      <c r="C92" s="198" t="s">
        <v>33</v>
      </c>
      <c r="D92" s="199"/>
      <c r="E92" s="198"/>
      <c r="F92" s="199"/>
      <c r="G92" s="198"/>
      <c r="H92" s="199"/>
      <c r="I92" s="198"/>
      <c r="J92" s="199"/>
      <c r="K92" s="198"/>
      <c r="L92" s="200"/>
      <c r="M92" s="200"/>
      <c r="N92" s="201"/>
      <c r="O92" s="201"/>
      <c r="P92" s="68">
        <f t="shared" si="19"/>
        <v>8</v>
      </c>
      <c r="Q92" s="69">
        <f t="shared" ref="Q92:Q103" si="21">Q76-P92</f>
        <v>-1</v>
      </c>
      <c r="R92" s="70" t="str">
        <f t="shared" si="20"/>
        <v>Нетронин</v>
      </c>
      <c r="S92" s="71" t="s">
        <v>10</v>
      </c>
      <c r="T92" s="72" t="s">
        <v>9</v>
      </c>
      <c r="U92" s="73">
        <v>0</v>
      </c>
      <c r="V92" s="62">
        <v>0</v>
      </c>
      <c r="W92" s="62"/>
      <c r="X92" s="74" t="s">
        <v>34</v>
      </c>
      <c r="Y92" s="7"/>
      <c r="Z92" s="7"/>
      <c r="AA92" s="7"/>
      <c r="AB92" s="13"/>
      <c r="AC92" s="13"/>
      <c r="AD92" s="13"/>
    </row>
    <row r="93" s="21" customFormat="1" ht="14.4">
      <c r="A93" s="202" t="s">
        <v>35</v>
      </c>
      <c r="B93" s="65" t="s">
        <v>32</v>
      </c>
      <c r="C93" s="65" t="s">
        <v>33</v>
      </c>
      <c r="D93" s="65"/>
      <c r="E93" s="65"/>
      <c r="F93" s="65"/>
      <c r="G93" s="65"/>
      <c r="H93" s="65"/>
      <c r="I93" s="65"/>
      <c r="J93" s="65"/>
      <c r="K93" s="65"/>
      <c r="L93" s="66"/>
      <c r="M93" s="66"/>
      <c r="N93" s="66"/>
      <c r="O93" s="66"/>
      <c r="P93" s="68">
        <f t="shared" si="19"/>
        <v>8</v>
      </c>
      <c r="Q93" s="69">
        <f t="shared" si="21"/>
        <v>-1</v>
      </c>
      <c r="R93" s="70" t="str">
        <f t="shared" si="20"/>
        <v>Рычков</v>
      </c>
      <c r="S93" s="76" t="s">
        <v>10</v>
      </c>
      <c r="T93" s="77" t="s">
        <v>9</v>
      </c>
      <c r="U93" s="73">
        <f t="shared" si="16"/>
        <v>0</v>
      </c>
      <c r="V93" s="62">
        <f t="shared" si="18"/>
        <v>0</v>
      </c>
      <c r="W93" s="62"/>
      <c r="X93" s="74" t="s">
        <v>34</v>
      </c>
      <c r="Y93" s="7"/>
      <c r="Z93" s="7"/>
      <c r="AA93" s="7"/>
      <c r="AB93" s="13"/>
      <c r="AC93" s="13"/>
      <c r="AD93" s="13"/>
    </row>
    <row r="94" s="21" customFormat="1" ht="14.4">
      <c r="A94" s="203" t="s">
        <v>39</v>
      </c>
      <c r="B94" s="65" t="s">
        <v>32</v>
      </c>
      <c r="C94" s="65" t="s">
        <v>33</v>
      </c>
      <c r="D94" s="65"/>
      <c r="E94" s="65"/>
      <c r="F94" s="65"/>
      <c r="G94" s="65"/>
      <c r="H94" s="65"/>
      <c r="I94" s="65"/>
      <c r="J94" s="65"/>
      <c r="K94" s="65"/>
      <c r="L94" s="66"/>
      <c r="M94" s="66"/>
      <c r="N94" s="66"/>
      <c r="O94" s="66"/>
      <c r="P94" s="68">
        <f t="shared" si="19"/>
        <v>8</v>
      </c>
      <c r="Q94" s="69">
        <f t="shared" si="21"/>
        <v>-1</v>
      </c>
      <c r="R94" s="70" t="str">
        <f t="shared" si="20"/>
        <v>Игумнов</v>
      </c>
      <c r="S94" s="76" t="s">
        <v>10</v>
      </c>
      <c r="T94" s="77" t="s">
        <v>9</v>
      </c>
      <c r="U94" s="73">
        <f t="shared" si="16"/>
        <v>0</v>
      </c>
      <c r="V94" s="62">
        <f t="shared" si="18"/>
        <v>0</v>
      </c>
      <c r="W94" s="62"/>
      <c r="X94" s="79" t="s">
        <v>34</v>
      </c>
      <c r="Y94" s="7"/>
      <c r="Z94" s="7"/>
      <c r="AA94" s="7"/>
      <c r="AB94" s="13"/>
      <c r="AC94" s="13"/>
      <c r="AD94" s="13"/>
    </row>
    <row r="95" s="21" customFormat="1" ht="14.4">
      <c r="A95" s="203" t="s">
        <v>40</v>
      </c>
      <c r="B95" s="65" t="s">
        <v>32</v>
      </c>
      <c r="C95" s="65" t="s">
        <v>33</v>
      </c>
      <c r="D95" s="65"/>
      <c r="E95" s="65"/>
      <c r="F95" s="65"/>
      <c r="G95" s="65"/>
      <c r="H95" s="65"/>
      <c r="I95" s="65"/>
      <c r="J95" s="65"/>
      <c r="K95" s="65"/>
      <c r="L95" s="66"/>
      <c r="M95" s="66"/>
      <c r="N95" s="66"/>
      <c r="O95" s="66"/>
      <c r="P95" s="68">
        <f t="shared" si="19"/>
        <v>8</v>
      </c>
      <c r="Q95" s="69">
        <f t="shared" si="21"/>
        <v>-1</v>
      </c>
      <c r="R95" s="70" t="str">
        <f t="shared" si="20"/>
        <v>Душин</v>
      </c>
      <c r="S95" s="76" t="s">
        <v>10</v>
      </c>
      <c r="T95" s="77" t="s">
        <v>9</v>
      </c>
      <c r="U95" s="73">
        <f t="shared" si="16"/>
        <v>0</v>
      </c>
      <c r="V95" s="62">
        <f t="shared" si="18"/>
        <v>0</v>
      </c>
      <c r="W95" s="62"/>
      <c r="X95" s="74" t="s">
        <v>38</v>
      </c>
      <c r="Y95" s="7"/>
      <c r="Z95" s="7"/>
      <c r="AA95" s="7"/>
      <c r="AB95" s="13"/>
      <c r="AC95" s="13"/>
      <c r="AD95" s="13"/>
    </row>
    <row r="96" s="21" customFormat="1" ht="14.4">
      <c r="A96" s="203" t="s">
        <v>42</v>
      </c>
      <c r="B96" s="65" t="s">
        <v>32</v>
      </c>
      <c r="C96" s="65" t="s">
        <v>33</v>
      </c>
      <c r="D96" s="65"/>
      <c r="E96" s="65"/>
      <c r="F96" s="65"/>
      <c r="G96" s="65"/>
      <c r="H96" s="65"/>
      <c r="I96" s="65"/>
      <c r="J96" s="65"/>
      <c r="K96" s="65"/>
      <c r="L96" s="66"/>
      <c r="M96" s="66"/>
      <c r="N96" s="66"/>
      <c r="O96" s="66"/>
      <c r="P96" s="68">
        <f t="shared" si="19"/>
        <v>8</v>
      </c>
      <c r="Q96" s="69">
        <f t="shared" si="21"/>
        <v>-1</v>
      </c>
      <c r="R96" s="70" t="str">
        <f t="shared" si="20"/>
        <v>Юращик</v>
      </c>
      <c r="S96" s="76" t="s">
        <v>10</v>
      </c>
      <c r="T96" s="77" t="s">
        <v>9</v>
      </c>
      <c r="U96" s="73"/>
      <c r="V96" s="62"/>
      <c r="W96" s="62"/>
      <c r="X96" s="74" t="s">
        <v>38</v>
      </c>
      <c r="Y96" s="7"/>
      <c r="Z96" s="7"/>
      <c r="AA96" s="7"/>
      <c r="AB96" s="13"/>
      <c r="AC96" s="13"/>
      <c r="AD96" s="13"/>
    </row>
    <row r="97" s="21" customFormat="1" ht="14.4">
      <c r="A97" s="204" t="s">
        <v>43</v>
      </c>
      <c r="B97" s="76"/>
      <c r="C97" s="76" t="s">
        <v>4</v>
      </c>
      <c r="D97" s="67"/>
      <c r="E97" s="67"/>
      <c r="F97" s="67"/>
      <c r="G97" s="67"/>
      <c r="H97" s="131"/>
      <c r="I97" s="131"/>
      <c r="J97" s="87"/>
      <c r="K97" s="87"/>
      <c r="L97" s="82"/>
      <c r="M97" s="82"/>
      <c r="N97" s="66"/>
      <c r="O97" s="66"/>
      <c r="P97" s="68">
        <f t="shared" si="19"/>
        <v>12</v>
      </c>
      <c r="Q97" s="69">
        <f t="shared" si="21"/>
        <v>-5</v>
      </c>
      <c r="R97" s="70" t="s">
        <v>43</v>
      </c>
      <c r="S97" s="149" t="s">
        <v>12</v>
      </c>
      <c r="T97" s="84" t="s">
        <v>11</v>
      </c>
      <c r="U97" s="85">
        <f t="shared" ref="U96:U103" si="22">COUNTIF(T97,B97)+COUNTIF(T97,D97)+COUNTIF(T97,F97)+COUNTIF(T97,H97)+COUNTIF(T97,J97)+COUNTIF(T97,L97)+COUNTIF(T97,N97)</f>
        <v>0</v>
      </c>
      <c r="V97" s="86">
        <f t="shared" si="18"/>
        <v>0</v>
      </c>
      <c r="W97" s="86"/>
      <c r="X97" s="74" t="s">
        <v>44</v>
      </c>
      <c r="Y97" s="80"/>
      <c r="Z97" s="80"/>
      <c r="AA97" s="80"/>
      <c r="AB97" s="13"/>
      <c r="AC97" s="13"/>
      <c r="AD97" s="13"/>
    </row>
    <row r="98" s="21" customFormat="1" ht="14.4">
      <c r="A98" s="205" t="s">
        <v>45</v>
      </c>
      <c r="B98" s="66"/>
      <c r="C98" s="66"/>
      <c r="D98" s="66"/>
      <c r="E98" s="66"/>
      <c r="F98" s="83"/>
      <c r="G98" s="83"/>
      <c r="H98" s="66"/>
      <c r="I98" s="66"/>
      <c r="J98" s="82"/>
      <c r="K98" s="82"/>
      <c r="L98" s="78"/>
      <c r="M98" s="78"/>
      <c r="N98" s="78"/>
      <c r="O98" s="78"/>
      <c r="P98" s="68">
        <f t="shared" si="19"/>
        <v>0</v>
      </c>
      <c r="Q98" s="69">
        <f t="shared" si="21"/>
        <v>5</v>
      </c>
      <c r="R98" s="70" t="str">
        <f t="shared" si="20"/>
        <v>Пузырь</v>
      </c>
      <c r="S98" s="76" t="s">
        <v>10</v>
      </c>
      <c r="T98" s="77" t="s">
        <v>9</v>
      </c>
      <c r="U98" s="73">
        <f t="shared" si="22"/>
        <v>0</v>
      </c>
      <c r="V98" s="62">
        <f t="shared" si="18"/>
        <v>0</v>
      </c>
      <c r="W98" s="62"/>
      <c r="X98" s="74" t="s">
        <v>34</v>
      </c>
      <c r="Y98" s="7"/>
      <c r="Z98" s="7"/>
      <c r="AA98" s="7"/>
      <c r="AB98" s="13"/>
      <c r="AC98" s="13"/>
      <c r="AD98" s="13"/>
    </row>
    <row r="99" s="21" customFormat="1" ht="14.4">
      <c r="A99" s="205" t="s">
        <v>46</v>
      </c>
      <c r="B99" s="83"/>
      <c r="C99" s="83" t="s">
        <v>33</v>
      </c>
      <c r="D99" s="67"/>
      <c r="E99" s="67"/>
      <c r="F99" s="67"/>
      <c r="G99" s="67"/>
      <c r="H99" s="78"/>
      <c r="I99" s="78"/>
      <c r="J99" s="78"/>
      <c r="K99" s="78"/>
      <c r="L99" s="82"/>
      <c r="M99" s="82"/>
      <c r="N99" s="66"/>
      <c r="O99" s="66"/>
      <c r="P99" s="68">
        <f t="shared" si="19"/>
        <v>8</v>
      </c>
      <c r="Q99" s="69">
        <f t="shared" si="21"/>
        <v>-1</v>
      </c>
      <c r="R99" s="70" t="str">
        <f t="shared" si="20"/>
        <v>Голышев</v>
      </c>
      <c r="S99" s="76" t="s">
        <v>10</v>
      </c>
      <c r="T99" s="77" t="s">
        <v>9</v>
      </c>
      <c r="U99" s="73">
        <f t="shared" si="22"/>
        <v>0</v>
      </c>
      <c r="V99" s="62">
        <f t="shared" si="18"/>
        <v>0</v>
      </c>
      <c r="W99" s="62"/>
      <c r="X99" s="74" t="s">
        <v>34</v>
      </c>
      <c r="Y99" s="7"/>
      <c r="Z99" s="7"/>
      <c r="AA99" s="7"/>
      <c r="AB99" s="13"/>
      <c r="AC99" s="13"/>
      <c r="AD99" s="13"/>
    </row>
    <row r="100" s="21" customFormat="1" ht="14.4">
      <c r="A100" s="205" t="s">
        <v>47</v>
      </c>
      <c r="B100" s="67"/>
      <c r="C100" s="67"/>
      <c r="D100" s="78"/>
      <c r="E100" s="78"/>
      <c r="F100" s="78"/>
      <c r="G100" s="78"/>
      <c r="H100" s="67"/>
      <c r="I100" s="67"/>
      <c r="J100" s="66"/>
      <c r="K100" s="66"/>
      <c r="L100" s="83"/>
      <c r="M100" s="83"/>
      <c r="N100" s="83"/>
      <c r="O100" s="83"/>
      <c r="P100" s="68">
        <f t="shared" si="19"/>
        <v>0</v>
      </c>
      <c r="Q100" s="69">
        <f t="shared" si="21"/>
        <v>7</v>
      </c>
      <c r="R100" s="70" t="str">
        <f t="shared" si="20"/>
        <v>Торубара</v>
      </c>
      <c r="S100" s="76" t="s">
        <v>10</v>
      </c>
      <c r="T100" s="77" t="s">
        <v>9</v>
      </c>
      <c r="U100" s="73">
        <f t="shared" si="22"/>
        <v>0</v>
      </c>
      <c r="V100" s="62">
        <f t="shared" si="18"/>
        <v>0</v>
      </c>
      <c r="W100" s="62"/>
      <c r="X100" s="74" t="s">
        <v>34</v>
      </c>
      <c r="Y100" s="7"/>
      <c r="Z100" s="7"/>
      <c r="AA100" s="7"/>
      <c r="AB100" s="13"/>
      <c r="AC100" s="13"/>
      <c r="AD100" s="13"/>
    </row>
    <row r="101" s="21" customFormat="1" ht="14.4">
      <c r="A101" s="205" t="s">
        <v>48</v>
      </c>
      <c r="B101" s="120"/>
      <c r="C101" s="120" t="s">
        <v>33</v>
      </c>
      <c r="D101" s="120"/>
      <c r="E101" s="120"/>
      <c r="F101" s="120"/>
      <c r="G101" s="120"/>
      <c r="H101" s="183"/>
      <c r="I101" s="120"/>
      <c r="J101" s="196"/>
      <c r="K101" s="196"/>
      <c r="L101" s="120"/>
      <c r="M101" s="120"/>
      <c r="N101" s="120"/>
      <c r="O101" s="120"/>
      <c r="P101" s="68">
        <f t="shared" si="19"/>
        <v>8</v>
      </c>
      <c r="Q101" s="69">
        <f t="shared" si="21"/>
        <v>-13</v>
      </c>
      <c r="R101" s="70" t="str">
        <f t="shared" si="20"/>
        <v>Стрыгин</v>
      </c>
      <c r="S101" s="71" t="s">
        <v>8</v>
      </c>
      <c r="T101" s="72" t="s">
        <v>7</v>
      </c>
      <c r="U101" s="73">
        <f t="shared" si="22"/>
        <v>0</v>
      </c>
      <c r="V101" s="62">
        <f t="shared" si="18"/>
        <v>0</v>
      </c>
      <c r="W101" s="62"/>
      <c r="X101" s="74" t="s">
        <v>49</v>
      </c>
      <c r="Y101" s="7"/>
      <c r="Z101" s="7"/>
      <c r="AA101" s="7"/>
      <c r="AB101" s="13"/>
      <c r="AC101" s="13"/>
      <c r="AD101" s="13"/>
    </row>
    <row r="102" s="21" customFormat="1" ht="14.4">
      <c r="A102" s="205" t="s">
        <v>50</v>
      </c>
      <c r="B102" s="78"/>
      <c r="C102" s="78" t="s">
        <v>53</v>
      </c>
      <c r="D102" s="66"/>
      <c r="E102" s="66"/>
      <c r="F102" s="82"/>
      <c r="G102" s="82"/>
      <c r="H102" s="87"/>
      <c r="I102" s="87"/>
      <c r="J102" s="83"/>
      <c r="K102" s="83"/>
      <c r="L102" s="82"/>
      <c r="M102" s="82"/>
      <c r="N102" s="82"/>
      <c r="O102" s="82"/>
      <c r="P102" s="68">
        <f t="shared" si="19"/>
        <v>10</v>
      </c>
      <c r="Q102" s="69">
        <f t="shared" si="21"/>
        <v>-3</v>
      </c>
      <c r="R102" s="70" t="str">
        <f t="shared" si="20"/>
        <v>Фрик</v>
      </c>
      <c r="S102" s="71" t="s">
        <v>12</v>
      </c>
      <c r="T102" s="72" t="s">
        <v>11</v>
      </c>
      <c r="U102" s="73">
        <f t="shared" si="22"/>
        <v>0</v>
      </c>
      <c r="V102" s="62">
        <f t="shared" si="18"/>
        <v>0</v>
      </c>
      <c r="W102" s="62"/>
      <c r="X102" s="74" t="s">
        <v>44</v>
      </c>
      <c r="Y102" s="7"/>
      <c r="Z102" s="7"/>
      <c r="AA102" s="7"/>
      <c r="AB102" s="13"/>
      <c r="AC102" s="13"/>
      <c r="AD102" s="13"/>
    </row>
    <row r="103" s="21" customFormat="1" ht="14.4">
      <c r="A103" s="206" t="s">
        <v>51</v>
      </c>
      <c r="B103" s="66"/>
      <c r="C103" s="66"/>
      <c r="D103" s="83"/>
      <c r="E103" s="83"/>
      <c r="F103" s="66"/>
      <c r="G103" s="66"/>
      <c r="H103" s="67"/>
      <c r="I103" s="67"/>
      <c r="J103" s="66"/>
      <c r="K103" s="66"/>
      <c r="L103" s="78"/>
      <c r="M103" s="78"/>
      <c r="N103" s="78"/>
      <c r="O103" s="78"/>
      <c r="P103" s="68">
        <f t="shared" si="19"/>
        <v>0</v>
      </c>
      <c r="Q103" s="69">
        <f t="shared" si="21"/>
        <v>7</v>
      </c>
      <c r="R103" s="70" t="str">
        <f t="shared" si="20"/>
        <v>Истрашкин</v>
      </c>
      <c r="S103" s="71" t="s">
        <v>10</v>
      </c>
      <c r="T103" s="72" t="s">
        <v>9</v>
      </c>
      <c r="U103" s="73">
        <f t="shared" si="22"/>
        <v>0</v>
      </c>
      <c r="V103" s="62">
        <f t="shared" si="18"/>
        <v>0</v>
      </c>
      <c r="W103" s="62"/>
      <c r="X103" s="74" t="s">
        <v>34</v>
      </c>
      <c r="Y103" s="7"/>
      <c r="Z103" s="7"/>
      <c r="AA103" s="7"/>
      <c r="AB103" s="13"/>
      <c r="AC103" s="13"/>
      <c r="AD103" s="13"/>
    </row>
    <row r="104" s="21" customFormat="1" ht="14.4">
      <c r="A104" s="207"/>
      <c r="B104" s="53">
        <v>46356</v>
      </c>
      <c r="C104" s="53"/>
      <c r="D104" s="53">
        <v>46357</v>
      </c>
      <c r="E104" s="53"/>
      <c r="F104" s="53">
        <v>46358</v>
      </c>
      <c r="G104" s="53"/>
      <c r="H104" s="53">
        <v>46359</v>
      </c>
      <c r="I104" s="53"/>
      <c r="J104" s="53">
        <v>46360</v>
      </c>
      <c r="K104" s="53"/>
      <c r="L104" s="53">
        <v>46361</v>
      </c>
      <c r="M104" s="53"/>
      <c r="N104" s="53">
        <v>46362</v>
      </c>
      <c r="O104" s="54"/>
      <c r="P104" s="152"/>
      <c r="Q104" s="136"/>
      <c r="R104" s="137"/>
      <c r="S104" s="138"/>
      <c r="T104" s="138"/>
      <c r="U104" s="60" t="s">
        <v>27</v>
      </c>
      <c r="V104" s="61" t="s">
        <v>28</v>
      </c>
      <c r="W104" s="62" t="s">
        <v>29</v>
      </c>
      <c r="X104" s="7"/>
      <c r="Y104" s="7"/>
      <c r="Z104" s="7"/>
      <c r="AA104" s="7"/>
      <c r="AB104" s="13"/>
      <c r="AC104" s="13"/>
      <c r="AD104" s="13"/>
    </row>
    <row r="105" s="21" customFormat="1" ht="14.4">
      <c r="A105" s="139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39"/>
      <c r="Q105" s="127"/>
      <c r="R105" s="139"/>
      <c r="S105" s="139"/>
      <c r="T105" s="139"/>
      <c r="U105" s="127"/>
      <c r="V105" s="127"/>
      <c r="W105" s="128"/>
      <c r="X105" s="7"/>
      <c r="Y105" s="7"/>
      <c r="Z105" s="7"/>
      <c r="AA105" s="7"/>
      <c r="AB105" s="13"/>
      <c r="AC105" s="13"/>
      <c r="AD105" s="13"/>
    </row>
    <row r="106" ht="14.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 ht="14.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 ht="14.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 ht="14.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7"/>
      <c r="Q643" s="153"/>
      <c r="R643" s="7"/>
      <c r="S643" s="7"/>
      <c r="T643" s="7"/>
      <c r="U643" s="153"/>
      <c r="V643" s="153"/>
      <c r="W643" s="12"/>
      <c r="X643" s="21"/>
      <c r="Y643" s="7"/>
      <c r="Z643" s="7"/>
      <c r="AA643" s="7"/>
      <c r="AB643" s="13"/>
      <c r="AC643" s="13"/>
      <c r="AD643" s="13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154"/>
      <c r="R644" s="21"/>
      <c r="S644" s="21"/>
      <c r="T644" s="21"/>
      <c r="U644" s="154"/>
      <c r="V644" s="154"/>
      <c r="W644" s="154"/>
      <c r="X644" s="21"/>
      <c r="Y644" s="21"/>
      <c r="Z644" s="21"/>
      <c r="AA644" s="21"/>
      <c r="AB644" s="21"/>
      <c r="AC644" s="21"/>
      <c r="AD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154"/>
      <c r="R645" s="21"/>
      <c r="S645" s="21"/>
      <c r="T645" s="21"/>
      <c r="U645" s="154"/>
      <c r="V645" s="154"/>
      <c r="W645" s="154"/>
      <c r="X645" s="21"/>
      <c r="Y645" s="21"/>
      <c r="Z645" s="21"/>
      <c r="AA645" s="21"/>
      <c r="AB645" s="21"/>
      <c r="AC645" s="21"/>
      <c r="AD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154"/>
      <c r="R646" s="21"/>
      <c r="S646" s="21"/>
      <c r="T646" s="21"/>
      <c r="U646" s="154"/>
      <c r="V646" s="154"/>
      <c r="W646" s="154"/>
      <c r="X646" s="21"/>
      <c r="Y646" s="21"/>
      <c r="Z646" s="21"/>
      <c r="AA646" s="21"/>
      <c r="AB646" s="21"/>
      <c r="AC646" s="21"/>
      <c r="AD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154"/>
      <c r="R647" s="21"/>
      <c r="S647" s="21"/>
      <c r="T647" s="21"/>
      <c r="U647" s="154"/>
      <c r="V647" s="154"/>
      <c r="W647" s="154"/>
      <c r="X647" s="21"/>
      <c r="Y647" s="21"/>
      <c r="Z647" s="21"/>
      <c r="AA647" s="21"/>
      <c r="AB647" s="21"/>
      <c r="AC647" s="21"/>
      <c r="AD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154"/>
      <c r="R648" s="21"/>
      <c r="S648" s="21"/>
      <c r="T648" s="21"/>
      <c r="U648" s="154"/>
      <c r="V648" s="154"/>
      <c r="W648" s="154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154"/>
      <c r="R649" s="21"/>
      <c r="S649" s="21"/>
      <c r="T649" s="21"/>
      <c r="U649" s="154"/>
      <c r="V649" s="154"/>
      <c r="W649" s="154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154"/>
      <c r="R650" s="21"/>
      <c r="S650" s="21"/>
      <c r="T650" s="21"/>
      <c r="U650" s="154"/>
      <c r="V650" s="154"/>
      <c r="W650" s="154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154"/>
      <c r="R651" s="21"/>
      <c r="S651" s="21"/>
      <c r="T651" s="21"/>
      <c r="U651" s="154"/>
      <c r="V651" s="154"/>
      <c r="W651" s="154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154"/>
      <c r="R652" s="21"/>
      <c r="S652" s="21"/>
      <c r="T652" s="21"/>
      <c r="U652" s="154"/>
      <c r="V652" s="154"/>
      <c r="W652" s="154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154"/>
      <c r="R653" s="21"/>
      <c r="S653" s="21"/>
      <c r="T653" s="21"/>
      <c r="U653" s="154"/>
      <c r="V653" s="154"/>
      <c r="W653" s="154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154"/>
      <c r="R654" s="21"/>
      <c r="S654" s="21"/>
      <c r="T654" s="21"/>
      <c r="U654" s="154"/>
      <c r="V654" s="154"/>
      <c r="W654" s="154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154"/>
      <c r="R655" s="21"/>
      <c r="S655" s="21"/>
      <c r="T655" s="21"/>
      <c r="U655" s="154"/>
      <c r="V655" s="154"/>
      <c r="W655" s="154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154"/>
      <c r="R656" s="21"/>
      <c r="S656" s="21"/>
      <c r="T656" s="21"/>
      <c r="U656" s="154"/>
      <c r="V656" s="154"/>
      <c r="W656" s="154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154"/>
      <c r="R657" s="21"/>
      <c r="S657" s="21"/>
      <c r="T657" s="21"/>
      <c r="U657" s="154"/>
      <c r="V657" s="154"/>
      <c r="W657" s="154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154"/>
      <c r="R658" s="21"/>
      <c r="S658" s="21"/>
      <c r="T658" s="21"/>
      <c r="U658" s="154"/>
      <c r="V658" s="154"/>
      <c r="W658" s="154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154"/>
      <c r="R659" s="21"/>
      <c r="S659" s="21"/>
      <c r="T659" s="21"/>
      <c r="U659" s="154"/>
      <c r="V659" s="154"/>
      <c r="W659" s="154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154"/>
      <c r="R660" s="21"/>
      <c r="S660" s="21"/>
      <c r="T660" s="21"/>
      <c r="U660" s="154"/>
      <c r="V660" s="154"/>
      <c r="W660" s="154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154"/>
      <c r="R661" s="21"/>
      <c r="S661" s="21"/>
      <c r="T661" s="21"/>
      <c r="U661" s="154"/>
      <c r="V661" s="154"/>
      <c r="W661" s="154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154"/>
      <c r="R662" s="21"/>
      <c r="S662" s="21"/>
      <c r="T662" s="21"/>
      <c r="U662" s="154"/>
      <c r="V662" s="154"/>
      <c r="W662" s="154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154"/>
      <c r="R663" s="21"/>
      <c r="S663" s="21"/>
      <c r="T663" s="21"/>
      <c r="U663" s="154"/>
      <c r="V663" s="154"/>
      <c r="W663" s="154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154"/>
      <c r="R664" s="21"/>
      <c r="S664" s="21"/>
      <c r="T664" s="21"/>
      <c r="U664" s="154"/>
      <c r="V664" s="154"/>
      <c r="W664" s="154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154"/>
      <c r="R665" s="21"/>
      <c r="S665" s="21"/>
      <c r="T665" s="21"/>
      <c r="U665" s="154"/>
      <c r="V665" s="154"/>
      <c r="W665" s="154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54"/>
      <c r="R666" s="21"/>
      <c r="S666" s="21"/>
      <c r="T666" s="21"/>
      <c r="U666" s="154"/>
      <c r="V666" s="154"/>
      <c r="W666" s="154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54"/>
      <c r="R667" s="21"/>
      <c r="S667" s="21"/>
      <c r="T667" s="21"/>
      <c r="U667" s="154"/>
      <c r="V667" s="154"/>
      <c r="W667" s="154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54"/>
      <c r="R668" s="21"/>
      <c r="S668" s="21"/>
      <c r="T668" s="21"/>
      <c r="U668" s="154"/>
      <c r="V668" s="154"/>
      <c r="W668" s="154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54"/>
      <c r="R669" s="21"/>
      <c r="S669" s="21"/>
      <c r="T669" s="21"/>
      <c r="U669" s="154"/>
      <c r="V669" s="154"/>
      <c r="W669" s="154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54"/>
      <c r="R670" s="21"/>
      <c r="S670" s="21"/>
      <c r="T670" s="21"/>
      <c r="U670" s="154"/>
      <c r="V670" s="154"/>
      <c r="W670" s="154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54"/>
      <c r="R671" s="21"/>
      <c r="S671" s="21"/>
      <c r="T671" s="21"/>
      <c r="U671" s="154"/>
      <c r="V671" s="154"/>
      <c r="W671" s="154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54"/>
      <c r="R672" s="21"/>
      <c r="S672" s="21"/>
      <c r="T672" s="21"/>
      <c r="U672" s="154"/>
      <c r="V672" s="154"/>
      <c r="W672" s="154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54"/>
      <c r="R673" s="21"/>
      <c r="S673" s="21"/>
      <c r="T673" s="21"/>
      <c r="U673" s="154"/>
      <c r="V673" s="154"/>
      <c r="W673" s="154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54"/>
      <c r="R674" s="21"/>
      <c r="S674" s="21"/>
      <c r="T674" s="21"/>
      <c r="U674" s="154"/>
      <c r="V674" s="154"/>
      <c r="W674" s="154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54"/>
      <c r="R675" s="21"/>
      <c r="S675" s="21"/>
      <c r="T675" s="21"/>
      <c r="U675" s="154"/>
      <c r="V675" s="154"/>
      <c r="W675" s="154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54"/>
      <c r="R676" s="21"/>
      <c r="S676" s="21"/>
      <c r="T676" s="21"/>
      <c r="U676" s="154"/>
      <c r="V676" s="154"/>
      <c r="W676" s="154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54"/>
      <c r="R677" s="21"/>
      <c r="S677" s="21"/>
      <c r="T677" s="21"/>
      <c r="U677" s="154"/>
      <c r="V677" s="154"/>
      <c r="W677" s="154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54"/>
      <c r="R678" s="21"/>
      <c r="S678" s="21"/>
      <c r="T678" s="21"/>
      <c r="U678" s="154"/>
      <c r="V678" s="154"/>
      <c r="W678" s="154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54"/>
      <c r="R679" s="21"/>
      <c r="S679" s="21"/>
      <c r="T679" s="21"/>
      <c r="U679" s="154"/>
      <c r="V679" s="154"/>
      <c r="W679" s="154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54"/>
      <c r="R680" s="21"/>
      <c r="S680" s="21"/>
      <c r="T680" s="21"/>
      <c r="U680" s="154"/>
      <c r="V680" s="154"/>
      <c r="W680" s="154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54"/>
      <c r="R681" s="21"/>
      <c r="S681" s="21"/>
      <c r="T681" s="21"/>
      <c r="U681" s="154"/>
      <c r="V681" s="154"/>
      <c r="W681" s="154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54"/>
      <c r="R682" s="21"/>
      <c r="S682" s="21"/>
      <c r="T682" s="21"/>
      <c r="U682" s="154"/>
      <c r="V682" s="154"/>
      <c r="W682" s="154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54"/>
      <c r="R683" s="21"/>
      <c r="S683" s="21"/>
      <c r="T683" s="21"/>
      <c r="U683" s="154"/>
      <c r="V683" s="154"/>
      <c r="W683" s="154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54"/>
      <c r="R684" s="21"/>
      <c r="S684" s="21"/>
      <c r="T684" s="21"/>
      <c r="U684" s="154"/>
      <c r="V684" s="154"/>
      <c r="W684" s="154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54"/>
      <c r="R685" s="21"/>
      <c r="S685" s="21"/>
      <c r="T685" s="21"/>
      <c r="U685" s="154"/>
      <c r="V685" s="154"/>
      <c r="W685" s="154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</sheetData>
  <mergeCells count="15">
    <mergeCell ref="A41:Q41"/>
    <mergeCell ref="P42:Q42"/>
    <mergeCell ref="P58:Q58"/>
    <mergeCell ref="P74:Q74"/>
    <mergeCell ref="P90:Q90"/>
    <mergeCell ref="A9:Q9"/>
    <mergeCell ref="U9:V9"/>
    <mergeCell ref="P10:Q10"/>
    <mergeCell ref="A25:Q25"/>
    <mergeCell ref="P26:Q26"/>
    <mergeCell ref="F1:J1"/>
    <mergeCell ref="F2:K5"/>
    <mergeCell ref="N6:P7"/>
    <mergeCell ref="F7:J7"/>
    <mergeCell ref="L1:N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8" zoomScale="100" workbookViewId="0">
      <selection activeCell="L78" activeCellId="0" sqref="L78"/>
    </sheetView>
  </sheetViews>
  <sheetFormatPr defaultRowHeight="13.800000000000001"/>
  <cols>
    <col customWidth="1" min="1" max="1" width="14"/>
    <col customWidth="1" min="2" max="2" width="12.88671875"/>
    <col customWidth="1" min="3" max="3" width="5.5546875"/>
    <col customWidth="1" min="4" max="4" width="12.33203125"/>
    <col customWidth="1" min="5" max="5" width="5.5546875"/>
    <col customWidth="1" min="6" max="6" width="12.109375"/>
    <col customWidth="1" min="7" max="7" width="5.5546875"/>
    <col customWidth="1" min="8" max="8" width="11.109375"/>
    <col customWidth="1" min="9" max="9" width="5.5546875"/>
    <col customWidth="1" min="10" max="10" width="11.6640625"/>
    <col customWidth="1" min="11" max="11" width="5.5546875"/>
    <col customWidth="1" min="12" max="12" width="11.44140625"/>
    <col customWidth="1" min="13" max="13" width="5.5546875"/>
    <col customWidth="1" min="14" max="14" width="12.5546875"/>
    <col customWidth="1" min="15" max="16" width="5.5546875"/>
    <col customWidth="1" min="17" max="17" width="7.88671875"/>
    <col customWidth="1" min="18" max="18" width="12.6640625"/>
  </cols>
  <sheetData>
    <row r="1" s="21" customFormat="1" ht="14.4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4">
      <c r="A2" s="14"/>
      <c r="B2" s="15" t="s">
        <v>3</v>
      </c>
      <c r="C2" s="15" t="s">
        <v>4</v>
      </c>
      <c r="D2" s="16" t="s">
        <v>5</v>
      </c>
      <c r="E2" s="16" t="s">
        <v>4</v>
      </c>
      <c r="F2" s="17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4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4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4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4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4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399999999999999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ht="14.4">
      <c r="A10" s="49"/>
      <c r="B10" s="43" t="s">
        <v>17</v>
      </c>
      <c r="C10" s="44"/>
      <c r="D10" s="43" t="s">
        <v>18</v>
      </c>
      <c r="E10" s="44"/>
      <c r="F10" s="43" t="s">
        <v>19</v>
      </c>
      <c r="G10" s="44"/>
      <c r="H10" s="43" t="s">
        <v>20</v>
      </c>
      <c r="I10" s="44"/>
      <c r="J10" s="45" t="s">
        <v>21</v>
      </c>
      <c r="K10" s="46"/>
      <c r="L10" s="43" t="s">
        <v>22</v>
      </c>
      <c r="M10" s="44"/>
      <c r="N10" s="43" t="s">
        <v>23</v>
      </c>
      <c r="O10" s="44"/>
      <c r="P10" s="208" t="s">
        <v>24</v>
      </c>
      <c r="Q10" s="209"/>
      <c r="R10" s="49">
        <v>176</v>
      </c>
      <c r="S10" s="49"/>
      <c r="T10" s="49"/>
      <c r="U10" s="50">
        <v>176</v>
      </c>
      <c r="V10" s="50"/>
      <c r="W10" s="50"/>
      <c r="X10" s="51"/>
      <c r="Y10" s="7"/>
      <c r="Z10" s="7"/>
      <c r="AA10" s="7"/>
      <c r="AB10" s="13"/>
      <c r="AC10" s="13"/>
      <c r="AD10" s="13"/>
    </row>
    <row r="11" ht="14.4">
      <c r="A11" s="143"/>
      <c r="B11" s="210">
        <v>46293</v>
      </c>
      <c r="C11" s="211"/>
      <c r="D11" s="210">
        <v>46294</v>
      </c>
      <c r="E11" s="211"/>
      <c r="F11" s="210">
        <v>46295</v>
      </c>
      <c r="G11" s="211"/>
      <c r="H11" s="210">
        <v>46296</v>
      </c>
      <c r="I11" s="211"/>
      <c r="J11" s="210">
        <v>46297</v>
      </c>
      <c r="K11" s="211"/>
      <c r="L11" s="210">
        <v>46298</v>
      </c>
      <c r="M11" s="211"/>
      <c r="N11" s="210">
        <v>46299</v>
      </c>
      <c r="O11" s="212"/>
      <c r="P11" s="213" t="s">
        <v>25</v>
      </c>
      <c r="Q11" s="214" t="s">
        <v>26</v>
      </c>
      <c r="R11" s="215"/>
      <c r="S11" s="216"/>
      <c r="T11" s="216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ht="14.4">
      <c r="A12" s="217" t="s">
        <v>35</v>
      </c>
      <c r="B12" s="65"/>
      <c r="C12" s="65"/>
      <c r="D12" s="65"/>
      <c r="E12" s="65"/>
      <c r="F12" s="65" t="s">
        <v>32</v>
      </c>
      <c r="G12" s="65" t="s">
        <v>33</v>
      </c>
      <c r="H12" s="65" t="s">
        <v>32</v>
      </c>
      <c r="I12" s="65" t="s">
        <v>33</v>
      </c>
      <c r="J12" s="65" t="s">
        <v>32</v>
      </c>
      <c r="K12" s="65" t="s">
        <v>33</v>
      </c>
      <c r="L12" s="66"/>
      <c r="M12" s="66"/>
      <c r="N12" s="66"/>
      <c r="O12" s="66"/>
      <c r="P12" s="218">
        <f t="shared" ref="P12:P75" si="23">C12+E12+G12+I12+K12+M12+O12</f>
        <v>24</v>
      </c>
      <c r="Q12" s="62">
        <f>R10-P12</f>
        <v>152</v>
      </c>
      <c r="R12" s="219" t="str">
        <f t="shared" ref="R12:R75" si="24">A12</f>
        <v>Рычков</v>
      </c>
      <c r="S12" s="76" t="s">
        <v>10</v>
      </c>
      <c r="T12" s="77" t="s">
        <v>9</v>
      </c>
      <c r="U12" s="73">
        <f t="shared" ref="U12:U28" si="25">COUNTIF(T12,B12)+COUNTIF(T12,D12)+COUNTIF(T12,F12)+COUNTIF(T12,H12)+COUNTIF(T12,J12)+COUNTIF(T12,L12)+COUNTIF(T12,N12)</f>
        <v>0</v>
      </c>
      <c r="V12" s="62">
        <f t="shared" ref="V12:V28" si="26">COUNTIF(S12,B12)+COUNTIF(S12,D12)+COUNTIF(S12,F12)+COUNTIF(S12,H12)+COUNTIF(S12,J12)+COUNTIF(S12,L12)+COUNTIF(S12,N12)</f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ht="14.4">
      <c r="A13" s="203" t="s">
        <v>39</v>
      </c>
      <c r="B13" s="65"/>
      <c r="C13" s="65"/>
      <c r="D13" s="65"/>
      <c r="E13" s="65"/>
      <c r="F13" s="65" t="s">
        <v>32</v>
      </c>
      <c r="G13" s="65" t="s">
        <v>33</v>
      </c>
      <c r="H13" s="65" t="s">
        <v>32</v>
      </c>
      <c r="I13" s="65" t="s">
        <v>33</v>
      </c>
      <c r="J13" s="65" t="s">
        <v>32</v>
      </c>
      <c r="K13" s="65" t="s">
        <v>33</v>
      </c>
      <c r="L13" s="66"/>
      <c r="M13" s="66"/>
      <c r="N13" s="66"/>
      <c r="O13" s="66"/>
      <c r="P13" s="218">
        <f t="shared" si="23"/>
        <v>24</v>
      </c>
      <c r="Q13" s="62">
        <f>R10-P13</f>
        <v>152</v>
      </c>
      <c r="R13" s="219" t="str">
        <f t="shared" si="24"/>
        <v>Игумнов</v>
      </c>
      <c r="S13" s="76" t="s">
        <v>10</v>
      </c>
      <c r="T13" s="77" t="s">
        <v>9</v>
      </c>
      <c r="U13" s="73">
        <f>COUNTIF(T13,B13)+COUNTIF(T13,D13)+COUNTIF(T13,F13)+COUNTIF(T13,H13)+COUNTIF(T13,J13)+COUNTIF(T13,L13)+COUNTIF(T13,#REF!)</f>
        <v>0</v>
      </c>
      <c r="V13" s="62">
        <f>COUNTIF(S13,B13)+COUNTIF(S13,D13)+COUNTIF(S13,F13)+COUNTIF(S13,H13)+COUNTIF(S13,J13)+COUNTIF(S13,L13)+COUNTIF(S13,#REF!)</f>
        <v>0</v>
      </c>
      <c r="W13" s="62"/>
      <c r="X13" s="79" t="s">
        <v>34</v>
      </c>
      <c r="Y13" s="7"/>
      <c r="Z13" s="80"/>
      <c r="AA13" s="80"/>
      <c r="AB13" s="13"/>
      <c r="AC13" s="13"/>
      <c r="AD13" s="13"/>
    </row>
    <row r="14" ht="14.4">
      <c r="A14" s="203" t="s">
        <v>40</v>
      </c>
      <c r="B14" s="65"/>
      <c r="C14" s="65"/>
      <c r="D14" s="65"/>
      <c r="E14" s="65"/>
      <c r="F14" s="65" t="s">
        <v>32</v>
      </c>
      <c r="G14" s="65" t="s">
        <v>33</v>
      </c>
      <c r="H14" s="65" t="s">
        <v>32</v>
      </c>
      <c r="I14" s="65" t="s">
        <v>33</v>
      </c>
      <c r="J14" s="65" t="s">
        <v>32</v>
      </c>
      <c r="K14" s="65" t="s">
        <v>33</v>
      </c>
      <c r="L14" s="66"/>
      <c r="M14" s="66"/>
      <c r="N14" s="87"/>
      <c r="O14" s="66"/>
      <c r="P14" s="220">
        <f t="shared" si="23"/>
        <v>24</v>
      </c>
      <c r="Q14" s="221">
        <f>R10-P14</f>
        <v>152</v>
      </c>
      <c r="R14" s="222" t="str">
        <f t="shared" si="24"/>
        <v>Душин</v>
      </c>
      <c r="S14" s="76" t="s">
        <v>10</v>
      </c>
      <c r="T14" s="77" t="s">
        <v>9</v>
      </c>
      <c r="U14" s="73">
        <f>COUNTIF(T14,B14)+COUNTIF(T14,D14)+COUNTIF(T14,F14)+COUNTIF(T14,H14)+COUNTIF(T14,J14)+COUNTIF(T14,L14)+COUNTIF(T14,#REF!)</f>
        <v>0</v>
      </c>
      <c r="V14" s="62">
        <f>COUNTIF(S14,B14)+COUNTIF(S14,D14)+COUNTIF(S14,F14)+COUNTIF(S14,H14)+COUNTIF(S14,J14)+COUNTIF(S14,L14)+COUNTIF(S14,#REF!)</f>
        <v>0</v>
      </c>
      <c r="W14" s="62"/>
      <c r="X14" s="74" t="s">
        <v>38</v>
      </c>
      <c r="Y14" s="80"/>
      <c r="Z14" s="80"/>
      <c r="AA14" s="80"/>
      <c r="AB14" s="13"/>
      <c r="AC14" s="13"/>
      <c r="AD14" s="13"/>
    </row>
    <row r="15" ht="14.4">
      <c r="A15" s="203" t="s">
        <v>42</v>
      </c>
      <c r="B15" s="65"/>
      <c r="C15" s="65"/>
      <c r="D15" s="65"/>
      <c r="E15" s="65"/>
      <c r="F15" s="65" t="s">
        <v>32</v>
      </c>
      <c r="G15" s="65" t="s">
        <v>33</v>
      </c>
      <c r="H15" s="65" t="s">
        <v>32</v>
      </c>
      <c r="I15" s="65" t="s">
        <v>33</v>
      </c>
      <c r="J15" s="65" t="s">
        <v>32</v>
      </c>
      <c r="K15" s="65" t="s">
        <v>33</v>
      </c>
      <c r="L15" s="66"/>
      <c r="M15" s="66"/>
      <c r="N15" s="87"/>
      <c r="O15" s="66"/>
      <c r="P15" s="68">
        <f t="shared" si="23"/>
        <v>24</v>
      </c>
      <c r="Q15" s="69">
        <f>R10-P15</f>
        <v>152</v>
      </c>
      <c r="R15" s="70" t="str">
        <f t="shared" si="24"/>
        <v>Юращик</v>
      </c>
      <c r="S15" s="76" t="s">
        <v>10</v>
      </c>
      <c r="T15" s="77" t="s">
        <v>9</v>
      </c>
      <c r="U15" s="73">
        <f t="shared" ref="U15:U16" si="27">COUNTIF(T15,B15)+COUNTIF(T15,D15)+COUNTIF(T15,F15)+COUNTIF(T15,H15)+COUNTIF(T15,J15)+COUNTIF(T15,L15)+COUNTIF(T15,N13)</f>
        <v>0</v>
      </c>
      <c r="V15" s="62">
        <f t="shared" ref="V15:V16" si="28">COUNTIF(S15,B15)+COUNTIF(S15,D15)+COUNTIF(S15,F15)+COUNTIF(S15,H15)+COUNTIF(S15,J15)+COUNTIF(S15,L15)+COUNTIF(S15,N13)</f>
        <v>0</v>
      </c>
      <c r="W15" s="62"/>
      <c r="X15" s="74" t="s">
        <v>38</v>
      </c>
      <c r="Y15" s="80"/>
      <c r="Z15" s="80"/>
      <c r="AA15" s="80"/>
      <c r="AB15" s="13"/>
      <c r="AC15" s="13"/>
      <c r="AD15" s="13"/>
    </row>
    <row r="16" ht="14.4">
      <c r="A16" s="202" t="s">
        <v>31</v>
      </c>
      <c r="B16" s="65"/>
      <c r="C16" s="65"/>
      <c r="D16" s="65"/>
      <c r="E16" s="65"/>
      <c r="F16" s="198" t="s">
        <v>32</v>
      </c>
      <c r="G16" s="65" t="s">
        <v>33</v>
      </c>
      <c r="H16" s="198" t="s">
        <v>32</v>
      </c>
      <c r="I16" s="65" t="s">
        <v>33</v>
      </c>
      <c r="J16" s="198" t="s">
        <v>32</v>
      </c>
      <c r="K16" s="65" t="s">
        <v>33</v>
      </c>
      <c r="L16" s="66"/>
      <c r="M16" s="66"/>
      <c r="N16" s="66"/>
      <c r="O16" s="66"/>
      <c r="P16" s="68">
        <f t="shared" si="23"/>
        <v>24</v>
      </c>
      <c r="Q16" s="69">
        <f>R10-P16</f>
        <v>152</v>
      </c>
      <c r="R16" s="70" t="s">
        <v>31</v>
      </c>
      <c r="S16" s="76" t="s">
        <v>10</v>
      </c>
      <c r="T16" s="77" t="s">
        <v>9</v>
      </c>
      <c r="U16" s="73">
        <f t="shared" si="27"/>
        <v>0</v>
      </c>
      <c r="V16" s="62">
        <f t="shared" si="28"/>
        <v>0</v>
      </c>
      <c r="W16" s="62"/>
      <c r="X16" s="74"/>
      <c r="Y16" s="80"/>
      <c r="Z16" s="80"/>
      <c r="AA16" s="80"/>
      <c r="AB16" s="13"/>
      <c r="AC16" s="13"/>
      <c r="AD16" s="13"/>
    </row>
    <row r="17" ht="14.4">
      <c r="A17" s="204" t="s">
        <v>43</v>
      </c>
      <c r="B17" s="131"/>
      <c r="C17" s="131"/>
      <c r="D17" s="87"/>
      <c r="E17" s="87"/>
      <c r="F17" s="223"/>
      <c r="G17" s="224"/>
      <c r="H17" s="225"/>
      <c r="I17" s="226">
        <v>12</v>
      </c>
      <c r="J17" s="78"/>
      <c r="K17" s="78" t="s">
        <v>4</v>
      </c>
      <c r="L17" s="82"/>
      <c r="M17" s="82"/>
      <c r="N17" s="66"/>
      <c r="O17" s="66"/>
      <c r="P17" s="68">
        <f t="shared" si="23"/>
        <v>24</v>
      </c>
      <c r="Q17" s="69">
        <f>U10-P17</f>
        <v>152</v>
      </c>
      <c r="R17" s="70" t="s">
        <v>43</v>
      </c>
      <c r="S17" s="149" t="s">
        <v>12</v>
      </c>
      <c r="T17" s="84" t="s">
        <v>11</v>
      </c>
      <c r="U17" s="227">
        <f t="shared" si="25"/>
        <v>0</v>
      </c>
      <c r="V17" s="86">
        <f t="shared" si="26"/>
        <v>0</v>
      </c>
      <c r="W17" s="227"/>
      <c r="X17" s="74" t="s">
        <v>44</v>
      </c>
      <c r="Y17" s="80"/>
      <c r="Z17" s="80"/>
      <c r="AA17" s="80"/>
      <c r="AB17" s="13"/>
      <c r="AC17" s="13"/>
      <c r="AD17" s="13"/>
    </row>
    <row r="18" ht="14.4">
      <c r="A18" s="205" t="s">
        <v>45</v>
      </c>
      <c r="B18" s="87"/>
      <c r="C18" s="87"/>
      <c r="D18" s="225"/>
      <c r="E18" s="225"/>
      <c r="F18" s="78"/>
      <c r="G18" s="78" t="s">
        <v>4</v>
      </c>
      <c r="H18" s="66"/>
      <c r="I18" s="66"/>
      <c r="J18" s="82"/>
      <c r="K18" s="82"/>
      <c r="L18" s="87"/>
      <c r="M18" s="87"/>
      <c r="N18" s="83"/>
      <c r="O18" s="83" t="s">
        <v>4</v>
      </c>
      <c r="P18" s="68">
        <f t="shared" si="23"/>
        <v>24</v>
      </c>
      <c r="Q18" s="69">
        <f>U10-P18</f>
        <v>152</v>
      </c>
      <c r="R18" s="70" t="str">
        <f t="shared" si="24"/>
        <v>Пузырь</v>
      </c>
      <c r="S18" s="76" t="s">
        <v>10</v>
      </c>
      <c r="T18" s="77" t="s">
        <v>9</v>
      </c>
      <c r="U18" s="73">
        <f t="shared" si="25"/>
        <v>0</v>
      </c>
      <c r="V18" s="62">
        <f t="shared" si="26"/>
        <v>0</v>
      </c>
      <c r="W18" s="62"/>
      <c r="X18" s="74" t="s">
        <v>34</v>
      </c>
      <c r="Y18" s="80"/>
      <c r="Z18" s="80"/>
      <c r="AA18" s="80"/>
      <c r="AB18" s="13"/>
      <c r="AC18" s="13"/>
      <c r="AD18" s="13"/>
    </row>
    <row r="19" ht="14.4">
      <c r="A19" s="205" t="s">
        <v>46</v>
      </c>
      <c r="B19" s="87"/>
      <c r="C19" s="87"/>
      <c r="D19" s="87"/>
      <c r="E19" s="87"/>
      <c r="F19" s="87"/>
      <c r="G19" s="87"/>
      <c r="H19" s="225"/>
      <c r="I19" s="225">
        <v>12</v>
      </c>
      <c r="J19" s="89"/>
      <c r="K19" s="78" t="s">
        <v>4</v>
      </c>
      <c r="L19" s="82"/>
      <c r="M19" s="82"/>
      <c r="N19" s="66"/>
      <c r="O19" s="66"/>
      <c r="P19" s="68">
        <f t="shared" si="23"/>
        <v>24</v>
      </c>
      <c r="Q19" s="69">
        <f>U10-P19</f>
        <v>152</v>
      </c>
      <c r="R19" s="70" t="str">
        <f t="shared" si="24"/>
        <v>Голышев</v>
      </c>
      <c r="S19" s="76" t="s">
        <v>10</v>
      </c>
      <c r="T19" s="77" t="s">
        <v>9</v>
      </c>
      <c r="U19" s="73">
        <f>COUNTIF(T19,B19)+COUNTIF(T19,D19)+COUNTIF(T19,J19)+COUNTIF(T19,H19)+COUNTIF(T19,#REF!)+COUNTIF(T19,L19)+COUNTIF(T19,N19)</f>
        <v>0</v>
      </c>
      <c r="V19" s="62">
        <f>COUNTIF(S19,B19)+COUNTIF(S19,D19)+COUNTIF(S19,J19)+COUNTIF(S19,H19)+COUNTIF(S19,#REF!)+COUNTIF(S19,L19)+COUNTIF(S19,N19)</f>
        <v>0</v>
      </c>
      <c r="W19" s="62"/>
      <c r="X19" s="74" t="s">
        <v>34</v>
      </c>
      <c r="Y19" s="80"/>
      <c r="Z19" s="7"/>
      <c r="AA19" s="7"/>
      <c r="AB19" s="13"/>
      <c r="AC19" s="13"/>
      <c r="AD19" s="13"/>
    </row>
    <row r="20" ht="14.4">
      <c r="A20" s="205" t="s">
        <v>47</v>
      </c>
      <c r="B20" s="131"/>
      <c r="C20" s="131"/>
      <c r="D20" s="131"/>
      <c r="E20" s="131"/>
      <c r="F20" s="87"/>
      <c r="G20" s="87"/>
      <c r="I20" s="67"/>
      <c r="J20" s="66"/>
      <c r="K20" s="66"/>
      <c r="L20" s="76"/>
      <c r="M20" s="76" t="s">
        <v>4</v>
      </c>
      <c r="N20" s="78"/>
      <c r="O20" s="78" t="s">
        <v>4</v>
      </c>
      <c r="P20" s="68">
        <f t="shared" si="23"/>
        <v>24</v>
      </c>
      <c r="Q20" s="69">
        <f>U10-P20</f>
        <v>152</v>
      </c>
      <c r="R20" s="70" t="str">
        <f t="shared" si="24"/>
        <v>Торубара</v>
      </c>
      <c r="S20" s="76" t="s">
        <v>10</v>
      </c>
      <c r="T20" s="77" t="s">
        <v>9</v>
      </c>
      <c r="U20" s="73">
        <f t="shared" si="25"/>
        <v>0</v>
      </c>
      <c r="V20" s="62">
        <f t="shared" si="26"/>
        <v>0</v>
      </c>
      <c r="W20" s="62"/>
      <c r="X20" s="74" t="s">
        <v>34</v>
      </c>
      <c r="Y20" s="7"/>
      <c r="Z20" s="7"/>
      <c r="AA20" s="7"/>
      <c r="AB20" s="13"/>
      <c r="AC20" s="13"/>
      <c r="AD20" s="13"/>
    </row>
    <row r="21" ht="14.4">
      <c r="A21" s="205" t="s">
        <v>48</v>
      </c>
      <c r="B21" s="87"/>
      <c r="C21" s="87"/>
      <c r="D21" s="131"/>
      <c r="E21" s="131"/>
      <c r="F21" s="83"/>
      <c r="G21" s="83" t="s">
        <v>4</v>
      </c>
      <c r="H21" s="87"/>
      <c r="I21" s="87"/>
      <c r="J21" s="82"/>
      <c r="K21" s="82"/>
      <c r="L21" s="78"/>
      <c r="M21" s="78" t="s">
        <v>4</v>
      </c>
      <c r="N21" s="78"/>
      <c r="O21" s="78" t="s">
        <v>4</v>
      </c>
      <c r="P21" s="68">
        <f t="shared" si="23"/>
        <v>36</v>
      </c>
      <c r="Q21" s="69">
        <f>U10-P21</f>
        <v>140</v>
      </c>
      <c r="R21" s="70" t="str">
        <f t="shared" si="24"/>
        <v>Стрыгин</v>
      </c>
      <c r="S21" s="71" t="s">
        <v>8</v>
      </c>
      <c r="T21" s="72" t="s">
        <v>7</v>
      </c>
      <c r="U21" s="73">
        <f t="shared" si="25"/>
        <v>0</v>
      </c>
      <c r="V21" s="62">
        <f t="shared" si="26"/>
        <v>0</v>
      </c>
      <c r="W21" s="62"/>
      <c r="X21" s="74" t="s">
        <v>49</v>
      </c>
      <c r="Y21" s="7"/>
      <c r="Z21" s="7"/>
      <c r="AA21" s="7"/>
      <c r="AB21" s="13"/>
      <c r="AC21" s="13"/>
      <c r="AD21" s="13"/>
    </row>
    <row r="22" ht="14.4">
      <c r="A22" s="205" t="s">
        <v>50</v>
      </c>
      <c r="B22" s="225"/>
      <c r="C22" s="225"/>
      <c r="D22" s="87"/>
      <c r="E22" s="87"/>
      <c r="F22" s="82"/>
      <c r="G22" s="82"/>
      <c r="H22" s="83"/>
      <c r="I22" s="83" t="s">
        <v>4</v>
      </c>
      <c r="J22" s="83"/>
      <c r="K22" s="83" t="s">
        <v>4</v>
      </c>
      <c r="L22" s="82"/>
      <c r="M22" s="82"/>
      <c r="N22" s="82"/>
      <c r="O22" s="82"/>
      <c r="P22" s="68">
        <f t="shared" si="23"/>
        <v>24</v>
      </c>
      <c r="Q22" s="69">
        <f>U10-P22</f>
        <v>152</v>
      </c>
      <c r="R22" s="70" t="str">
        <f t="shared" si="24"/>
        <v>Фрик</v>
      </c>
      <c r="S22" s="71" t="s">
        <v>12</v>
      </c>
      <c r="T22" s="72" t="s">
        <v>11</v>
      </c>
      <c r="U22" s="73">
        <v>2</v>
      </c>
      <c r="V22" s="62">
        <f t="shared" si="26"/>
        <v>0</v>
      </c>
      <c r="W22" s="62"/>
      <c r="X22" s="74" t="s">
        <v>44</v>
      </c>
      <c r="Y22" s="7"/>
      <c r="Z22" s="7"/>
      <c r="AA22" s="7"/>
      <c r="AB22" s="13"/>
      <c r="AC22" s="13"/>
      <c r="AD22" s="13"/>
    </row>
    <row r="23" ht="14.4">
      <c r="A23" s="206" t="s">
        <v>51</v>
      </c>
      <c r="B23" s="87"/>
      <c r="C23" s="87"/>
      <c r="D23" s="87"/>
      <c r="E23" s="87"/>
      <c r="F23" s="89"/>
      <c r="G23" s="78" t="s">
        <v>4</v>
      </c>
      <c r="J23" s="156"/>
      <c r="K23" s="174" t="s">
        <v>33</v>
      </c>
      <c r="L23" s="156"/>
      <c r="M23" s="156" t="s">
        <v>4</v>
      </c>
      <c r="N23" s="156"/>
      <c r="O23" s="156" t="s">
        <v>4</v>
      </c>
      <c r="P23" s="228">
        <f t="shared" si="23"/>
        <v>44</v>
      </c>
      <c r="Q23" s="229">
        <f>U10-P23</f>
        <v>132</v>
      </c>
      <c r="R23" s="230" t="str">
        <f t="shared" si="24"/>
        <v>Истрашкин</v>
      </c>
      <c r="S23" s="71" t="s">
        <v>10</v>
      </c>
      <c r="T23" s="72" t="s">
        <v>9</v>
      </c>
      <c r="U23" s="73">
        <f t="shared" si="25"/>
        <v>0</v>
      </c>
      <c r="V23" s="62">
        <f t="shared" si="26"/>
        <v>0</v>
      </c>
      <c r="W23" s="50"/>
      <c r="X23" s="74" t="s">
        <v>34</v>
      </c>
      <c r="Y23" s="7"/>
      <c r="Z23" s="7"/>
      <c r="AA23" s="7"/>
      <c r="AB23" s="13"/>
      <c r="AC23" s="13"/>
      <c r="AD23" s="13"/>
    </row>
    <row r="24" ht="14.4">
      <c r="A24" s="207"/>
      <c r="B24" s="210">
        <v>46293</v>
      </c>
      <c r="C24" s="211"/>
      <c r="D24" s="210">
        <v>46294</v>
      </c>
      <c r="E24" s="211"/>
      <c r="F24" s="210">
        <v>46295</v>
      </c>
      <c r="G24" s="211"/>
      <c r="H24" s="210">
        <v>46296</v>
      </c>
      <c r="I24" s="211"/>
      <c r="J24" s="210">
        <v>46297</v>
      </c>
      <c r="K24" s="211"/>
      <c r="L24" s="210">
        <v>46298</v>
      </c>
      <c r="M24" s="211"/>
      <c r="N24" s="210">
        <v>46299</v>
      </c>
      <c r="O24" s="231"/>
      <c r="P24" s="232"/>
      <c r="Q24" s="233"/>
      <c r="R24" s="49"/>
      <c r="S24" s="161"/>
      <c r="T24" s="161"/>
      <c r="U24" s="60" t="s">
        <v>27</v>
      </c>
      <c r="V24" s="61" t="s">
        <v>28</v>
      </c>
      <c r="W24" s="62" t="s">
        <v>29</v>
      </c>
      <c r="X24" s="96"/>
      <c r="Y24" s="7"/>
      <c r="Z24" s="7"/>
      <c r="AA24" s="7"/>
      <c r="AB24" s="13"/>
      <c r="AC24" s="13"/>
      <c r="AD24" s="13"/>
    </row>
    <row r="25" ht="14.4">
      <c r="A25" s="162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4"/>
      <c r="R25" s="165"/>
      <c r="S25" s="165"/>
      <c r="T25" s="165"/>
      <c r="U25" s="100"/>
      <c r="V25" s="100"/>
      <c r="W25" s="100"/>
      <c r="X25" s="7"/>
      <c r="Y25" s="7"/>
      <c r="Z25" s="7"/>
      <c r="AA25" s="7"/>
      <c r="AB25" s="13"/>
      <c r="AC25" s="13"/>
      <c r="AD25" s="13"/>
    </row>
    <row r="26" ht="14.4">
      <c r="A26" s="165"/>
      <c r="B26" s="167" t="s">
        <v>17</v>
      </c>
      <c r="C26" s="167"/>
      <c r="D26" s="167" t="s">
        <v>18</v>
      </c>
      <c r="E26" s="167"/>
      <c r="F26" s="167" t="s">
        <v>19</v>
      </c>
      <c r="G26" s="167"/>
      <c r="H26" s="167" t="s">
        <v>20</v>
      </c>
      <c r="I26" s="167"/>
      <c r="J26" s="168" t="s">
        <v>21</v>
      </c>
      <c r="K26" s="168"/>
      <c r="L26" s="167" t="s">
        <v>22</v>
      </c>
      <c r="M26" s="167"/>
      <c r="N26" s="167" t="s">
        <v>23</v>
      </c>
      <c r="O26" s="167"/>
      <c r="P26" s="234" t="s">
        <v>24</v>
      </c>
      <c r="Q26" s="235"/>
      <c r="R26" s="165"/>
      <c r="S26" s="165"/>
      <c r="T26" s="165"/>
      <c r="U26" s="100"/>
      <c r="V26" s="100"/>
      <c r="W26" s="100"/>
      <c r="X26" s="51"/>
      <c r="Y26" s="7"/>
      <c r="Z26" s="7"/>
      <c r="AA26" s="7"/>
      <c r="AB26" s="13"/>
      <c r="AC26" s="13"/>
      <c r="AD26" s="13"/>
    </row>
    <row r="27" ht="14.4">
      <c r="A27" s="165"/>
      <c r="B27" s="210">
        <v>46300</v>
      </c>
      <c r="C27" s="211"/>
      <c r="D27" s="210">
        <v>46301</v>
      </c>
      <c r="E27" s="211"/>
      <c r="F27" s="210">
        <v>46302</v>
      </c>
      <c r="G27" s="211"/>
      <c r="H27" s="210">
        <v>46303</v>
      </c>
      <c r="I27" s="211"/>
      <c r="J27" s="210">
        <v>46304</v>
      </c>
      <c r="K27" s="211"/>
      <c r="L27" s="210">
        <v>46305</v>
      </c>
      <c r="M27" s="211"/>
      <c r="N27" s="210">
        <v>46306</v>
      </c>
      <c r="O27" s="212"/>
      <c r="P27" s="236" t="s">
        <v>25</v>
      </c>
      <c r="Q27" s="237" t="s">
        <v>26</v>
      </c>
      <c r="R27" s="238"/>
      <c r="S27" s="239"/>
      <c r="T27" s="239"/>
      <c r="U27" s="15" t="s">
        <v>27</v>
      </c>
      <c r="V27" s="106" t="s">
        <v>28</v>
      </c>
      <c r="W27" s="100" t="s">
        <v>29</v>
      </c>
      <c r="X27" s="63" t="s">
        <v>30</v>
      </c>
      <c r="Y27" s="7"/>
      <c r="Z27" s="7"/>
      <c r="AA27" s="7"/>
      <c r="AB27" s="13"/>
      <c r="AC27" s="13"/>
      <c r="AD27" s="13"/>
    </row>
    <row r="28" ht="14.4">
      <c r="A28" s="203" t="s">
        <v>35</v>
      </c>
      <c r="B28" s="65" t="s">
        <v>32</v>
      </c>
      <c r="C28" s="65" t="s">
        <v>33</v>
      </c>
      <c r="D28" s="65" t="s">
        <v>32</v>
      </c>
      <c r="E28" s="65" t="s">
        <v>33</v>
      </c>
      <c r="F28" s="65" t="s">
        <v>32</v>
      </c>
      <c r="G28" s="65" t="s">
        <v>33</v>
      </c>
      <c r="H28" s="65" t="s">
        <v>32</v>
      </c>
      <c r="I28" s="65" t="s">
        <v>33</v>
      </c>
      <c r="J28" s="65" t="s">
        <v>32</v>
      </c>
      <c r="K28" s="65" t="s">
        <v>33</v>
      </c>
      <c r="L28" s="66"/>
      <c r="M28" s="66"/>
      <c r="N28" s="66"/>
      <c r="O28" s="66"/>
      <c r="P28" s="220">
        <f t="shared" si="23"/>
        <v>40</v>
      </c>
      <c r="Q28" s="221">
        <f t="shared" ref="Q28:Q87" si="29">Q12-P28</f>
        <v>112</v>
      </c>
      <c r="R28" s="222" t="str">
        <f t="shared" si="24"/>
        <v>Рычков</v>
      </c>
      <c r="S28" s="76" t="s">
        <v>10</v>
      </c>
      <c r="T28" s="77" t="s">
        <v>9</v>
      </c>
      <c r="U28" s="240">
        <f t="shared" si="25"/>
        <v>0</v>
      </c>
      <c r="V28" s="221">
        <f t="shared" si="26"/>
        <v>0</v>
      </c>
      <c r="W28" s="221"/>
      <c r="X28" s="74" t="s">
        <v>34</v>
      </c>
      <c r="Y28" s="7"/>
      <c r="Z28" s="7"/>
      <c r="AA28" s="7"/>
      <c r="AB28" s="13"/>
      <c r="AC28" s="13"/>
      <c r="AD28" s="13"/>
    </row>
    <row r="29" ht="14.4">
      <c r="A29" s="203" t="s">
        <v>39</v>
      </c>
      <c r="B29" s="65" t="s">
        <v>32</v>
      </c>
      <c r="C29" s="65" t="s">
        <v>33</v>
      </c>
      <c r="D29" s="65" t="s">
        <v>32</v>
      </c>
      <c r="E29" s="65" t="s">
        <v>33</v>
      </c>
      <c r="F29" s="65" t="s">
        <v>32</v>
      </c>
      <c r="G29" s="65" t="s">
        <v>33</v>
      </c>
      <c r="H29" s="65" t="s">
        <v>32</v>
      </c>
      <c r="I29" s="65" t="s">
        <v>33</v>
      </c>
      <c r="J29" s="65" t="s">
        <v>32</v>
      </c>
      <c r="K29" s="65" t="s">
        <v>33</v>
      </c>
      <c r="L29" s="66"/>
      <c r="M29" s="66"/>
      <c r="N29" s="87"/>
      <c r="O29" s="66"/>
      <c r="P29" s="68">
        <f t="shared" si="23"/>
        <v>40</v>
      </c>
      <c r="Q29" s="69">
        <f t="shared" si="29"/>
        <v>112</v>
      </c>
      <c r="R29" s="70" t="str">
        <f t="shared" si="24"/>
        <v>Игумнов</v>
      </c>
      <c r="S29" s="76" t="s">
        <v>10</v>
      </c>
      <c r="T29" s="77" t="s">
        <v>9</v>
      </c>
      <c r="U29" s="69">
        <f>COUNTIF(T29,B29)+COUNTIF(T29,D29)+COUNTIF(T29,F29)+COUNTIF(T29,H29)+COUNTIF(T29,J29)+COUNTIF(T29,L29)+COUNTIF(T29,N30)</f>
        <v>0</v>
      </c>
      <c r="V29" s="69">
        <f>COUNTIF(S29,B29)+COUNTIF(S29,D29)+COUNTIF(S29,F29)+COUNTIF(S29,H29)+COUNTIF(S29,J29)+COUNTIF(S29,L29)+COUNTIF(S29,N30)</f>
        <v>0</v>
      </c>
      <c r="W29" s="69"/>
      <c r="X29" s="241" t="s">
        <v>34</v>
      </c>
      <c r="Y29" s="7"/>
      <c r="Z29" s="80"/>
      <c r="AA29" s="80"/>
      <c r="AB29" s="13"/>
      <c r="AC29" s="13"/>
      <c r="AD29" s="13"/>
    </row>
    <row r="30" ht="14.4">
      <c r="A30" s="203" t="s">
        <v>40</v>
      </c>
      <c r="B30" s="65" t="s">
        <v>32</v>
      </c>
      <c r="C30" s="65" t="s">
        <v>33</v>
      </c>
      <c r="D30" s="65" t="s">
        <v>32</v>
      </c>
      <c r="E30" s="65" t="s">
        <v>33</v>
      </c>
      <c r="F30" s="65" t="s">
        <v>32</v>
      </c>
      <c r="G30" s="65" t="s">
        <v>33</v>
      </c>
      <c r="H30" s="65" t="s">
        <v>32</v>
      </c>
      <c r="I30" s="65" t="s">
        <v>33</v>
      </c>
      <c r="J30" s="65" t="s">
        <v>32</v>
      </c>
      <c r="K30" s="65" t="s">
        <v>33</v>
      </c>
      <c r="L30" s="66"/>
      <c r="M30" s="66"/>
      <c r="N30" s="66"/>
      <c r="O30" s="66"/>
      <c r="P30" s="68">
        <f t="shared" si="23"/>
        <v>40</v>
      </c>
      <c r="Q30" s="69">
        <f t="shared" si="29"/>
        <v>112</v>
      </c>
      <c r="R30" s="70" t="str">
        <f t="shared" si="24"/>
        <v>Душин</v>
      </c>
      <c r="S30" s="76" t="s">
        <v>10</v>
      </c>
      <c r="T30" s="77" t="s">
        <v>9</v>
      </c>
      <c r="U30" s="69">
        <f>COUNTIF(T30,B30)+COUNTIF(T30,D30)+COUNTIF(T30,F30)+COUNTIF(T30,H30)+COUNTIF(T30,J30)+COUNTIF(T30,L30)+COUNTIF(T30,#REF!)</f>
        <v>0</v>
      </c>
      <c r="V30" s="69">
        <f>COUNTIF(S30,B30)+COUNTIF(S30,D30)+COUNTIF(S30,F30)+COUNTIF(S30,H30)+COUNTIF(S30,J30)+COUNTIF(S30,L30)+COUNTIF(S30,#REF!)</f>
        <v>0</v>
      </c>
      <c r="W30" s="69"/>
      <c r="X30" s="242" t="s">
        <v>38</v>
      </c>
      <c r="Y30" s="80"/>
      <c r="Z30" s="80"/>
      <c r="AA30" s="80"/>
      <c r="AB30" s="13"/>
      <c r="AC30" s="13"/>
      <c r="AD30" s="13"/>
    </row>
    <row r="31" ht="14.4">
      <c r="A31" s="203" t="s">
        <v>42</v>
      </c>
      <c r="B31" s="65" t="s">
        <v>54</v>
      </c>
      <c r="C31" s="198" t="s">
        <v>33</v>
      </c>
      <c r="D31" s="65" t="s">
        <v>54</v>
      </c>
      <c r="E31" s="198" t="s">
        <v>33</v>
      </c>
      <c r="F31" s="65" t="s">
        <v>54</v>
      </c>
      <c r="G31" s="198" t="s">
        <v>33</v>
      </c>
      <c r="H31" s="65" t="s">
        <v>54</v>
      </c>
      <c r="I31" s="198" t="s">
        <v>33</v>
      </c>
      <c r="J31" s="65" t="s">
        <v>54</v>
      </c>
      <c r="K31" s="198" t="s">
        <v>33</v>
      </c>
      <c r="L31" s="66"/>
      <c r="M31" s="66"/>
      <c r="N31" s="66"/>
      <c r="O31" s="66"/>
      <c r="P31" s="68">
        <f t="shared" si="23"/>
        <v>40</v>
      </c>
      <c r="Q31" s="69">
        <f t="shared" si="29"/>
        <v>112</v>
      </c>
      <c r="R31" s="70" t="str">
        <f t="shared" si="24"/>
        <v>Юращик</v>
      </c>
      <c r="S31" s="76" t="s">
        <v>10</v>
      </c>
      <c r="T31" s="77" t="s">
        <v>9</v>
      </c>
      <c r="U31" s="69">
        <f t="shared" ref="U31:U87" si="30">COUNTIF(T31,B31)+COUNTIF(T31,D31)+COUNTIF(T31,F31)+COUNTIF(T31,H31)+COUNTIF(T31,J31)+COUNTIF(T31,L31)+COUNTIF(T31,N31)</f>
        <v>0</v>
      </c>
      <c r="V31" s="69">
        <f t="shared" ref="V31:V61" si="31">COUNTIF(S31,B31)+COUNTIF(S31,D31)+COUNTIF(S31,F31)+COUNTIF(S31,H31)+COUNTIF(S31,J31)+COUNTIF(S31,L31)+COUNTIF(S31,N31)</f>
        <v>0</v>
      </c>
      <c r="W31" s="69"/>
      <c r="X31" s="242" t="s">
        <v>38</v>
      </c>
      <c r="Y31" s="80"/>
      <c r="Z31" s="80"/>
      <c r="AA31" s="80"/>
      <c r="AB31" s="13"/>
      <c r="AC31" s="13"/>
      <c r="AD31" s="13"/>
    </row>
    <row r="32" ht="14.4">
      <c r="A32" s="202" t="s">
        <v>31</v>
      </c>
      <c r="B32" s="65" t="s">
        <v>32</v>
      </c>
      <c r="C32" s="65" t="s">
        <v>33</v>
      </c>
      <c r="D32" s="198" t="s">
        <v>32</v>
      </c>
      <c r="E32" s="65" t="s">
        <v>33</v>
      </c>
      <c r="F32" s="198" t="s">
        <v>32</v>
      </c>
      <c r="G32" s="65" t="s">
        <v>33</v>
      </c>
      <c r="H32" s="198" t="s">
        <v>32</v>
      </c>
      <c r="I32" s="65" t="s">
        <v>33</v>
      </c>
      <c r="J32" s="198" t="s">
        <v>32</v>
      </c>
      <c r="K32" s="65" t="s">
        <v>33</v>
      </c>
      <c r="L32" s="66"/>
      <c r="M32" s="66"/>
      <c r="N32" s="66"/>
      <c r="O32" s="66"/>
      <c r="P32" s="68">
        <f t="shared" si="23"/>
        <v>40</v>
      </c>
      <c r="Q32" s="69">
        <f t="shared" si="29"/>
        <v>112</v>
      </c>
      <c r="R32" s="70" t="s">
        <v>31</v>
      </c>
      <c r="S32" s="173" t="s">
        <v>10</v>
      </c>
      <c r="T32" s="77" t="s">
        <v>9</v>
      </c>
      <c r="U32" s="69">
        <f t="shared" si="30"/>
        <v>0</v>
      </c>
      <c r="V32" s="69">
        <f t="shared" si="31"/>
        <v>0</v>
      </c>
      <c r="W32" s="69"/>
      <c r="X32" s="242"/>
      <c r="Y32" s="80"/>
      <c r="Z32" s="80"/>
      <c r="AA32" s="80"/>
      <c r="AB32" s="13"/>
      <c r="AC32" s="13"/>
      <c r="AD32" s="13"/>
    </row>
    <row r="33" ht="14.4">
      <c r="A33" s="204" t="s">
        <v>43</v>
      </c>
      <c r="B33" s="77"/>
      <c r="C33" s="77" t="s">
        <v>4</v>
      </c>
      <c r="D33" s="83"/>
      <c r="E33" s="83" t="s">
        <v>4</v>
      </c>
      <c r="F33" s="66"/>
      <c r="G33" s="66"/>
      <c r="H33" s="66"/>
      <c r="I33" s="66"/>
      <c r="J33" s="76"/>
      <c r="K33" s="76" t="s">
        <v>4</v>
      </c>
      <c r="L33" s="87"/>
      <c r="M33" s="87"/>
      <c r="N33" s="67"/>
      <c r="O33" s="67"/>
      <c r="P33" s="68">
        <f t="shared" si="23"/>
        <v>36</v>
      </c>
      <c r="Q33" s="69">
        <f t="shared" si="29"/>
        <v>116</v>
      </c>
      <c r="R33" s="70" t="s">
        <v>43</v>
      </c>
      <c r="S33" s="71" t="s">
        <v>12</v>
      </c>
      <c r="T33" s="72" t="s">
        <v>11</v>
      </c>
      <c r="U33" s="69">
        <f t="shared" si="30"/>
        <v>0</v>
      </c>
      <c r="V33" s="69">
        <f t="shared" si="31"/>
        <v>0</v>
      </c>
      <c r="W33" s="69"/>
      <c r="X33" s="242" t="s">
        <v>44</v>
      </c>
      <c r="Y33" s="80"/>
      <c r="Z33" s="80"/>
      <c r="AA33" s="80"/>
      <c r="AB33" s="13"/>
      <c r="AC33" s="13"/>
      <c r="AD33" s="13"/>
    </row>
    <row r="34" ht="14.4">
      <c r="A34" s="205" t="s">
        <v>45</v>
      </c>
      <c r="B34" s="87"/>
      <c r="C34" s="87"/>
      <c r="D34" s="66"/>
      <c r="E34" s="66"/>
      <c r="F34" s="76"/>
      <c r="G34" s="76" t="s">
        <v>4</v>
      </c>
      <c r="H34" s="76"/>
      <c r="I34" s="76" t="s">
        <v>4</v>
      </c>
      <c r="J34" s="82"/>
      <c r="K34" s="82"/>
      <c r="L34" s="66"/>
      <c r="M34" s="66"/>
      <c r="N34" s="83"/>
      <c r="O34" s="83" t="s">
        <v>4</v>
      </c>
      <c r="P34" s="68">
        <f t="shared" si="23"/>
        <v>36</v>
      </c>
      <c r="Q34" s="69">
        <f t="shared" si="29"/>
        <v>116</v>
      </c>
      <c r="R34" s="70" t="str">
        <f t="shared" si="24"/>
        <v>Пузырь</v>
      </c>
      <c r="S34" s="76" t="s">
        <v>10</v>
      </c>
      <c r="T34" s="77" t="s">
        <v>9</v>
      </c>
      <c r="U34" s="69">
        <f t="shared" si="30"/>
        <v>0</v>
      </c>
      <c r="V34" s="69">
        <f t="shared" si="31"/>
        <v>0</v>
      </c>
      <c r="W34" s="69"/>
      <c r="X34" s="242" t="s">
        <v>34</v>
      </c>
      <c r="Y34" s="80"/>
      <c r="Z34" s="7"/>
      <c r="AA34" s="7"/>
      <c r="AB34" s="13"/>
      <c r="AC34" s="13"/>
      <c r="AD34" s="13"/>
    </row>
    <row r="35" ht="14.4">
      <c r="A35" s="205" t="s">
        <v>46</v>
      </c>
      <c r="B35" s="77"/>
      <c r="C35" s="77" t="s">
        <v>4</v>
      </c>
      <c r="D35" s="83"/>
      <c r="E35" s="83" t="s">
        <v>4</v>
      </c>
      <c r="F35" s="66"/>
      <c r="G35" s="66"/>
      <c r="H35" s="66"/>
      <c r="I35" s="66"/>
      <c r="J35" s="76"/>
      <c r="K35" s="76" t="s">
        <v>4</v>
      </c>
      <c r="L35" s="76"/>
      <c r="M35" s="76" t="s">
        <v>4</v>
      </c>
      <c r="N35" s="67"/>
      <c r="O35" s="67"/>
      <c r="P35" s="68">
        <f t="shared" si="23"/>
        <v>48</v>
      </c>
      <c r="Q35" s="69">
        <f t="shared" si="29"/>
        <v>104</v>
      </c>
      <c r="R35" s="70" t="str">
        <f t="shared" si="24"/>
        <v>Голышев</v>
      </c>
      <c r="S35" s="76" t="s">
        <v>10</v>
      </c>
      <c r="T35" s="77" t="s">
        <v>9</v>
      </c>
      <c r="U35" s="69">
        <f t="shared" si="30"/>
        <v>0</v>
      </c>
      <c r="V35" s="69">
        <f t="shared" si="31"/>
        <v>0</v>
      </c>
      <c r="W35" s="69"/>
      <c r="X35" s="242" t="s">
        <v>34</v>
      </c>
      <c r="Y35" s="80"/>
      <c r="Z35" s="7"/>
      <c r="AA35" s="7"/>
      <c r="AB35" s="13"/>
      <c r="AC35" s="13"/>
      <c r="AD35" s="13"/>
    </row>
    <row r="36" ht="14.4">
      <c r="A36" s="205" t="s">
        <v>47</v>
      </c>
      <c r="B36" s="66"/>
      <c r="C36" s="66"/>
      <c r="D36" s="66"/>
      <c r="E36" s="66"/>
      <c r="F36" s="83"/>
      <c r="G36" s="83" t="s">
        <v>4</v>
      </c>
      <c r="H36" s="112"/>
      <c r="I36" s="83" t="s">
        <v>4</v>
      </c>
      <c r="J36" s="67"/>
      <c r="K36" s="67"/>
      <c r="L36" s="112"/>
      <c r="M36" s="83" t="s">
        <v>4</v>
      </c>
      <c r="N36" s="83"/>
      <c r="O36" s="83" t="s">
        <v>4</v>
      </c>
      <c r="P36" s="68">
        <f t="shared" si="23"/>
        <v>48</v>
      </c>
      <c r="Q36" s="69">
        <f t="shared" si="29"/>
        <v>104</v>
      </c>
      <c r="R36" s="70" t="str">
        <f t="shared" si="24"/>
        <v>Торубара</v>
      </c>
      <c r="S36" s="76" t="s">
        <v>10</v>
      </c>
      <c r="T36" s="77" t="s">
        <v>9</v>
      </c>
      <c r="U36" s="69">
        <f t="shared" si="30"/>
        <v>0</v>
      </c>
      <c r="V36" s="69">
        <f t="shared" si="31"/>
        <v>0</v>
      </c>
      <c r="W36" s="69"/>
      <c r="X36" s="242" t="s">
        <v>34</v>
      </c>
      <c r="Y36" s="7"/>
      <c r="Z36" s="7"/>
      <c r="AA36" s="7"/>
      <c r="AB36" s="13"/>
      <c r="AC36" s="13"/>
      <c r="AD36" s="13"/>
    </row>
    <row r="37" ht="14.4">
      <c r="A37" s="205" t="s">
        <v>48</v>
      </c>
      <c r="B37" s="82"/>
      <c r="C37" s="82"/>
      <c r="D37" s="82"/>
      <c r="E37" s="82"/>
      <c r="F37" s="83"/>
      <c r="G37" s="83" t="s">
        <v>4</v>
      </c>
      <c r="H37" s="83"/>
      <c r="I37" s="83" t="s">
        <v>4</v>
      </c>
      <c r="J37" s="66"/>
      <c r="K37" s="66"/>
      <c r="L37" s="82"/>
      <c r="M37" s="82"/>
      <c r="N37" s="243"/>
      <c r="O37" s="243" t="s">
        <v>4</v>
      </c>
      <c r="P37" s="68">
        <f t="shared" si="23"/>
        <v>36</v>
      </c>
      <c r="Q37" s="69">
        <f t="shared" si="29"/>
        <v>104</v>
      </c>
      <c r="R37" s="70" t="str">
        <f t="shared" si="24"/>
        <v>Стрыгин</v>
      </c>
      <c r="S37" s="71" t="s">
        <v>8</v>
      </c>
      <c r="T37" s="72" t="s">
        <v>7</v>
      </c>
      <c r="U37" s="69">
        <f t="shared" si="30"/>
        <v>0</v>
      </c>
      <c r="V37" s="69">
        <f t="shared" si="31"/>
        <v>0</v>
      </c>
      <c r="W37" s="69"/>
      <c r="X37" s="242" t="s">
        <v>49</v>
      </c>
      <c r="Y37" s="7"/>
      <c r="Z37" s="7"/>
      <c r="AA37" s="7"/>
      <c r="AB37" s="13"/>
      <c r="AC37" s="13"/>
      <c r="AD37" s="13"/>
    </row>
    <row r="38" ht="14.4">
      <c r="A38" s="205" t="s">
        <v>50</v>
      </c>
      <c r="B38" s="76"/>
      <c r="C38" s="76" t="s">
        <v>4</v>
      </c>
      <c r="D38" s="76"/>
      <c r="E38" s="76" t="s">
        <v>4</v>
      </c>
      <c r="F38" s="66"/>
      <c r="G38" s="66"/>
      <c r="H38" s="66"/>
      <c r="I38" s="66"/>
      <c r="J38" s="83"/>
      <c r="K38" s="83" t="s">
        <v>4</v>
      </c>
      <c r="L38" s="87"/>
      <c r="M38" s="87"/>
      <c r="N38" s="66"/>
      <c r="O38" s="66"/>
      <c r="P38" s="228">
        <f t="shared" si="23"/>
        <v>36</v>
      </c>
      <c r="Q38" s="229">
        <f t="shared" si="29"/>
        <v>116</v>
      </c>
      <c r="R38" s="230" t="str">
        <f t="shared" si="24"/>
        <v>Фрик</v>
      </c>
      <c r="S38" s="71" t="s">
        <v>12</v>
      </c>
      <c r="T38" s="72" t="s">
        <v>11</v>
      </c>
      <c r="U38" s="244">
        <f t="shared" si="30"/>
        <v>0</v>
      </c>
      <c r="V38" s="229">
        <f t="shared" si="31"/>
        <v>0</v>
      </c>
      <c r="W38" s="229"/>
      <c r="X38" s="74" t="s">
        <v>44</v>
      </c>
      <c r="Y38" s="7"/>
      <c r="Z38" s="7"/>
      <c r="AA38" s="7"/>
      <c r="AB38" s="13"/>
      <c r="AC38" s="13"/>
      <c r="AD38" s="13"/>
    </row>
    <row r="39" ht="14.4">
      <c r="A39" s="206" t="s">
        <v>51</v>
      </c>
      <c r="B39" s="66"/>
      <c r="C39" s="66"/>
      <c r="D39" s="66"/>
      <c r="E39" s="66"/>
      <c r="F39" s="243"/>
      <c r="G39" s="243" t="s">
        <v>4</v>
      </c>
      <c r="H39" s="78"/>
      <c r="I39" s="78" t="s">
        <v>4</v>
      </c>
      <c r="J39" s="66"/>
      <c r="K39" s="66"/>
      <c r="L39" s="67"/>
      <c r="M39" s="67"/>
      <c r="N39" s="243"/>
      <c r="O39" s="243" t="s">
        <v>4</v>
      </c>
      <c r="P39" s="218">
        <f t="shared" si="23"/>
        <v>36</v>
      </c>
      <c r="Q39" s="62">
        <f t="shared" si="29"/>
        <v>96</v>
      </c>
      <c r="R39" s="219" t="str">
        <f t="shared" si="24"/>
        <v>Истрашкин</v>
      </c>
      <c r="S39" s="71" t="s">
        <v>10</v>
      </c>
      <c r="T39" s="72" t="s">
        <v>9</v>
      </c>
      <c r="U39" s="73">
        <f t="shared" si="30"/>
        <v>0</v>
      </c>
      <c r="V39" s="62">
        <f t="shared" si="31"/>
        <v>0</v>
      </c>
      <c r="W39" s="62"/>
      <c r="X39" s="74" t="s">
        <v>34</v>
      </c>
      <c r="Y39" s="7"/>
      <c r="Z39" s="7"/>
      <c r="AA39" s="7"/>
      <c r="AB39" s="13"/>
      <c r="AC39" s="13"/>
      <c r="AD39" s="13"/>
    </row>
    <row r="40" ht="14.4">
      <c r="A40" s="245"/>
      <c r="B40" s="210">
        <v>46300</v>
      </c>
      <c r="C40" s="211"/>
      <c r="D40" s="210">
        <v>46301</v>
      </c>
      <c r="E40" s="211"/>
      <c r="F40" s="210">
        <v>46302</v>
      </c>
      <c r="G40" s="211"/>
      <c r="H40" s="210">
        <v>46303</v>
      </c>
      <c r="I40" s="211"/>
      <c r="J40" s="210">
        <v>46304</v>
      </c>
      <c r="K40" s="211"/>
      <c r="L40" s="210">
        <v>46305</v>
      </c>
      <c r="M40" s="211"/>
      <c r="N40" s="210">
        <v>46306</v>
      </c>
      <c r="O40" s="231"/>
      <c r="P40" s="246"/>
      <c r="Q40" s="247"/>
      <c r="R40" s="245"/>
      <c r="S40" s="178"/>
      <c r="T40" s="178"/>
      <c r="U40" s="100"/>
      <c r="V40" s="100"/>
      <c r="W40" s="100"/>
      <c r="X40" s="7"/>
      <c r="Y40" s="7"/>
      <c r="Z40" s="7"/>
      <c r="AA40" s="7"/>
      <c r="AB40" s="13"/>
      <c r="AC40" s="13"/>
      <c r="AD40" s="13"/>
    </row>
    <row r="41" ht="14.4">
      <c r="A41" s="162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4"/>
      <c r="R41" s="165"/>
      <c r="S41" s="165"/>
      <c r="T41" s="165"/>
      <c r="U41" s="100"/>
      <c r="V41" s="100"/>
      <c r="W41" s="100"/>
      <c r="X41" s="51"/>
      <c r="Y41" s="7"/>
      <c r="Z41" s="7"/>
      <c r="AA41" s="7"/>
      <c r="AB41" s="13"/>
      <c r="AC41" s="13"/>
      <c r="AD41" s="13"/>
    </row>
    <row r="42" ht="14.4">
      <c r="A42" s="143"/>
      <c r="B42" s="43" t="s">
        <v>17</v>
      </c>
      <c r="C42" s="142"/>
      <c r="D42" s="43" t="s">
        <v>18</v>
      </c>
      <c r="E42" s="142"/>
      <c r="F42" s="43" t="s">
        <v>19</v>
      </c>
      <c r="G42" s="43"/>
      <c r="H42" s="43" t="s">
        <v>20</v>
      </c>
      <c r="I42" s="142"/>
      <c r="J42" s="43" t="s">
        <v>21</v>
      </c>
      <c r="K42" s="43"/>
      <c r="L42" s="43" t="s">
        <v>22</v>
      </c>
      <c r="M42" s="43"/>
      <c r="N42" s="43" t="s">
        <v>23</v>
      </c>
      <c r="O42" s="43"/>
      <c r="P42" s="208" t="s">
        <v>24</v>
      </c>
      <c r="Q42" s="209"/>
      <c r="R42" s="143"/>
      <c r="S42" s="143"/>
      <c r="T42" s="143"/>
      <c r="U42" s="62"/>
      <c r="V42" s="62"/>
      <c r="W42" s="62"/>
      <c r="X42" s="63"/>
      <c r="Y42" s="7"/>
      <c r="Z42" s="7"/>
      <c r="AA42" s="7"/>
      <c r="AB42" s="13"/>
      <c r="AC42" s="13"/>
      <c r="AD42" s="13"/>
    </row>
    <row r="43" ht="14.4">
      <c r="A43" s="248"/>
      <c r="B43" s="53">
        <v>46307</v>
      </c>
      <c r="C43" s="53"/>
      <c r="D43" s="53">
        <v>46308</v>
      </c>
      <c r="E43" s="53"/>
      <c r="F43" s="53">
        <v>46309</v>
      </c>
      <c r="G43" s="53"/>
      <c r="H43" s="53">
        <v>46310</v>
      </c>
      <c r="I43" s="53"/>
      <c r="J43" s="53">
        <v>46311</v>
      </c>
      <c r="K43" s="53"/>
      <c r="L43" s="53">
        <v>46312</v>
      </c>
      <c r="M43" s="53"/>
      <c r="N43" s="53">
        <v>46313</v>
      </c>
      <c r="O43" s="212"/>
      <c r="P43" s="213" t="s">
        <v>25</v>
      </c>
      <c r="Q43" s="214" t="s">
        <v>26</v>
      </c>
      <c r="R43" s="249"/>
      <c r="S43" s="147"/>
      <c r="T43" s="147"/>
      <c r="U43" s="60" t="s">
        <v>27</v>
      </c>
      <c r="V43" s="61" t="s">
        <v>28</v>
      </c>
      <c r="W43" s="62" t="s">
        <v>29</v>
      </c>
      <c r="X43" s="63" t="s">
        <v>30</v>
      </c>
      <c r="Y43" s="7"/>
      <c r="Z43" s="7"/>
      <c r="AA43" s="7"/>
      <c r="AB43" s="13"/>
      <c r="AC43" s="13"/>
      <c r="AD43" s="13"/>
    </row>
    <row r="44" ht="14.4">
      <c r="A44" s="217" t="s">
        <v>35</v>
      </c>
      <c r="B44" s="65" t="s">
        <v>32</v>
      </c>
      <c r="C44" s="65" t="s">
        <v>33</v>
      </c>
      <c r="D44" s="65" t="s">
        <v>32</v>
      </c>
      <c r="E44" s="65" t="s">
        <v>33</v>
      </c>
      <c r="F44" s="65" t="s">
        <v>32</v>
      </c>
      <c r="G44" s="65" t="s">
        <v>33</v>
      </c>
      <c r="H44" s="65" t="s">
        <v>32</v>
      </c>
      <c r="I44" s="65" t="s">
        <v>33</v>
      </c>
      <c r="J44" s="65" t="s">
        <v>32</v>
      </c>
      <c r="K44" s="65" t="s">
        <v>33</v>
      </c>
      <c r="L44" s="66"/>
      <c r="M44" s="66"/>
      <c r="N44" s="66"/>
      <c r="O44" s="66"/>
      <c r="P44" s="218">
        <f t="shared" si="23"/>
        <v>40</v>
      </c>
      <c r="Q44" s="62">
        <f t="shared" si="29"/>
        <v>72</v>
      </c>
      <c r="R44" s="219" t="str">
        <f t="shared" si="24"/>
        <v>Рычков</v>
      </c>
      <c r="S44" s="76" t="s">
        <v>10</v>
      </c>
      <c r="T44" s="77" t="s">
        <v>9</v>
      </c>
      <c r="U44" s="73">
        <f t="shared" si="30"/>
        <v>0</v>
      </c>
      <c r="V44" s="62">
        <f t="shared" si="31"/>
        <v>0</v>
      </c>
      <c r="W44" s="62"/>
      <c r="X44" s="74" t="s">
        <v>34</v>
      </c>
      <c r="Y44" s="7"/>
      <c r="Z44" s="7"/>
      <c r="AA44" s="7"/>
      <c r="AB44" s="13"/>
      <c r="AC44" s="13"/>
      <c r="AD44" s="13"/>
    </row>
    <row r="45" ht="14.4">
      <c r="A45" s="203" t="s">
        <v>39</v>
      </c>
      <c r="B45" s="65" t="s">
        <v>32</v>
      </c>
      <c r="C45" s="65" t="s">
        <v>33</v>
      </c>
      <c r="D45" s="65" t="s">
        <v>32</v>
      </c>
      <c r="E45" s="65" t="s">
        <v>33</v>
      </c>
      <c r="F45" s="65" t="s">
        <v>32</v>
      </c>
      <c r="G45" s="65" t="s">
        <v>33</v>
      </c>
      <c r="H45" s="65" t="s">
        <v>32</v>
      </c>
      <c r="I45" s="65" t="s">
        <v>33</v>
      </c>
      <c r="J45" s="65" t="s">
        <v>32</v>
      </c>
      <c r="K45" s="65" t="s">
        <v>33</v>
      </c>
      <c r="L45" s="66"/>
      <c r="M45" s="66"/>
      <c r="N45" s="66"/>
      <c r="O45" s="66"/>
      <c r="P45" s="218">
        <f t="shared" si="23"/>
        <v>40</v>
      </c>
      <c r="Q45" s="221">
        <f t="shared" si="29"/>
        <v>72</v>
      </c>
      <c r="R45" s="222" t="str">
        <f t="shared" si="24"/>
        <v>Игумнов</v>
      </c>
      <c r="S45" s="76" t="s">
        <v>10</v>
      </c>
      <c r="T45" s="77" t="s">
        <v>9</v>
      </c>
      <c r="U45" s="240">
        <f t="shared" si="30"/>
        <v>0</v>
      </c>
      <c r="V45" s="221">
        <f t="shared" si="31"/>
        <v>0</v>
      </c>
      <c r="W45" s="221"/>
      <c r="X45" s="79" t="s">
        <v>34</v>
      </c>
      <c r="Y45" s="7"/>
      <c r="Z45" s="7"/>
      <c r="AA45" s="7"/>
      <c r="AB45" s="13"/>
      <c r="AC45" s="13"/>
      <c r="AD45" s="13"/>
    </row>
    <row r="46" ht="14.4">
      <c r="A46" s="203" t="s">
        <v>40</v>
      </c>
      <c r="B46" s="65" t="s">
        <v>32</v>
      </c>
      <c r="C46" s="65" t="s">
        <v>33</v>
      </c>
      <c r="D46" s="65" t="s">
        <v>32</v>
      </c>
      <c r="E46" s="65" t="s">
        <v>33</v>
      </c>
      <c r="F46" s="65" t="s">
        <v>32</v>
      </c>
      <c r="G46" s="65" t="s">
        <v>33</v>
      </c>
      <c r="H46" s="65" t="s">
        <v>32</v>
      </c>
      <c r="I46" s="65" t="s">
        <v>33</v>
      </c>
      <c r="J46" s="65" t="s">
        <v>32</v>
      </c>
      <c r="K46" s="65" t="s">
        <v>33</v>
      </c>
      <c r="L46" s="66"/>
      <c r="M46" s="66"/>
      <c r="N46" s="66"/>
      <c r="O46" s="66"/>
      <c r="P46" s="68">
        <f t="shared" si="23"/>
        <v>40</v>
      </c>
      <c r="Q46" s="69">
        <f t="shared" si="29"/>
        <v>72</v>
      </c>
      <c r="R46" s="70" t="str">
        <f t="shared" si="24"/>
        <v>Душин</v>
      </c>
      <c r="S46" s="76" t="s">
        <v>10</v>
      </c>
      <c r="T46" s="77" t="s">
        <v>9</v>
      </c>
      <c r="U46" s="69">
        <f t="shared" si="30"/>
        <v>0</v>
      </c>
      <c r="V46" s="69">
        <f t="shared" si="31"/>
        <v>0</v>
      </c>
      <c r="W46" s="69"/>
      <c r="X46" s="242" t="s">
        <v>38</v>
      </c>
      <c r="Y46" s="7"/>
      <c r="Z46" s="7"/>
      <c r="AA46" s="7"/>
      <c r="AB46" s="13"/>
      <c r="AC46" s="13"/>
      <c r="AD46" s="13"/>
    </row>
    <row r="47" ht="14.4">
      <c r="A47" s="203" t="s">
        <v>42</v>
      </c>
      <c r="B47" s="65" t="s">
        <v>54</v>
      </c>
      <c r="C47" s="65" t="s">
        <v>33</v>
      </c>
      <c r="D47" s="65" t="s">
        <v>54</v>
      </c>
      <c r="E47" s="65" t="s">
        <v>33</v>
      </c>
      <c r="F47" s="65" t="s">
        <v>54</v>
      </c>
      <c r="G47" s="65" t="s">
        <v>33</v>
      </c>
      <c r="H47" s="65" t="s">
        <v>54</v>
      </c>
      <c r="I47" s="65" t="s">
        <v>33</v>
      </c>
      <c r="J47" s="65" t="s">
        <v>54</v>
      </c>
      <c r="K47" s="65" t="s">
        <v>33</v>
      </c>
      <c r="L47" s="87"/>
      <c r="M47" s="87"/>
      <c r="N47" s="87"/>
      <c r="O47" s="87"/>
      <c r="P47" s="68">
        <f t="shared" si="23"/>
        <v>40</v>
      </c>
      <c r="Q47" s="69">
        <f t="shared" si="29"/>
        <v>72</v>
      </c>
      <c r="R47" s="70" t="str">
        <f t="shared" si="24"/>
        <v>Юращик</v>
      </c>
      <c r="S47" s="76" t="s">
        <v>10</v>
      </c>
      <c r="T47" s="77" t="s">
        <v>9</v>
      </c>
      <c r="U47" s="69">
        <f t="shared" si="30"/>
        <v>0</v>
      </c>
      <c r="V47" s="69">
        <f t="shared" si="31"/>
        <v>0</v>
      </c>
      <c r="W47" s="69"/>
      <c r="X47" s="242" t="s">
        <v>38</v>
      </c>
      <c r="Y47" s="7"/>
      <c r="Z47" s="7"/>
      <c r="AA47" s="7"/>
      <c r="AB47" s="13"/>
      <c r="AC47" s="13"/>
      <c r="AD47" s="13"/>
    </row>
    <row r="48" ht="14.4">
      <c r="A48" s="202" t="s">
        <v>31</v>
      </c>
      <c r="B48" s="65" t="s">
        <v>32</v>
      </c>
      <c r="C48" s="65" t="s">
        <v>33</v>
      </c>
      <c r="D48" s="65" t="s">
        <v>32</v>
      </c>
      <c r="E48" s="65" t="s">
        <v>33</v>
      </c>
      <c r="F48" s="65" t="s">
        <v>32</v>
      </c>
      <c r="G48" s="65" t="s">
        <v>33</v>
      </c>
      <c r="H48" s="65" t="s">
        <v>32</v>
      </c>
      <c r="I48" s="65" t="s">
        <v>33</v>
      </c>
      <c r="J48" s="65" t="s">
        <v>32</v>
      </c>
      <c r="K48" s="198" t="s">
        <v>33</v>
      </c>
      <c r="L48" s="87"/>
      <c r="M48" s="87"/>
      <c r="N48" s="87"/>
      <c r="O48" s="87"/>
      <c r="P48" s="68">
        <f t="shared" si="23"/>
        <v>40</v>
      </c>
      <c r="Q48" s="69">
        <f t="shared" si="29"/>
        <v>72</v>
      </c>
      <c r="R48" s="70" t="s">
        <v>31</v>
      </c>
      <c r="S48" s="173" t="s">
        <v>10</v>
      </c>
      <c r="T48" s="77" t="s">
        <v>9</v>
      </c>
      <c r="U48" s="69">
        <f t="shared" si="30"/>
        <v>0</v>
      </c>
      <c r="V48" s="69">
        <f t="shared" si="31"/>
        <v>0</v>
      </c>
      <c r="W48" s="69"/>
      <c r="X48" s="242"/>
      <c r="Y48" s="7"/>
      <c r="Z48" s="7"/>
      <c r="AA48" s="7"/>
      <c r="AB48" s="13"/>
      <c r="AC48" s="13"/>
      <c r="AD48" s="13"/>
    </row>
    <row r="49" ht="14.4">
      <c r="A49" s="204" t="s">
        <v>43</v>
      </c>
      <c r="B49" s="66"/>
      <c r="C49" s="66"/>
      <c r="D49" s="77"/>
      <c r="E49" s="77" t="s">
        <v>4</v>
      </c>
      <c r="F49" s="83"/>
      <c r="G49" s="83" t="s">
        <v>4</v>
      </c>
      <c r="H49" s="66"/>
      <c r="I49" s="66"/>
      <c r="J49" s="66"/>
      <c r="K49" s="66"/>
      <c r="L49" s="76"/>
      <c r="M49" s="76" t="s">
        <v>4</v>
      </c>
      <c r="N49" s="76"/>
      <c r="O49" s="76" t="s">
        <v>4</v>
      </c>
      <c r="P49" s="68">
        <f t="shared" si="23"/>
        <v>48</v>
      </c>
      <c r="Q49" s="69">
        <f t="shared" si="29"/>
        <v>68</v>
      </c>
      <c r="R49" s="70" t="s">
        <v>43</v>
      </c>
      <c r="S49" s="71" t="s">
        <v>12</v>
      </c>
      <c r="T49" s="72" t="s">
        <v>11</v>
      </c>
      <c r="U49" s="69">
        <f t="shared" si="30"/>
        <v>0</v>
      </c>
      <c r="V49" s="69">
        <f t="shared" si="31"/>
        <v>0</v>
      </c>
      <c r="W49" s="69"/>
      <c r="X49" s="242" t="s">
        <v>44</v>
      </c>
      <c r="Y49" s="80"/>
      <c r="Z49" s="80"/>
      <c r="AA49" s="80"/>
      <c r="AB49" s="13"/>
      <c r="AC49" s="13"/>
      <c r="AD49" s="13"/>
    </row>
    <row r="50" ht="14.4">
      <c r="A50" s="250" t="s">
        <v>45</v>
      </c>
      <c r="B50" s="83"/>
      <c r="C50" s="83" t="s">
        <v>4</v>
      </c>
      <c r="D50" s="66"/>
      <c r="E50" s="66"/>
      <c r="F50" s="66"/>
      <c r="G50" s="66"/>
      <c r="H50" s="77"/>
      <c r="I50" s="77" t="s">
        <v>4</v>
      </c>
      <c r="J50" s="77"/>
      <c r="K50" s="77" t="s">
        <v>33</v>
      </c>
      <c r="L50" s="251"/>
      <c r="M50" s="77" t="s">
        <v>4</v>
      </c>
      <c r="N50" s="66"/>
      <c r="O50" s="66"/>
      <c r="P50" s="68">
        <f t="shared" si="23"/>
        <v>44</v>
      </c>
      <c r="Q50" s="69">
        <f t="shared" si="29"/>
        <v>72</v>
      </c>
      <c r="R50" s="70" t="str">
        <f t="shared" si="24"/>
        <v>Пузырь</v>
      </c>
      <c r="S50" s="76" t="s">
        <v>10</v>
      </c>
      <c r="T50" s="77" t="s">
        <v>9</v>
      </c>
      <c r="U50" s="69">
        <f t="shared" si="30"/>
        <v>0</v>
      </c>
      <c r="V50" s="69">
        <f t="shared" si="31"/>
        <v>0</v>
      </c>
      <c r="W50" s="69"/>
      <c r="X50" s="242" t="s">
        <v>34</v>
      </c>
      <c r="Y50" s="7"/>
      <c r="Z50" s="7"/>
      <c r="AA50" s="7"/>
      <c r="AB50" s="13"/>
      <c r="AC50" s="13"/>
      <c r="AD50" s="13"/>
    </row>
    <row r="51" ht="14.4">
      <c r="A51" s="250" t="s">
        <v>46</v>
      </c>
      <c r="B51" s="66"/>
      <c r="C51" s="66"/>
      <c r="D51" s="77"/>
      <c r="E51" s="77" t="s">
        <v>4</v>
      </c>
      <c r="F51" s="83"/>
      <c r="G51" s="83" t="s">
        <v>4</v>
      </c>
      <c r="H51" s="66"/>
      <c r="I51" s="66"/>
      <c r="J51" s="66"/>
      <c r="K51" s="66"/>
      <c r="L51" s="76"/>
      <c r="M51" s="76" t="s">
        <v>4</v>
      </c>
      <c r="N51" s="76"/>
      <c r="O51" s="76" t="s">
        <v>4</v>
      </c>
      <c r="P51" s="68">
        <f t="shared" si="23"/>
        <v>48</v>
      </c>
      <c r="Q51" s="69">
        <f t="shared" si="29"/>
        <v>56</v>
      </c>
      <c r="R51" s="70" t="str">
        <f t="shared" si="24"/>
        <v>Голышев</v>
      </c>
      <c r="S51" s="76" t="s">
        <v>10</v>
      </c>
      <c r="T51" s="77" t="s">
        <v>9</v>
      </c>
      <c r="U51" s="69">
        <f t="shared" si="30"/>
        <v>0</v>
      </c>
      <c r="V51" s="69">
        <f t="shared" si="31"/>
        <v>0</v>
      </c>
      <c r="W51" s="69"/>
      <c r="X51" s="242" t="s">
        <v>34</v>
      </c>
      <c r="Y51" s="7"/>
      <c r="Z51" s="7"/>
      <c r="AA51" s="7"/>
      <c r="AB51" s="13"/>
      <c r="AC51" s="13"/>
      <c r="AD51" s="13"/>
    </row>
    <row r="52" ht="14.4">
      <c r="A52" s="250" t="s">
        <v>47</v>
      </c>
      <c r="B52" s="87"/>
      <c r="C52" s="87"/>
      <c r="D52" s="225"/>
      <c r="E52" s="76">
        <v>8</v>
      </c>
      <c r="F52" s="225"/>
      <c r="G52" s="225">
        <v>12</v>
      </c>
      <c r="H52" s="225"/>
      <c r="I52" s="225">
        <v>12</v>
      </c>
      <c r="J52" s="87"/>
      <c r="K52" s="87"/>
      <c r="L52" s="87"/>
      <c r="M52" s="87"/>
      <c r="N52" s="131"/>
      <c r="O52" s="131">
        <v>12</v>
      </c>
      <c r="P52" s="68">
        <f t="shared" si="23"/>
        <v>44</v>
      </c>
      <c r="Q52" s="69">
        <f t="shared" si="29"/>
        <v>60</v>
      </c>
      <c r="R52" s="70" t="str">
        <f t="shared" si="24"/>
        <v>Торубара</v>
      </c>
      <c r="S52" s="76" t="s">
        <v>10</v>
      </c>
      <c r="T52" s="77" t="s">
        <v>9</v>
      </c>
      <c r="U52" s="69">
        <f t="shared" si="30"/>
        <v>0</v>
      </c>
      <c r="V52" s="69">
        <f t="shared" si="31"/>
        <v>0</v>
      </c>
      <c r="W52" s="69"/>
      <c r="X52" s="242" t="s">
        <v>34</v>
      </c>
      <c r="Y52" s="7"/>
      <c r="Z52" s="7"/>
      <c r="AA52" s="7"/>
      <c r="AB52" s="13"/>
      <c r="AC52" s="13"/>
      <c r="AD52" s="13"/>
    </row>
    <row r="53" ht="14.4">
      <c r="A53" s="250" t="s">
        <v>48</v>
      </c>
      <c r="B53" s="243"/>
      <c r="C53" s="243" t="s">
        <v>4</v>
      </c>
      <c r="D53" s="82"/>
      <c r="E53" s="82"/>
      <c r="F53" s="66"/>
      <c r="G53" s="66"/>
      <c r="H53" s="243"/>
      <c r="I53" s="243" t="s">
        <v>4</v>
      </c>
      <c r="J53" s="243"/>
      <c r="K53" s="243" t="s">
        <v>4</v>
      </c>
      <c r="L53" s="82"/>
      <c r="M53" s="82"/>
      <c r="N53" s="82"/>
      <c r="O53" s="82"/>
      <c r="P53" s="68">
        <f t="shared" si="23"/>
        <v>36</v>
      </c>
      <c r="Q53" s="69">
        <f t="shared" si="29"/>
        <v>68</v>
      </c>
      <c r="R53" s="70" t="str">
        <f t="shared" si="24"/>
        <v>Стрыгин</v>
      </c>
      <c r="S53" s="71" t="s">
        <v>8</v>
      </c>
      <c r="T53" s="72" t="s">
        <v>7</v>
      </c>
      <c r="U53" s="69">
        <f t="shared" si="30"/>
        <v>0</v>
      </c>
      <c r="V53" s="69">
        <f t="shared" si="31"/>
        <v>0</v>
      </c>
      <c r="W53" s="69"/>
      <c r="X53" s="242" t="s">
        <v>49</v>
      </c>
      <c r="Y53" s="7"/>
      <c r="Z53" s="7"/>
      <c r="AA53" s="7"/>
      <c r="AB53" s="13"/>
      <c r="AC53" s="13"/>
      <c r="AD53" s="13"/>
    </row>
    <row r="54" ht="14.4">
      <c r="A54" s="250" t="s">
        <v>50</v>
      </c>
      <c r="B54" s="66"/>
      <c r="C54" s="66"/>
      <c r="D54" s="76"/>
      <c r="E54" s="76" t="s">
        <v>4</v>
      </c>
      <c r="F54" s="76"/>
      <c r="G54" s="76" t="s">
        <v>4</v>
      </c>
      <c r="H54" s="66"/>
      <c r="I54" s="66"/>
      <c r="J54" s="66"/>
      <c r="K54" s="66"/>
      <c r="L54" s="83"/>
      <c r="M54" s="83" t="s">
        <v>4</v>
      </c>
      <c r="N54" s="83"/>
      <c r="O54" s="83" t="s">
        <v>4</v>
      </c>
      <c r="P54" s="68">
        <f t="shared" si="23"/>
        <v>48</v>
      </c>
      <c r="Q54" s="69">
        <f t="shared" si="29"/>
        <v>68</v>
      </c>
      <c r="R54" s="70" t="str">
        <f t="shared" si="24"/>
        <v>Фрик</v>
      </c>
      <c r="S54" s="71" t="s">
        <v>12</v>
      </c>
      <c r="T54" s="72" t="s">
        <v>11</v>
      </c>
      <c r="U54" s="69">
        <f t="shared" si="30"/>
        <v>0</v>
      </c>
      <c r="V54" s="69">
        <f t="shared" si="31"/>
        <v>0</v>
      </c>
      <c r="W54" s="69"/>
      <c r="X54" s="242" t="s">
        <v>44</v>
      </c>
      <c r="Y54" s="7"/>
      <c r="Z54" s="7"/>
      <c r="AA54" s="7"/>
      <c r="AB54" s="13"/>
      <c r="AC54" s="13"/>
      <c r="AD54" s="13"/>
    </row>
    <row r="55" ht="14.4">
      <c r="A55" s="252" t="s">
        <v>51</v>
      </c>
      <c r="B55" s="76"/>
      <c r="C55" s="78" t="s">
        <v>4</v>
      </c>
      <c r="D55" s="67"/>
      <c r="E55" s="66"/>
      <c r="F55" s="67"/>
      <c r="G55" s="67"/>
      <c r="H55" s="83"/>
      <c r="I55" s="83" t="s">
        <v>33</v>
      </c>
      <c r="J55" s="83"/>
      <c r="K55" s="83" t="s">
        <v>4</v>
      </c>
      <c r="L55" s="66"/>
      <c r="M55" s="66"/>
      <c r="N55" s="67"/>
      <c r="O55" s="67"/>
      <c r="P55" s="228">
        <f t="shared" si="23"/>
        <v>32</v>
      </c>
      <c r="Q55" s="229">
        <f t="shared" si="29"/>
        <v>64</v>
      </c>
      <c r="R55" s="230" t="str">
        <f t="shared" si="24"/>
        <v>Истрашкин</v>
      </c>
      <c r="S55" s="71" t="s">
        <v>10</v>
      </c>
      <c r="T55" s="72" t="s">
        <v>9</v>
      </c>
      <c r="U55" s="244">
        <f t="shared" si="30"/>
        <v>0</v>
      </c>
      <c r="V55" s="229">
        <f t="shared" si="31"/>
        <v>0</v>
      </c>
      <c r="W55" s="229"/>
      <c r="X55" s="74" t="s">
        <v>34</v>
      </c>
      <c r="Y55" s="7"/>
      <c r="Z55" s="7"/>
      <c r="AA55" s="7"/>
      <c r="AB55" s="13"/>
      <c r="AC55" s="13"/>
      <c r="AD55" s="13"/>
    </row>
    <row r="56" ht="14.4">
      <c r="A56" s="207"/>
      <c r="B56" s="53">
        <v>46307</v>
      </c>
      <c r="C56" s="53"/>
      <c r="D56" s="53">
        <v>46308</v>
      </c>
      <c r="E56" s="53"/>
      <c r="F56" s="53">
        <v>46309</v>
      </c>
      <c r="G56" s="53"/>
      <c r="H56" s="53">
        <v>46310</v>
      </c>
      <c r="I56" s="53"/>
      <c r="J56" s="53">
        <v>46311</v>
      </c>
      <c r="K56" s="53"/>
      <c r="L56" s="53">
        <v>46312</v>
      </c>
      <c r="M56" s="53"/>
      <c r="N56" s="53">
        <v>46313</v>
      </c>
      <c r="O56" s="212"/>
      <c r="P56" s="253"/>
      <c r="Q56" s="254"/>
      <c r="R56" s="207"/>
      <c r="S56" s="138"/>
      <c r="T56" s="138"/>
      <c r="U56" s="60" t="s">
        <v>27</v>
      </c>
      <c r="V56" s="61" t="s">
        <v>28</v>
      </c>
      <c r="W56" s="62" t="s">
        <v>29</v>
      </c>
      <c r="X56" s="7"/>
      <c r="Y56" s="7"/>
      <c r="Z56" s="7"/>
      <c r="AA56" s="7"/>
      <c r="AB56" s="13"/>
      <c r="AC56" s="13"/>
      <c r="AD56" s="13"/>
    </row>
    <row r="57" ht="14.4">
      <c r="A57" s="165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65"/>
      <c r="Q57" s="165"/>
      <c r="R57" s="193"/>
      <c r="S57" s="127"/>
      <c r="T57" s="127"/>
      <c r="U57" s="127"/>
      <c r="V57" s="127"/>
      <c r="W57" s="128"/>
      <c r="X57" s="7"/>
      <c r="Y57" s="7"/>
      <c r="Z57" s="7"/>
      <c r="AA57" s="7"/>
      <c r="AB57" s="13"/>
      <c r="AC57" s="13"/>
      <c r="AD57" s="13"/>
    </row>
    <row r="58" ht="14.4">
      <c r="A58" s="143"/>
      <c r="B58" s="43" t="s">
        <v>17</v>
      </c>
      <c r="C58" s="142"/>
      <c r="D58" s="43" t="s">
        <v>18</v>
      </c>
      <c r="E58" s="142"/>
      <c r="F58" s="43" t="s">
        <v>19</v>
      </c>
      <c r="G58" s="43"/>
      <c r="H58" s="43" t="s">
        <v>20</v>
      </c>
      <c r="I58" s="142"/>
      <c r="J58" s="45" t="s">
        <v>21</v>
      </c>
      <c r="K58" s="45"/>
      <c r="L58" s="43" t="s">
        <v>22</v>
      </c>
      <c r="M58" s="43"/>
      <c r="N58" s="43" t="s">
        <v>23</v>
      </c>
      <c r="O58" s="43"/>
      <c r="P58" s="208" t="s">
        <v>24</v>
      </c>
      <c r="Q58" s="209"/>
      <c r="R58" s="143"/>
      <c r="S58" s="143"/>
      <c r="T58" s="143"/>
      <c r="U58" s="62"/>
      <c r="V58" s="62"/>
      <c r="W58" s="62"/>
      <c r="X58" s="51"/>
      <c r="Y58" s="7"/>
      <c r="Z58" s="7"/>
      <c r="AA58" s="7"/>
      <c r="AB58" s="13"/>
      <c r="AC58" s="13"/>
      <c r="AD58" s="13"/>
    </row>
    <row r="59" ht="14.4">
      <c r="A59" s="248"/>
      <c r="B59" s="53">
        <v>46314</v>
      </c>
      <c r="C59" s="53"/>
      <c r="D59" s="53">
        <v>46315</v>
      </c>
      <c r="E59" s="53"/>
      <c r="F59" s="53">
        <v>46316</v>
      </c>
      <c r="G59" s="53"/>
      <c r="H59" s="53">
        <v>46317</v>
      </c>
      <c r="I59" s="53"/>
      <c r="J59" s="53">
        <v>46318</v>
      </c>
      <c r="K59" s="53"/>
      <c r="L59" s="53">
        <v>46319</v>
      </c>
      <c r="M59" s="53"/>
      <c r="N59" s="53">
        <v>46320</v>
      </c>
      <c r="O59" s="212"/>
      <c r="P59" s="213" t="s">
        <v>25</v>
      </c>
      <c r="Q59" s="214" t="s">
        <v>26</v>
      </c>
      <c r="R59" s="249"/>
      <c r="S59" s="147"/>
      <c r="T59" s="147"/>
      <c r="U59" s="60" t="s">
        <v>27</v>
      </c>
      <c r="V59" s="61" t="s">
        <v>28</v>
      </c>
      <c r="W59" s="62" t="s">
        <v>29</v>
      </c>
      <c r="X59" s="63" t="s">
        <v>30</v>
      </c>
      <c r="Y59" s="7"/>
      <c r="Z59" s="7"/>
      <c r="AA59" s="7"/>
      <c r="AB59" s="13"/>
      <c r="AC59" s="13"/>
      <c r="AD59" s="13"/>
    </row>
    <row r="60" ht="14.4">
      <c r="A60" s="203" t="s">
        <v>35</v>
      </c>
      <c r="B60" s="65" t="s">
        <v>32</v>
      </c>
      <c r="C60" s="65" t="s">
        <v>33</v>
      </c>
      <c r="D60" s="65" t="s">
        <v>32</v>
      </c>
      <c r="E60" s="65" t="s">
        <v>33</v>
      </c>
      <c r="F60" s="65" t="s">
        <v>32</v>
      </c>
      <c r="G60" s="65" t="s">
        <v>33</v>
      </c>
      <c r="H60" s="65" t="s">
        <v>32</v>
      </c>
      <c r="I60" s="65" t="s">
        <v>33</v>
      </c>
      <c r="J60" s="65" t="s">
        <v>32</v>
      </c>
      <c r="K60" s="65" t="s">
        <v>33</v>
      </c>
      <c r="L60" s="66"/>
      <c r="M60" s="66"/>
      <c r="N60" s="66"/>
      <c r="O60" s="66"/>
      <c r="P60" s="218">
        <f t="shared" si="23"/>
        <v>40</v>
      </c>
      <c r="Q60" s="62">
        <f t="shared" si="29"/>
        <v>32</v>
      </c>
      <c r="R60" s="219" t="str">
        <f t="shared" si="24"/>
        <v>Рычков</v>
      </c>
      <c r="S60" s="76" t="s">
        <v>10</v>
      </c>
      <c r="T60" s="77" t="s">
        <v>9</v>
      </c>
      <c r="U60" s="73">
        <f t="shared" si="30"/>
        <v>0</v>
      </c>
      <c r="V60" s="62">
        <f t="shared" si="31"/>
        <v>0</v>
      </c>
      <c r="W60" s="62"/>
      <c r="X60" s="74" t="s">
        <v>34</v>
      </c>
      <c r="Y60" s="7"/>
      <c r="Z60" s="7"/>
      <c r="AA60" s="7"/>
      <c r="AB60" s="13"/>
      <c r="AC60" s="13"/>
      <c r="AD60" s="13"/>
    </row>
    <row r="61" ht="14.4">
      <c r="A61" s="203" t="s">
        <v>39</v>
      </c>
      <c r="B61" s="122"/>
      <c r="C61" s="122" t="s">
        <v>33</v>
      </c>
      <c r="D61" s="122"/>
      <c r="E61" s="122" t="s">
        <v>33</v>
      </c>
      <c r="F61" s="122"/>
      <c r="G61" s="122" t="s">
        <v>33</v>
      </c>
      <c r="H61" s="122"/>
      <c r="I61" s="122" t="s">
        <v>33</v>
      </c>
      <c r="J61" s="122"/>
      <c r="K61" s="122" t="s">
        <v>33</v>
      </c>
      <c r="L61" s="122"/>
      <c r="M61" s="122"/>
      <c r="N61" s="122"/>
      <c r="O61" s="122"/>
      <c r="P61" s="220">
        <f t="shared" si="23"/>
        <v>40</v>
      </c>
      <c r="Q61" s="221">
        <f t="shared" si="29"/>
        <v>32</v>
      </c>
      <c r="R61" s="222" t="str">
        <f t="shared" si="24"/>
        <v>Игумнов</v>
      </c>
      <c r="S61" s="76" t="s">
        <v>10</v>
      </c>
      <c r="T61" s="77" t="s">
        <v>9</v>
      </c>
      <c r="U61" s="240">
        <f t="shared" si="30"/>
        <v>0</v>
      </c>
      <c r="V61" s="221">
        <f t="shared" si="31"/>
        <v>0</v>
      </c>
      <c r="W61" s="221"/>
      <c r="X61" s="79" t="s">
        <v>34</v>
      </c>
      <c r="Y61" s="7"/>
      <c r="Z61" s="7"/>
      <c r="AA61" s="7"/>
      <c r="AB61" s="13"/>
      <c r="AC61" s="13"/>
      <c r="AD61" s="13"/>
    </row>
    <row r="62" ht="14.4">
      <c r="A62" s="203" t="s">
        <v>40</v>
      </c>
      <c r="B62" s="255" t="s">
        <v>32</v>
      </c>
      <c r="C62" s="255" t="s">
        <v>33</v>
      </c>
      <c r="D62" s="255" t="s">
        <v>32</v>
      </c>
      <c r="E62" s="255" t="s">
        <v>33</v>
      </c>
      <c r="F62" s="255" t="s">
        <v>32</v>
      </c>
      <c r="G62" s="255" t="s">
        <v>33</v>
      </c>
      <c r="H62" s="255" t="s">
        <v>32</v>
      </c>
      <c r="I62" s="255" t="s">
        <v>33</v>
      </c>
      <c r="J62" s="255" t="s">
        <v>32</v>
      </c>
      <c r="K62" s="255" t="s">
        <v>33</v>
      </c>
      <c r="L62" s="256"/>
      <c r="M62" s="256"/>
      <c r="N62" s="256"/>
      <c r="O62" s="256"/>
      <c r="P62" s="68">
        <f t="shared" si="23"/>
        <v>40</v>
      </c>
      <c r="Q62" s="69">
        <f t="shared" si="29"/>
        <v>32</v>
      </c>
      <c r="R62" s="70" t="str">
        <f t="shared" si="24"/>
        <v>Душин</v>
      </c>
      <c r="S62" s="76" t="s">
        <v>10</v>
      </c>
      <c r="T62" s="77" t="s">
        <v>9</v>
      </c>
      <c r="U62" s="69">
        <f t="shared" si="30"/>
        <v>0</v>
      </c>
      <c r="V62" s="69">
        <f>COUNTIF(U62,C62)+COUNTIF(U62,E62)+COUNTIF(U62,G62)+COUNTIF(U62,I62)+COUNTIF(U62,K62)+COUNTIF(U62,M62)+COUNTIF(U62,O62)</f>
        <v>2</v>
      </c>
      <c r="W62" s="69"/>
      <c r="X62" s="242" t="s">
        <v>38</v>
      </c>
      <c r="Y62" s="7"/>
      <c r="Z62" s="7"/>
      <c r="AA62" s="7"/>
      <c r="AB62" s="13"/>
      <c r="AC62" s="13"/>
      <c r="AD62" s="13"/>
    </row>
    <row r="63" ht="14.4">
      <c r="A63" s="203" t="s">
        <v>42</v>
      </c>
      <c r="B63" s="120"/>
      <c r="C63" s="120" t="s">
        <v>33</v>
      </c>
      <c r="D63" s="120"/>
      <c r="E63" s="120" t="s">
        <v>33</v>
      </c>
      <c r="F63" s="120"/>
      <c r="G63" s="120" t="s">
        <v>33</v>
      </c>
      <c r="H63" s="120"/>
      <c r="I63" s="120" t="s">
        <v>33</v>
      </c>
      <c r="J63" s="120"/>
      <c r="K63" s="120" t="s">
        <v>33</v>
      </c>
      <c r="L63" s="120"/>
      <c r="M63" s="120"/>
      <c r="N63" s="120"/>
      <c r="O63" s="120"/>
      <c r="P63" s="68">
        <f t="shared" si="23"/>
        <v>40</v>
      </c>
      <c r="Q63" s="69">
        <f t="shared" si="29"/>
        <v>32</v>
      </c>
      <c r="R63" s="70" t="str">
        <f t="shared" si="24"/>
        <v>Юращик</v>
      </c>
      <c r="S63" s="76" t="s">
        <v>10</v>
      </c>
      <c r="T63" s="77" t="s">
        <v>9</v>
      </c>
      <c r="U63" s="69"/>
      <c r="V63" s="69"/>
      <c r="W63" s="69"/>
      <c r="X63" s="242" t="s">
        <v>38</v>
      </c>
      <c r="Y63" s="7"/>
      <c r="Z63" s="7"/>
      <c r="AA63" s="7"/>
      <c r="AB63" s="13"/>
      <c r="AC63" s="13"/>
      <c r="AD63" s="13"/>
    </row>
    <row r="64" ht="14.4">
      <c r="A64" s="202" t="s">
        <v>31</v>
      </c>
      <c r="B64" s="65" t="s">
        <v>32</v>
      </c>
      <c r="C64" s="198" t="s">
        <v>33</v>
      </c>
      <c r="D64" s="65" t="s">
        <v>32</v>
      </c>
      <c r="E64" s="198" t="s">
        <v>33</v>
      </c>
      <c r="F64" s="65" t="s">
        <v>32</v>
      </c>
      <c r="G64" s="198" t="s">
        <v>33</v>
      </c>
      <c r="H64" s="65" t="s">
        <v>32</v>
      </c>
      <c r="I64" s="198" t="s">
        <v>33</v>
      </c>
      <c r="J64" s="65" t="s">
        <v>32</v>
      </c>
      <c r="K64" s="198" t="s">
        <v>33</v>
      </c>
      <c r="L64" s="87"/>
      <c r="M64" s="87"/>
      <c r="N64" s="87"/>
      <c r="O64" s="87"/>
      <c r="P64" s="68">
        <f t="shared" si="23"/>
        <v>40</v>
      </c>
      <c r="Q64" s="69">
        <f t="shared" si="29"/>
        <v>32</v>
      </c>
      <c r="R64" s="70" t="s">
        <v>31</v>
      </c>
      <c r="S64" s="173" t="s">
        <v>10</v>
      </c>
      <c r="T64" s="77" t="s">
        <v>9</v>
      </c>
      <c r="U64" s="69"/>
      <c r="V64" s="69"/>
      <c r="W64" s="69"/>
      <c r="X64" s="242"/>
      <c r="Y64" s="7"/>
      <c r="Z64" s="7"/>
      <c r="AA64" s="7"/>
      <c r="AB64" s="13"/>
      <c r="AC64" s="13"/>
      <c r="AD64" s="13"/>
    </row>
    <row r="65" ht="14.4">
      <c r="A65" s="204" t="s">
        <v>43</v>
      </c>
      <c r="B65" s="67"/>
      <c r="C65" s="67"/>
      <c r="D65" s="67"/>
      <c r="E65" s="67"/>
      <c r="F65" s="77"/>
      <c r="G65" s="77" t="s">
        <v>55</v>
      </c>
      <c r="H65" s="83"/>
      <c r="I65" s="83" t="s">
        <v>56</v>
      </c>
      <c r="J65" s="112"/>
      <c r="K65" s="83" t="s">
        <v>4</v>
      </c>
      <c r="L65" s="67"/>
      <c r="M65" s="67"/>
      <c r="N65" s="76"/>
      <c r="O65" s="76" t="s">
        <v>4</v>
      </c>
      <c r="P65" s="68">
        <f t="shared" si="23"/>
        <v>40</v>
      </c>
      <c r="Q65" s="69">
        <f t="shared" si="29"/>
        <v>28</v>
      </c>
      <c r="R65" s="70" t="s">
        <v>43</v>
      </c>
      <c r="S65" s="71" t="s">
        <v>12</v>
      </c>
      <c r="T65" s="72" t="s">
        <v>11</v>
      </c>
      <c r="U65" s="69">
        <f t="shared" si="30"/>
        <v>0</v>
      </c>
      <c r="V65" s="69">
        <f t="shared" ref="V65:V87" si="32">COUNTIF(S65,B65)+COUNTIF(S65,D65)+COUNTIF(S65,F65)+COUNTIF(S65,H65)+COUNTIF(S65,J65)+COUNTIF(S65,L65)+COUNTIF(S65,N65)</f>
        <v>0</v>
      </c>
      <c r="W65" s="69"/>
      <c r="X65" s="242" t="s">
        <v>44</v>
      </c>
      <c r="Y65" s="80"/>
      <c r="Z65" s="80"/>
      <c r="AA65" s="80"/>
      <c r="AB65" s="13"/>
      <c r="AC65" s="13"/>
      <c r="AD65" s="13"/>
    </row>
    <row r="66" ht="14.4">
      <c r="A66" s="205" t="s">
        <v>45</v>
      </c>
      <c r="B66" s="78"/>
      <c r="C66" s="78" t="s">
        <v>4</v>
      </c>
      <c r="D66" s="78"/>
      <c r="E66" s="78" t="s">
        <v>4</v>
      </c>
      <c r="F66" s="82"/>
      <c r="G66" s="82"/>
      <c r="H66" s="82"/>
      <c r="I66" s="82"/>
      <c r="J66" s="77"/>
      <c r="K66" s="83" t="s">
        <v>4</v>
      </c>
      <c r="L66" s="77"/>
      <c r="M66" s="83" t="s">
        <v>4</v>
      </c>
      <c r="N66" s="251"/>
      <c r="O66" s="77" t="s">
        <v>33</v>
      </c>
      <c r="P66" s="68">
        <f t="shared" si="23"/>
        <v>56</v>
      </c>
      <c r="Q66" s="69">
        <f t="shared" si="29"/>
        <v>16</v>
      </c>
      <c r="R66" s="70" t="str">
        <f t="shared" si="24"/>
        <v>Пузырь</v>
      </c>
      <c r="S66" s="76" t="s">
        <v>10</v>
      </c>
      <c r="T66" s="77" t="s">
        <v>9</v>
      </c>
      <c r="U66" s="69">
        <f t="shared" si="30"/>
        <v>0</v>
      </c>
      <c r="V66" s="69">
        <f t="shared" si="32"/>
        <v>0</v>
      </c>
      <c r="W66" s="69"/>
      <c r="X66" s="242" t="s">
        <v>34</v>
      </c>
      <c r="Y66" s="7"/>
      <c r="Z66" s="7"/>
      <c r="AA66" s="7"/>
      <c r="AB66" s="13"/>
      <c r="AC66" s="13"/>
      <c r="AD66" s="13"/>
    </row>
    <row r="67" ht="14.4">
      <c r="A67" s="205" t="s">
        <v>46</v>
      </c>
      <c r="B67" s="67"/>
      <c r="C67" s="67"/>
      <c r="D67" s="67"/>
      <c r="E67" s="67"/>
      <c r="F67" s="77"/>
      <c r="G67" s="77" t="s">
        <v>4</v>
      </c>
      <c r="H67" s="83"/>
      <c r="I67" s="83" t="s">
        <v>57</v>
      </c>
      <c r="J67" s="66"/>
      <c r="K67" s="66"/>
      <c r="L67" s="67"/>
      <c r="M67" s="67"/>
      <c r="N67" s="76"/>
      <c r="O67" s="76" t="s">
        <v>4</v>
      </c>
      <c r="P67" s="68">
        <f t="shared" si="23"/>
        <v>28</v>
      </c>
      <c r="Q67" s="69">
        <f t="shared" si="29"/>
        <v>28</v>
      </c>
      <c r="R67" s="70" t="str">
        <f t="shared" si="24"/>
        <v>Голышев</v>
      </c>
      <c r="S67" s="76" t="s">
        <v>10</v>
      </c>
      <c r="T67" s="77" t="s">
        <v>9</v>
      </c>
      <c r="U67" s="69">
        <f t="shared" si="30"/>
        <v>0</v>
      </c>
      <c r="V67" s="69">
        <f t="shared" si="32"/>
        <v>0</v>
      </c>
      <c r="W67" s="69"/>
      <c r="X67" s="242" t="s">
        <v>34</v>
      </c>
      <c r="Y67" s="7"/>
      <c r="Z67" s="7"/>
      <c r="AA67" s="7"/>
      <c r="AB67" s="13"/>
      <c r="AC67" s="13"/>
      <c r="AD67" s="13"/>
    </row>
    <row r="68" ht="14.4">
      <c r="A68" s="205" t="s">
        <v>47</v>
      </c>
      <c r="B68" s="110"/>
      <c r="C68" s="110" t="s">
        <v>4</v>
      </c>
      <c r="D68" s="150"/>
      <c r="E68" s="150"/>
      <c r="F68" s="109"/>
      <c r="G68" s="109"/>
      <c r="H68" s="257"/>
      <c r="I68" s="107" t="s">
        <v>33</v>
      </c>
      <c r="J68" s="257"/>
      <c r="K68" s="107" t="s">
        <v>4</v>
      </c>
      <c r="L68" s="107"/>
      <c r="M68" s="107" t="s">
        <v>4</v>
      </c>
      <c r="N68" s="109"/>
      <c r="O68" s="109"/>
      <c r="P68" s="68">
        <f t="shared" si="23"/>
        <v>44</v>
      </c>
      <c r="Q68" s="69">
        <f t="shared" si="29"/>
        <v>16</v>
      </c>
      <c r="R68" s="70" t="str">
        <f t="shared" si="24"/>
        <v>Торубара</v>
      </c>
      <c r="S68" s="76" t="s">
        <v>10</v>
      </c>
      <c r="T68" s="77" t="s">
        <v>9</v>
      </c>
      <c r="U68" s="69">
        <f t="shared" si="30"/>
        <v>0</v>
      </c>
      <c r="V68" s="69">
        <f t="shared" si="32"/>
        <v>0</v>
      </c>
      <c r="W68" s="69"/>
      <c r="X68" s="242" t="s">
        <v>34</v>
      </c>
      <c r="Y68" s="7"/>
      <c r="Z68" s="7"/>
      <c r="AA68" s="7"/>
      <c r="AB68" s="13"/>
      <c r="AC68" s="13"/>
      <c r="AD68" s="13"/>
    </row>
    <row r="69" ht="14.4">
      <c r="A69" s="205" t="s">
        <v>48</v>
      </c>
      <c r="B69" s="83"/>
      <c r="C69" s="83" t="s">
        <v>4</v>
      </c>
      <c r="D69" s="156"/>
      <c r="E69" s="156" t="s">
        <v>4</v>
      </c>
      <c r="F69" s="87"/>
      <c r="G69" s="87"/>
      <c r="H69" s="66"/>
      <c r="I69" s="66"/>
      <c r="J69" s="243"/>
      <c r="K69" s="243" t="s">
        <v>4</v>
      </c>
      <c r="L69" s="78"/>
      <c r="M69" s="78" t="s">
        <v>4</v>
      </c>
      <c r="N69" s="66"/>
      <c r="O69" s="66"/>
      <c r="P69" s="68">
        <f t="shared" si="23"/>
        <v>48</v>
      </c>
      <c r="Q69" s="69">
        <f t="shared" si="29"/>
        <v>20</v>
      </c>
      <c r="R69" s="70" t="str">
        <f t="shared" si="24"/>
        <v>Стрыгин</v>
      </c>
      <c r="S69" s="71" t="s">
        <v>8</v>
      </c>
      <c r="T69" s="72" t="s">
        <v>7</v>
      </c>
      <c r="U69" s="69">
        <f t="shared" si="30"/>
        <v>0</v>
      </c>
      <c r="V69" s="69">
        <f t="shared" si="32"/>
        <v>0</v>
      </c>
      <c r="W69" s="69"/>
      <c r="X69" s="242" t="s">
        <v>49</v>
      </c>
      <c r="Y69" s="7"/>
      <c r="Z69" s="7"/>
      <c r="AA69" s="7"/>
      <c r="AB69" s="13"/>
      <c r="AC69" s="13"/>
      <c r="AD69" s="13"/>
    </row>
    <row r="70" ht="14.4">
      <c r="A70" s="205" t="s">
        <v>50</v>
      </c>
      <c r="B70" s="109"/>
      <c r="C70" s="109"/>
      <c r="D70" s="108"/>
      <c r="E70" s="108"/>
      <c r="F70" s="257"/>
      <c r="G70" s="257" t="s">
        <v>4</v>
      </c>
      <c r="H70" s="257"/>
      <c r="I70" s="257" t="s">
        <v>4</v>
      </c>
      <c r="J70" s="109"/>
      <c r="K70" s="109"/>
      <c r="L70" s="109"/>
      <c r="M70" s="109"/>
      <c r="N70" s="110"/>
      <c r="O70" s="110" t="s">
        <v>4</v>
      </c>
      <c r="P70" s="68">
        <f t="shared" si="23"/>
        <v>36</v>
      </c>
      <c r="Q70" s="69">
        <f t="shared" si="29"/>
        <v>32</v>
      </c>
      <c r="R70" s="70" t="str">
        <f t="shared" si="24"/>
        <v>Фрик</v>
      </c>
      <c r="S70" s="71" t="s">
        <v>12</v>
      </c>
      <c r="T70" s="72" t="s">
        <v>11</v>
      </c>
      <c r="U70" s="69">
        <f t="shared" si="30"/>
        <v>0</v>
      </c>
      <c r="V70" s="69">
        <f t="shared" si="32"/>
        <v>0</v>
      </c>
      <c r="W70" s="69"/>
      <c r="X70" s="242" t="s">
        <v>44</v>
      </c>
      <c r="Y70" s="7"/>
      <c r="Z70" s="7"/>
      <c r="AA70" s="7"/>
      <c r="AB70" s="13"/>
      <c r="AC70" s="13"/>
      <c r="AD70" s="13"/>
    </row>
    <row r="71" ht="14.4">
      <c r="A71" s="206" t="s">
        <v>51</v>
      </c>
      <c r="B71" s="78"/>
      <c r="C71" s="78" t="s">
        <v>4</v>
      </c>
      <c r="D71" s="76"/>
      <c r="E71" s="78" t="s">
        <v>4</v>
      </c>
      <c r="F71" s="67"/>
      <c r="G71" s="66"/>
      <c r="H71" s="82"/>
      <c r="I71" s="82"/>
      <c r="J71" s="83"/>
      <c r="K71" s="83" t="s">
        <v>4</v>
      </c>
      <c r="L71" s="83"/>
      <c r="M71" s="83" t="s">
        <v>4</v>
      </c>
      <c r="N71" s="66"/>
      <c r="O71" s="66"/>
      <c r="P71" s="228">
        <f t="shared" si="23"/>
        <v>48</v>
      </c>
      <c r="Q71" s="229">
        <f t="shared" si="29"/>
        <v>16</v>
      </c>
      <c r="R71" s="230" t="str">
        <f t="shared" si="24"/>
        <v>Истрашкин</v>
      </c>
      <c r="S71" s="71" t="s">
        <v>10</v>
      </c>
      <c r="T71" s="72" t="s">
        <v>9</v>
      </c>
      <c r="U71" s="244">
        <f t="shared" si="30"/>
        <v>0</v>
      </c>
      <c r="V71" s="229">
        <f t="shared" si="32"/>
        <v>0</v>
      </c>
      <c r="W71" s="229"/>
      <c r="X71" s="74" t="s">
        <v>34</v>
      </c>
      <c r="Y71" s="7"/>
      <c r="Z71" s="7"/>
      <c r="AA71" s="7"/>
      <c r="AB71" s="13"/>
      <c r="AC71" s="13"/>
      <c r="AD71" s="13"/>
    </row>
    <row r="72" ht="14.4">
      <c r="A72" s="207"/>
      <c r="B72" s="53">
        <v>46314</v>
      </c>
      <c r="C72" s="53"/>
      <c r="D72" s="53">
        <v>46315</v>
      </c>
      <c r="E72" s="53"/>
      <c r="F72" s="53">
        <v>46316</v>
      </c>
      <c r="G72" s="53"/>
      <c r="H72" s="53">
        <v>46317</v>
      </c>
      <c r="I72" s="53"/>
      <c r="J72" s="53">
        <v>46318</v>
      </c>
      <c r="K72" s="53"/>
      <c r="L72" s="53">
        <v>46319</v>
      </c>
      <c r="M72" s="53"/>
      <c r="N72" s="53">
        <v>46320</v>
      </c>
      <c r="O72" s="212"/>
      <c r="P72" s="253"/>
      <c r="Q72" s="254"/>
      <c r="R72" s="207"/>
      <c r="S72" s="138"/>
      <c r="T72" s="138"/>
      <c r="U72" s="60" t="s">
        <v>27</v>
      </c>
      <c r="V72" s="61" t="s">
        <v>28</v>
      </c>
      <c r="W72" s="62" t="s">
        <v>29</v>
      </c>
      <c r="X72" s="7"/>
      <c r="Y72" s="7"/>
      <c r="Z72" s="7"/>
      <c r="AA72" s="7"/>
      <c r="AB72" s="13"/>
      <c r="AC72" s="13"/>
      <c r="AD72" s="13"/>
    </row>
    <row r="73" ht="14.4">
      <c r="A73" s="139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39"/>
      <c r="Q73" s="127"/>
      <c r="R73" s="139"/>
      <c r="S73" s="139"/>
      <c r="T73" s="139"/>
      <c r="U73" s="127"/>
      <c r="V73" s="127"/>
      <c r="W73" s="128"/>
      <c r="X73" s="7"/>
      <c r="Y73" s="7"/>
      <c r="Z73" s="7"/>
      <c r="AA73" s="7"/>
      <c r="AB73" s="13"/>
      <c r="AC73" s="13"/>
      <c r="AD73" s="13"/>
    </row>
    <row r="74" ht="14.4">
      <c r="A74" s="143"/>
      <c r="B74" s="43" t="s">
        <v>17</v>
      </c>
      <c r="C74" s="142"/>
      <c r="D74" s="43" t="s">
        <v>18</v>
      </c>
      <c r="E74" s="142"/>
      <c r="F74" s="43" t="s">
        <v>19</v>
      </c>
      <c r="G74" s="43"/>
      <c r="H74" s="43" t="s">
        <v>20</v>
      </c>
      <c r="I74" s="142"/>
      <c r="J74" s="45" t="s">
        <v>21</v>
      </c>
      <c r="K74" s="45"/>
      <c r="L74" s="43" t="s">
        <v>22</v>
      </c>
      <c r="M74" s="43"/>
      <c r="N74" s="43" t="s">
        <v>23</v>
      </c>
      <c r="O74" s="43"/>
      <c r="P74" s="208" t="s">
        <v>24</v>
      </c>
      <c r="Q74" s="209"/>
      <c r="R74" s="143"/>
      <c r="S74" s="143"/>
      <c r="T74" s="143"/>
      <c r="U74" s="62"/>
      <c r="V74" s="62"/>
      <c r="W74" s="62"/>
      <c r="X74" s="51"/>
      <c r="Y74" s="7"/>
      <c r="Z74" s="7"/>
      <c r="AA74" s="7"/>
      <c r="AB74" s="13"/>
      <c r="AC74" s="13"/>
      <c r="AD74" s="13"/>
    </row>
    <row r="75" ht="14.4">
      <c r="A75" s="248"/>
      <c r="B75" s="53">
        <v>46321</v>
      </c>
      <c r="C75" s="53"/>
      <c r="D75" s="53">
        <v>46322</v>
      </c>
      <c r="E75" s="53"/>
      <c r="F75" s="53">
        <v>46323</v>
      </c>
      <c r="G75" s="53"/>
      <c r="H75" s="53">
        <v>46324</v>
      </c>
      <c r="I75" s="53"/>
      <c r="J75" s="53">
        <v>46325</v>
      </c>
      <c r="K75" s="53"/>
      <c r="L75" s="53">
        <v>46326</v>
      </c>
      <c r="M75" s="53"/>
      <c r="N75" s="53">
        <v>46327</v>
      </c>
      <c r="O75" s="212"/>
      <c r="P75" s="213" t="s">
        <v>25</v>
      </c>
      <c r="Q75" s="214" t="s">
        <v>26</v>
      </c>
      <c r="R75" s="249"/>
      <c r="S75" s="147"/>
      <c r="T75" s="147"/>
      <c r="U75" s="60" t="s">
        <v>27</v>
      </c>
      <c r="V75" s="61" t="s">
        <v>28</v>
      </c>
      <c r="W75" s="62" t="s">
        <v>29</v>
      </c>
      <c r="X75" s="63" t="s">
        <v>30</v>
      </c>
      <c r="Y75" s="7"/>
      <c r="Z75" s="7"/>
      <c r="AA75" s="7"/>
      <c r="AB75" s="13"/>
      <c r="AC75" s="13"/>
      <c r="AD75" s="13"/>
    </row>
    <row r="76" ht="14.4">
      <c r="A76" s="217" t="s">
        <v>35</v>
      </c>
      <c r="B76" s="65" t="s">
        <v>32</v>
      </c>
      <c r="C76" s="65" t="s">
        <v>33</v>
      </c>
      <c r="D76" s="65" t="s">
        <v>32</v>
      </c>
      <c r="E76" s="65" t="s">
        <v>33</v>
      </c>
      <c r="F76" s="65" t="s">
        <v>32</v>
      </c>
      <c r="G76" s="65" t="s">
        <v>33</v>
      </c>
      <c r="H76" s="65" t="s">
        <v>32</v>
      </c>
      <c r="I76" s="65" t="s">
        <v>33</v>
      </c>
      <c r="J76" s="65" t="s">
        <v>32</v>
      </c>
      <c r="K76" s="65" t="s">
        <v>33</v>
      </c>
      <c r="L76" s="66"/>
      <c r="M76" s="66"/>
      <c r="N76" s="66"/>
      <c r="O76" s="66"/>
      <c r="P76" s="218">
        <f t="shared" ref="P76:P87" si="33">C76+E76+G76+I76+K76+M76+O76</f>
        <v>40</v>
      </c>
      <c r="Q76" s="62">
        <f t="shared" si="29"/>
        <v>-8</v>
      </c>
      <c r="R76" s="219" t="str">
        <f t="shared" ref="R76:R87" si="34">A76</f>
        <v>Рычков</v>
      </c>
      <c r="S76" s="76" t="s">
        <v>10</v>
      </c>
      <c r="T76" s="77" t="s">
        <v>9</v>
      </c>
      <c r="U76" s="73">
        <f t="shared" si="30"/>
        <v>0</v>
      </c>
      <c r="V76" s="62">
        <f t="shared" si="32"/>
        <v>0</v>
      </c>
      <c r="W76" s="62"/>
      <c r="X76" s="74" t="s">
        <v>34</v>
      </c>
      <c r="Y76" s="7"/>
      <c r="Z76" s="7"/>
      <c r="AA76" s="7"/>
      <c r="AB76" s="13"/>
      <c r="AC76" s="13"/>
      <c r="AD76" s="13"/>
    </row>
    <row r="77" ht="14.4">
      <c r="A77" s="203" t="s">
        <v>39</v>
      </c>
      <c r="B77" s="65" t="s">
        <v>32</v>
      </c>
      <c r="C77" s="65" t="s">
        <v>33</v>
      </c>
      <c r="D77" s="65" t="s">
        <v>32</v>
      </c>
      <c r="E77" s="65" t="s">
        <v>33</v>
      </c>
      <c r="F77" s="65" t="s">
        <v>32</v>
      </c>
      <c r="G77" s="65" t="s">
        <v>33</v>
      </c>
      <c r="H77" s="65" t="s">
        <v>32</v>
      </c>
      <c r="I77" s="65" t="s">
        <v>33</v>
      </c>
      <c r="J77" s="65" t="s">
        <v>32</v>
      </c>
      <c r="K77" s="65" t="s">
        <v>33</v>
      </c>
      <c r="L77" s="66"/>
      <c r="M77" s="66"/>
      <c r="N77" s="66"/>
      <c r="O77" s="66"/>
      <c r="P77" s="220">
        <f t="shared" si="33"/>
        <v>40</v>
      </c>
      <c r="Q77" s="221">
        <f t="shared" si="29"/>
        <v>-8</v>
      </c>
      <c r="R77" s="222" t="str">
        <f t="shared" si="34"/>
        <v>Игумнов</v>
      </c>
      <c r="S77" s="76" t="s">
        <v>10</v>
      </c>
      <c r="T77" s="77" t="s">
        <v>9</v>
      </c>
      <c r="U77" s="240">
        <f t="shared" si="30"/>
        <v>0</v>
      </c>
      <c r="V77" s="221">
        <f t="shared" si="32"/>
        <v>0</v>
      </c>
      <c r="W77" s="221"/>
      <c r="X77" s="79" t="s">
        <v>34</v>
      </c>
      <c r="Y77" s="7"/>
      <c r="Z77" s="7"/>
      <c r="AA77" s="7"/>
      <c r="AB77" s="13"/>
      <c r="AC77" s="13"/>
      <c r="AD77" s="13"/>
    </row>
    <row r="78" ht="14.4">
      <c r="A78" s="203" t="s">
        <v>40</v>
      </c>
      <c r="B78" s="65" t="s">
        <v>32</v>
      </c>
      <c r="C78" s="65" t="s">
        <v>33</v>
      </c>
      <c r="D78" s="65" t="s">
        <v>32</v>
      </c>
      <c r="E78" s="65" t="s">
        <v>33</v>
      </c>
      <c r="F78" s="65" t="s">
        <v>32</v>
      </c>
      <c r="G78" s="65" t="s">
        <v>33</v>
      </c>
      <c r="H78" s="65" t="s">
        <v>32</v>
      </c>
      <c r="I78" s="65" t="s">
        <v>33</v>
      </c>
      <c r="J78" s="65" t="s">
        <v>32</v>
      </c>
      <c r="K78" s="65" t="s">
        <v>33</v>
      </c>
      <c r="L78" s="66"/>
      <c r="M78" s="66"/>
      <c r="N78" s="66"/>
      <c r="O78" s="66"/>
      <c r="P78" s="68">
        <f t="shared" si="33"/>
        <v>40</v>
      </c>
      <c r="Q78" s="69">
        <f t="shared" si="29"/>
        <v>-8</v>
      </c>
      <c r="R78" s="70" t="str">
        <f t="shared" si="34"/>
        <v>Душин</v>
      </c>
      <c r="S78" s="76" t="s">
        <v>10</v>
      </c>
      <c r="T78" s="77" t="s">
        <v>9</v>
      </c>
      <c r="U78" s="69">
        <f t="shared" si="30"/>
        <v>0</v>
      </c>
      <c r="V78" s="69">
        <f t="shared" si="32"/>
        <v>0</v>
      </c>
      <c r="W78" s="69"/>
      <c r="X78" s="242" t="s">
        <v>38</v>
      </c>
      <c r="Y78" s="7"/>
      <c r="Z78" s="7"/>
      <c r="AA78" s="7"/>
      <c r="AB78" s="13"/>
      <c r="AC78" s="13"/>
      <c r="AD78" s="13"/>
    </row>
    <row r="79" ht="14.4">
      <c r="A79" s="203" t="s">
        <v>42</v>
      </c>
      <c r="B79" s="65" t="s">
        <v>32</v>
      </c>
      <c r="C79" s="65" t="s">
        <v>33</v>
      </c>
      <c r="D79" s="65" t="s">
        <v>32</v>
      </c>
      <c r="E79" s="65" t="s">
        <v>33</v>
      </c>
      <c r="F79" s="65" t="s">
        <v>32</v>
      </c>
      <c r="G79" s="65" t="s">
        <v>33</v>
      </c>
      <c r="H79" s="65" t="s">
        <v>32</v>
      </c>
      <c r="I79" s="65" t="s">
        <v>33</v>
      </c>
      <c r="J79" s="65" t="s">
        <v>32</v>
      </c>
      <c r="K79" s="65" t="s">
        <v>33</v>
      </c>
      <c r="L79" s="66"/>
      <c r="M79" s="66"/>
      <c r="N79" s="66"/>
      <c r="O79" s="66"/>
      <c r="P79" s="68">
        <f t="shared" si="33"/>
        <v>40</v>
      </c>
      <c r="Q79" s="69">
        <f t="shared" si="29"/>
        <v>-8</v>
      </c>
      <c r="R79" s="70" t="str">
        <f t="shared" si="34"/>
        <v>Юращик</v>
      </c>
      <c r="S79" s="76" t="s">
        <v>10</v>
      </c>
      <c r="T79" s="77" t="s">
        <v>9</v>
      </c>
      <c r="U79" s="69">
        <f t="shared" si="30"/>
        <v>0</v>
      </c>
      <c r="V79" s="69">
        <f t="shared" si="32"/>
        <v>0</v>
      </c>
      <c r="W79" s="69"/>
      <c r="X79" s="242" t="s">
        <v>38</v>
      </c>
      <c r="Y79" s="7"/>
      <c r="Z79" s="7"/>
      <c r="AA79" s="7"/>
      <c r="AB79" s="13"/>
      <c r="AC79" s="13"/>
      <c r="AD79" s="13"/>
    </row>
    <row r="80" ht="14.4">
      <c r="A80" s="202" t="s">
        <v>31</v>
      </c>
      <c r="B80" s="65" t="s">
        <v>32</v>
      </c>
      <c r="C80" s="198" t="s">
        <v>33</v>
      </c>
      <c r="D80" s="65" t="s">
        <v>32</v>
      </c>
      <c r="E80" s="198" t="s">
        <v>33</v>
      </c>
      <c r="F80" s="65" t="s">
        <v>32</v>
      </c>
      <c r="G80" s="198" t="s">
        <v>33</v>
      </c>
      <c r="H80" s="65" t="s">
        <v>32</v>
      </c>
      <c r="I80" s="198" t="s">
        <v>33</v>
      </c>
      <c r="J80" s="65" t="s">
        <v>32</v>
      </c>
      <c r="K80" s="198" t="s">
        <v>33</v>
      </c>
      <c r="L80" s="66"/>
      <c r="M80" s="66"/>
      <c r="N80" s="66"/>
      <c r="O80" s="66"/>
      <c r="P80" s="68">
        <f t="shared" si="33"/>
        <v>40</v>
      </c>
      <c r="Q80" s="69">
        <f t="shared" si="29"/>
        <v>-8</v>
      </c>
      <c r="R80" s="70" t="s">
        <v>31</v>
      </c>
      <c r="S80" s="173" t="s">
        <v>10</v>
      </c>
      <c r="T80" s="77" t="s">
        <v>9</v>
      </c>
      <c r="U80" s="69">
        <f t="shared" si="30"/>
        <v>0</v>
      </c>
      <c r="V80" s="69">
        <f t="shared" si="32"/>
        <v>0</v>
      </c>
      <c r="W80" s="69"/>
      <c r="X80" s="242" t="s">
        <v>49</v>
      </c>
      <c r="Y80" s="7"/>
      <c r="Z80" s="7"/>
      <c r="AA80" s="7"/>
      <c r="AB80" s="13"/>
      <c r="AC80" s="13"/>
      <c r="AD80" s="13"/>
    </row>
    <row r="81" ht="14.4">
      <c r="A81" s="204" t="s">
        <v>43</v>
      </c>
      <c r="B81" s="76"/>
      <c r="C81" s="76" t="s">
        <v>4</v>
      </c>
      <c r="D81" s="67"/>
      <c r="E81" s="67"/>
      <c r="F81" s="67"/>
      <c r="G81" s="67"/>
      <c r="H81" s="131"/>
      <c r="I81" s="131">
        <v>12</v>
      </c>
      <c r="J81" s="83"/>
      <c r="K81" s="83" t="s">
        <v>4</v>
      </c>
      <c r="L81" s="82"/>
      <c r="M81" s="82"/>
      <c r="N81" s="66"/>
      <c r="O81" s="66"/>
      <c r="P81" s="68">
        <f t="shared" si="33"/>
        <v>36</v>
      </c>
      <c r="Q81" s="69">
        <f t="shared" si="29"/>
        <v>-8</v>
      </c>
      <c r="R81" s="70" t="s">
        <v>43</v>
      </c>
      <c r="S81" s="71" t="s">
        <v>12</v>
      </c>
      <c r="T81" s="72" t="s">
        <v>11</v>
      </c>
      <c r="U81" s="69">
        <f t="shared" si="30"/>
        <v>0</v>
      </c>
      <c r="V81" s="69">
        <f t="shared" si="32"/>
        <v>0</v>
      </c>
      <c r="W81" s="69"/>
      <c r="X81" s="242" t="s">
        <v>44</v>
      </c>
      <c r="Y81" s="80"/>
      <c r="Z81" s="80"/>
      <c r="AA81" s="80"/>
      <c r="AB81" s="13"/>
      <c r="AC81" s="13"/>
      <c r="AD81" s="13"/>
    </row>
    <row r="82" ht="14.4">
      <c r="A82" s="205" t="s">
        <v>45</v>
      </c>
      <c r="B82" s="66"/>
      <c r="C82" s="66"/>
      <c r="D82" s="78"/>
      <c r="E82" s="78" t="s">
        <v>4</v>
      </c>
      <c r="F82" s="78"/>
      <c r="G82" s="78" t="s">
        <v>4</v>
      </c>
      <c r="H82" s="66"/>
      <c r="I82" s="66"/>
      <c r="J82" s="82"/>
      <c r="K82" s="82"/>
      <c r="L82" s="87"/>
      <c r="M82" s="87"/>
      <c r="N82" s="87"/>
      <c r="O82" s="87"/>
      <c r="P82" s="68">
        <f t="shared" si="33"/>
        <v>24</v>
      </c>
      <c r="Q82" s="69">
        <f t="shared" si="29"/>
        <v>-8</v>
      </c>
      <c r="R82" s="70" t="str">
        <f t="shared" si="34"/>
        <v>Пузырь</v>
      </c>
      <c r="S82" s="76" t="s">
        <v>10</v>
      </c>
      <c r="T82" s="77" t="s">
        <v>9</v>
      </c>
      <c r="U82" s="69">
        <f t="shared" si="30"/>
        <v>0</v>
      </c>
      <c r="V82" s="69">
        <f t="shared" si="32"/>
        <v>0</v>
      </c>
      <c r="W82" s="69"/>
      <c r="X82" s="242" t="s">
        <v>34</v>
      </c>
      <c r="Y82" s="7"/>
      <c r="Z82" s="7"/>
      <c r="AA82" s="7"/>
      <c r="AB82" s="13"/>
      <c r="AC82" s="13"/>
      <c r="AD82" s="13"/>
    </row>
    <row r="83" ht="14.4">
      <c r="A83" s="205" t="s">
        <v>46</v>
      </c>
      <c r="B83" s="76"/>
      <c r="C83" s="76" t="s">
        <v>4</v>
      </c>
      <c r="D83" s="67"/>
      <c r="E83" s="67"/>
      <c r="F83" s="67"/>
      <c r="G83" s="67"/>
      <c r="H83" s="131"/>
      <c r="I83" s="131">
        <v>12</v>
      </c>
      <c r="J83" s="83"/>
      <c r="K83" s="83" t="s">
        <v>4</v>
      </c>
      <c r="L83" s="87"/>
      <c r="M83" s="87"/>
      <c r="N83" s="87"/>
      <c r="O83" s="87"/>
      <c r="P83" s="68">
        <f t="shared" si="33"/>
        <v>36</v>
      </c>
      <c r="Q83" s="69">
        <f t="shared" si="29"/>
        <v>-8</v>
      </c>
      <c r="R83" s="70" t="str">
        <f t="shared" si="34"/>
        <v>Голышев</v>
      </c>
      <c r="S83" s="76" t="s">
        <v>10</v>
      </c>
      <c r="T83" s="77" t="s">
        <v>9</v>
      </c>
      <c r="U83" s="69">
        <f t="shared" si="30"/>
        <v>0</v>
      </c>
      <c r="V83" s="69">
        <f t="shared" si="32"/>
        <v>0</v>
      </c>
      <c r="W83" s="69"/>
      <c r="X83" s="242" t="s">
        <v>34</v>
      </c>
      <c r="Y83" s="7"/>
      <c r="Z83" s="7"/>
      <c r="AA83" s="7"/>
      <c r="AB83" s="13"/>
      <c r="AC83" s="13"/>
      <c r="AD83" s="13"/>
    </row>
    <row r="84" ht="14.4">
      <c r="A84" s="205" t="s">
        <v>47</v>
      </c>
      <c r="B84" s="67"/>
      <c r="C84" s="67"/>
      <c r="D84" s="77"/>
      <c r="E84" s="77" t="s">
        <v>4</v>
      </c>
      <c r="F84" s="156"/>
      <c r="G84" s="156" t="s">
        <v>4</v>
      </c>
      <c r="H84" s="67"/>
      <c r="I84" s="67"/>
      <c r="J84" s="66"/>
      <c r="K84" s="66"/>
      <c r="L84" s="87"/>
      <c r="M84" s="87"/>
      <c r="N84" s="87"/>
      <c r="O84" s="87"/>
      <c r="P84" s="68">
        <f t="shared" si="33"/>
        <v>24</v>
      </c>
      <c r="Q84" s="69">
        <f t="shared" si="29"/>
        <v>-8</v>
      </c>
      <c r="R84" s="70" t="str">
        <f t="shared" si="34"/>
        <v>Торубара</v>
      </c>
      <c r="S84" s="76" t="s">
        <v>10</v>
      </c>
      <c r="T84" s="77" t="s">
        <v>9</v>
      </c>
      <c r="U84" s="69">
        <f t="shared" si="30"/>
        <v>0</v>
      </c>
      <c r="V84" s="69">
        <f t="shared" si="32"/>
        <v>0</v>
      </c>
      <c r="W84" s="69"/>
      <c r="X84" s="242" t="s">
        <v>34</v>
      </c>
      <c r="Y84" s="7"/>
      <c r="Z84" s="7"/>
      <c r="AA84" s="7"/>
      <c r="AB84" s="13"/>
      <c r="AC84" s="13"/>
      <c r="AD84" s="13"/>
    </row>
    <row r="85" ht="14.4">
      <c r="A85" s="205" t="s">
        <v>48</v>
      </c>
      <c r="B85" s="258"/>
      <c r="C85" s="259" t="s">
        <v>33</v>
      </c>
      <c r="D85" s="110"/>
      <c r="E85" s="110" t="s">
        <v>33</v>
      </c>
      <c r="F85" s="110"/>
      <c r="G85" s="110" t="s">
        <v>4</v>
      </c>
      <c r="H85" s="111"/>
      <c r="I85" s="108"/>
      <c r="J85" s="109"/>
      <c r="K85" s="109"/>
      <c r="L85" s="87"/>
      <c r="M85" s="87"/>
      <c r="N85" s="87"/>
      <c r="O85" s="87"/>
      <c r="P85" s="68">
        <f t="shared" si="33"/>
        <v>28</v>
      </c>
      <c r="Q85" s="69">
        <f t="shared" si="29"/>
        <v>-8</v>
      </c>
      <c r="R85" s="70" t="str">
        <f t="shared" si="34"/>
        <v>Стрыгин</v>
      </c>
      <c r="S85" s="71" t="s">
        <v>8</v>
      </c>
      <c r="T85" s="72" t="s">
        <v>7</v>
      </c>
      <c r="U85" s="69">
        <f t="shared" si="30"/>
        <v>0</v>
      </c>
      <c r="V85" s="69">
        <f t="shared" si="32"/>
        <v>0</v>
      </c>
      <c r="W85" s="69"/>
      <c r="X85" s="242" t="s">
        <v>49</v>
      </c>
      <c r="Y85" s="7"/>
      <c r="Z85" s="7"/>
      <c r="AA85" s="7"/>
      <c r="AB85" s="13"/>
      <c r="AC85" s="13"/>
      <c r="AD85" s="13"/>
    </row>
    <row r="86" ht="14.4">
      <c r="A86" s="205" t="s">
        <v>50</v>
      </c>
      <c r="B86" s="110"/>
      <c r="C86" s="110" t="s">
        <v>4</v>
      </c>
      <c r="D86" s="108"/>
      <c r="E86" s="108"/>
      <c r="F86" s="109"/>
      <c r="G86" s="109"/>
      <c r="H86" s="107"/>
      <c r="I86" s="107" t="s">
        <v>4</v>
      </c>
      <c r="J86" s="107"/>
      <c r="K86" s="107" t="s">
        <v>4</v>
      </c>
      <c r="L86" s="150"/>
      <c r="M86" s="150"/>
      <c r="N86" s="150"/>
      <c r="O86" s="150"/>
      <c r="P86" s="68">
        <f t="shared" si="33"/>
        <v>36</v>
      </c>
      <c r="Q86" s="69">
        <f t="shared" si="29"/>
        <v>-4</v>
      </c>
      <c r="R86" s="70" t="str">
        <f t="shared" si="34"/>
        <v>Фрик</v>
      </c>
      <c r="S86" s="71" t="s">
        <v>12</v>
      </c>
      <c r="T86" s="72" t="s">
        <v>11</v>
      </c>
      <c r="U86" s="69">
        <f t="shared" si="30"/>
        <v>0</v>
      </c>
      <c r="V86" s="69">
        <f t="shared" si="32"/>
        <v>0</v>
      </c>
      <c r="W86" s="69"/>
      <c r="X86" s="242" t="s">
        <v>44</v>
      </c>
      <c r="Y86" s="7"/>
      <c r="Z86" s="7"/>
      <c r="AA86" s="7"/>
      <c r="AB86" s="13"/>
      <c r="AC86" s="13"/>
      <c r="AD86" s="13"/>
    </row>
    <row r="87" ht="14.4">
      <c r="A87" s="206" t="s">
        <v>51</v>
      </c>
      <c r="B87" s="66"/>
      <c r="C87" s="66"/>
      <c r="D87" s="78"/>
      <c r="E87" s="78" t="s">
        <v>4</v>
      </c>
      <c r="F87" s="76"/>
      <c r="G87" s="76" t="s">
        <v>4</v>
      </c>
      <c r="H87" s="67"/>
      <c r="I87" s="67"/>
      <c r="J87" s="66"/>
      <c r="K87" s="66"/>
      <c r="L87" s="87"/>
      <c r="M87" s="87"/>
      <c r="N87" s="87"/>
      <c r="O87" s="87"/>
      <c r="P87" s="228">
        <f t="shared" si="33"/>
        <v>24</v>
      </c>
      <c r="Q87" s="229">
        <f t="shared" si="29"/>
        <v>-8</v>
      </c>
      <c r="R87" s="230" t="str">
        <f t="shared" si="34"/>
        <v>Истрашкин</v>
      </c>
      <c r="S87" s="71" t="s">
        <v>10</v>
      </c>
      <c r="T87" s="72" t="s">
        <v>9</v>
      </c>
      <c r="U87" s="244">
        <f t="shared" si="30"/>
        <v>0</v>
      </c>
      <c r="V87" s="229">
        <f t="shared" si="32"/>
        <v>0</v>
      </c>
      <c r="W87" s="229"/>
      <c r="X87" s="74" t="s">
        <v>34</v>
      </c>
      <c r="Y87" s="7"/>
      <c r="Z87" s="7"/>
      <c r="AA87" s="7"/>
      <c r="AB87" s="13"/>
      <c r="AC87" s="13"/>
      <c r="AD87" s="13"/>
    </row>
    <row r="88" ht="14.4">
      <c r="A88" s="207"/>
      <c r="B88" s="53">
        <v>46321</v>
      </c>
      <c r="C88" s="53"/>
      <c r="D88" s="53">
        <v>46322</v>
      </c>
      <c r="E88" s="53"/>
      <c r="F88" s="53">
        <v>46323</v>
      </c>
      <c r="G88" s="53"/>
      <c r="H88" s="53">
        <v>46324</v>
      </c>
      <c r="I88" s="53"/>
      <c r="J88" s="53">
        <v>46325</v>
      </c>
      <c r="K88" s="53"/>
      <c r="L88" s="53">
        <v>46326</v>
      </c>
      <c r="M88" s="53"/>
      <c r="N88" s="53">
        <v>46327</v>
      </c>
      <c r="O88" s="212"/>
      <c r="P88" s="253"/>
      <c r="Q88" s="254"/>
      <c r="R88" s="207"/>
      <c r="S88" s="138"/>
      <c r="T88" s="138"/>
      <c r="U88" s="60" t="s">
        <v>27</v>
      </c>
      <c r="V88" s="61" t="s">
        <v>28</v>
      </c>
      <c r="W88" s="62" t="s">
        <v>29</v>
      </c>
      <c r="X88" s="7"/>
      <c r="Y88" s="7"/>
      <c r="Z88" s="7"/>
      <c r="AA88" s="7"/>
      <c r="AB88" s="13"/>
      <c r="AC88" s="13"/>
      <c r="AD88" s="13"/>
    </row>
    <row r="89" ht="14.4">
      <c r="A89" s="139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39"/>
      <c r="Q89" s="127"/>
      <c r="R89" s="139"/>
      <c r="S89" s="139"/>
      <c r="T89" s="139"/>
      <c r="U89" s="127"/>
      <c r="V89" s="127"/>
      <c r="W89" s="128"/>
      <c r="X89" s="7"/>
      <c r="Y89" s="7"/>
      <c r="Z89" s="7"/>
      <c r="AA89" s="7"/>
      <c r="AB89" s="13"/>
      <c r="AC89" s="13"/>
      <c r="AD89" s="13"/>
    </row>
    <row r="90" ht="14.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53"/>
      <c r="R90" s="7"/>
      <c r="S90" s="7"/>
      <c r="T90" s="7"/>
      <c r="U90" s="153"/>
      <c r="V90" s="153"/>
      <c r="W90" s="12"/>
      <c r="X90" s="7"/>
      <c r="Y90" s="7"/>
      <c r="Z90" s="7"/>
      <c r="AA90" s="7"/>
      <c r="AB90" s="13"/>
      <c r="AC90" s="13"/>
      <c r="AD90" s="13"/>
    </row>
    <row r="91" ht="14.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153"/>
      <c r="R91" s="7"/>
      <c r="S91" s="7"/>
      <c r="T91" s="7"/>
      <c r="U91" s="153"/>
      <c r="V91" s="153"/>
      <c r="W91" s="12"/>
      <c r="X91" s="7"/>
      <c r="Y91" s="7"/>
      <c r="Z91" s="7"/>
      <c r="AA91" s="7"/>
      <c r="AB91" s="13"/>
      <c r="AC91" s="13"/>
      <c r="AD91" s="13"/>
    </row>
    <row r="92" ht="14.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153"/>
      <c r="R92" s="7"/>
      <c r="S92" s="7"/>
      <c r="T92" s="7"/>
      <c r="U92" s="153"/>
      <c r="V92" s="153"/>
      <c r="W92" s="12"/>
      <c r="X92" s="7"/>
      <c r="Y92" s="7"/>
      <c r="Z92" s="7"/>
      <c r="AA92" s="7"/>
      <c r="AB92" s="13"/>
      <c r="AC92" s="13"/>
      <c r="AD92" s="13"/>
    </row>
    <row r="93" ht="14.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153"/>
      <c r="R93" s="7"/>
      <c r="S93" s="7"/>
      <c r="T93" s="7"/>
      <c r="U93" s="153"/>
      <c r="V93" s="153"/>
      <c r="W93" s="12"/>
      <c r="X93" s="7"/>
      <c r="Y93" s="7"/>
      <c r="Z93" s="7"/>
      <c r="AA93" s="7"/>
      <c r="AB93" s="13"/>
      <c r="AC93" s="13"/>
      <c r="AD93" s="13"/>
    </row>
    <row r="94" ht="14.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53"/>
      <c r="R94" s="7"/>
      <c r="S94" s="7"/>
      <c r="T94" s="7"/>
      <c r="U94" s="153"/>
      <c r="V94" s="153"/>
      <c r="W94" s="12"/>
      <c r="X94" s="7"/>
      <c r="Y94" s="7"/>
      <c r="Z94" s="7"/>
      <c r="AA94" s="7"/>
      <c r="AB94" s="13"/>
      <c r="AC94" s="13"/>
      <c r="AD94" s="13"/>
    </row>
    <row r="95" ht="14.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153"/>
      <c r="R95" s="7"/>
      <c r="S95" s="7"/>
      <c r="T95" s="7"/>
      <c r="U95" s="153"/>
      <c r="V95" s="153"/>
      <c r="W95" s="12"/>
      <c r="X95" s="7"/>
      <c r="Y95" s="7"/>
      <c r="Z95" s="7"/>
      <c r="AA95" s="7"/>
      <c r="AB95" s="13"/>
      <c r="AC95" s="13"/>
      <c r="AD95" s="13"/>
    </row>
    <row r="96" ht="14.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153"/>
      <c r="R96" s="7"/>
      <c r="S96" s="7"/>
      <c r="T96" s="7"/>
      <c r="U96" s="153"/>
      <c r="V96" s="153"/>
      <c r="W96" s="12"/>
      <c r="X96" s="7"/>
      <c r="Y96" s="7"/>
      <c r="Z96" s="7"/>
      <c r="AA96" s="7"/>
      <c r="AB96" s="13"/>
      <c r="AC96" s="13"/>
      <c r="AD96" s="13"/>
    </row>
    <row r="97" ht="14.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153"/>
      <c r="R97" s="7"/>
      <c r="S97" s="7"/>
      <c r="T97" s="7"/>
      <c r="U97" s="153"/>
      <c r="V97" s="153"/>
      <c r="W97" s="12"/>
      <c r="X97" s="7"/>
      <c r="Y97" s="7"/>
      <c r="Z97" s="7"/>
      <c r="AA97" s="7"/>
      <c r="AB97" s="13"/>
      <c r="AC97" s="13"/>
      <c r="AD97" s="13"/>
    </row>
    <row r="98" ht="14.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53"/>
      <c r="R98" s="7"/>
      <c r="S98" s="7"/>
      <c r="T98" s="7"/>
      <c r="U98" s="153"/>
      <c r="V98" s="153"/>
      <c r="W98" s="12"/>
      <c r="X98" s="7"/>
      <c r="Y98" s="7"/>
      <c r="Z98" s="7"/>
      <c r="AA98" s="7"/>
      <c r="AB98" s="13"/>
      <c r="AC98" s="13"/>
      <c r="AD98" s="13"/>
    </row>
    <row r="99" ht="14.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53"/>
      <c r="R99" s="7"/>
      <c r="S99" s="7"/>
      <c r="T99" s="7"/>
      <c r="U99" s="153"/>
      <c r="V99" s="153"/>
      <c r="W99" s="12"/>
      <c r="X99" s="7"/>
      <c r="Y99" s="7"/>
      <c r="Z99" s="7"/>
      <c r="AA99" s="7"/>
      <c r="AB99" s="13"/>
      <c r="AC99" s="13"/>
      <c r="AD99" s="13"/>
    </row>
    <row r="100" ht="14.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3"/>
      <c r="R100" s="7"/>
      <c r="S100" s="7"/>
      <c r="T100" s="7"/>
      <c r="U100" s="153"/>
      <c r="V100" s="153"/>
      <c r="W100" s="12"/>
      <c r="X100" s="7"/>
      <c r="Y100" s="7"/>
      <c r="Z100" s="7"/>
      <c r="AA100" s="7"/>
      <c r="AB100" s="13"/>
      <c r="AC100" s="13"/>
      <c r="AD100" s="13"/>
    </row>
    <row r="101" ht="14.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3"/>
      <c r="R101" s="7"/>
      <c r="S101" s="7"/>
      <c r="T101" s="7"/>
      <c r="U101" s="153"/>
      <c r="V101" s="153"/>
      <c r="W101" s="12"/>
      <c r="X101" s="7"/>
      <c r="Y101" s="7"/>
      <c r="Z101" s="7"/>
      <c r="AA101" s="7"/>
      <c r="AB101" s="13"/>
      <c r="AC101" s="13"/>
      <c r="AD101" s="13"/>
    </row>
    <row r="102" ht="14.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3"/>
      <c r="R102" s="7"/>
      <c r="S102" s="7"/>
      <c r="T102" s="7"/>
      <c r="U102" s="153"/>
      <c r="V102" s="153"/>
      <c r="W102" s="12"/>
      <c r="X102" s="7"/>
      <c r="Y102" s="7"/>
      <c r="Z102" s="7"/>
      <c r="AA102" s="7"/>
      <c r="AB102" s="13"/>
      <c r="AC102" s="13"/>
      <c r="AD102" s="13"/>
    </row>
    <row r="103" ht="14.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3"/>
      <c r="R103" s="7"/>
      <c r="S103" s="7"/>
      <c r="T103" s="7"/>
      <c r="U103" s="153"/>
      <c r="V103" s="153"/>
      <c r="W103" s="12"/>
      <c r="X103" s="7"/>
      <c r="Y103" s="7"/>
      <c r="Z103" s="7"/>
      <c r="AA103" s="7"/>
      <c r="AB103" s="13"/>
      <c r="AC103" s="13"/>
      <c r="AD103" s="13"/>
    </row>
    <row r="104" ht="14.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3"/>
      <c r="R104" s="7"/>
      <c r="S104" s="7"/>
      <c r="T104" s="7"/>
      <c r="U104" s="153"/>
      <c r="V104" s="153"/>
      <c r="W104" s="12"/>
      <c r="X104" s="7"/>
      <c r="Y104" s="7"/>
      <c r="Z104" s="7"/>
      <c r="AA104" s="7"/>
      <c r="AB104" s="13"/>
      <c r="AC104" s="13"/>
      <c r="AD104" s="13"/>
    </row>
    <row r="105" ht="14.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3"/>
      <c r="R105" s="7"/>
      <c r="S105" s="7"/>
      <c r="T105" s="7"/>
      <c r="U105" s="153"/>
      <c r="V105" s="153"/>
      <c r="W105" s="12"/>
      <c r="X105" s="7"/>
      <c r="Y105" s="7"/>
      <c r="Z105" s="7"/>
      <c r="AA105" s="7"/>
      <c r="AB105" s="13"/>
      <c r="AC105" s="13"/>
      <c r="AD105" s="13"/>
    </row>
    <row r="106" ht="14.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 ht="14.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 ht="14.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 ht="14.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7"/>
      <c r="Q644" s="153"/>
      <c r="R644" s="7"/>
      <c r="S644" s="7"/>
      <c r="T644" s="7"/>
      <c r="U644" s="153"/>
      <c r="V644" s="153"/>
      <c r="W644" s="12"/>
      <c r="X644" s="21"/>
      <c r="Y644" s="7"/>
      <c r="Z644" s="7"/>
      <c r="AA644" s="7"/>
      <c r="AB644" s="13"/>
      <c r="AC644" s="13"/>
      <c r="AD644" s="13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154"/>
      <c r="R645" s="21"/>
      <c r="S645" s="21"/>
      <c r="T645" s="21"/>
      <c r="U645" s="154"/>
      <c r="V645" s="154"/>
      <c r="W645" s="154"/>
      <c r="X645" s="21"/>
      <c r="Y645" s="21"/>
      <c r="Z645" s="21"/>
      <c r="AA645" s="21"/>
      <c r="AB645" s="21"/>
      <c r="AC645" s="21"/>
      <c r="AD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154"/>
      <c r="R646" s="21"/>
      <c r="S646" s="21"/>
      <c r="T646" s="21"/>
      <c r="U646" s="154"/>
      <c r="V646" s="154"/>
      <c r="W646" s="154"/>
      <c r="X646" s="21"/>
      <c r="Y646" s="21"/>
      <c r="Z646" s="21"/>
      <c r="AA646" s="21"/>
      <c r="AB646" s="21"/>
      <c r="AC646" s="21"/>
      <c r="AD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154"/>
      <c r="R647" s="21"/>
      <c r="S647" s="21"/>
      <c r="T647" s="21"/>
      <c r="U647" s="154"/>
      <c r="V647" s="154"/>
      <c r="W647" s="154"/>
      <c r="X647" s="21"/>
      <c r="Y647" s="21"/>
      <c r="Z647" s="21"/>
      <c r="AA647" s="21"/>
      <c r="AB647" s="21"/>
      <c r="AC647" s="21"/>
      <c r="AD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154"/>
      <c r="R648" s="21"/>
      <c r="S648" s="21"/>
      <c r="T648" s="21"/>
      <c r="U648" s="154"/>
      <c r="V648" s="154"/>
      <c r="W648" s="154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154"/>
      <c r="R649" s="21"/>
      <c r="S649" s="21"/>
      <c r="T649" s="21"/>
      <c r="U649" s="154"/>
      <c r="V649" s="154"/>
      <c r="W649" s="154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154"/>
      <c r="R650" s="21"/>
      <c r="S650" s="21"/>
      <c r="T650" s="21"/>
      <c r="U650" s="154"/>
      <c r="V650" s="154"/>
      <c r="W650" s="154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154"/>
      <c r="R651" s="21"/>
      <c r="S651" s="21"/>
      <c r="T651" s="21"/>
      <c r="U651" s="154"/>
      <c r="V651" s="154"/>
      <c r="W651" s="154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154"/>
      <c r="R652" s="21"/>
      <c r="S652" s="21"/>
      <c r="T652" s="21"/>
      <c r="U652" s="154"/>
      <c r="V652" s="154"/>
      <c r="W652" s="154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154"/>
      <c r="R653" s="21"/>
      <c r="S653" s="21"/>
      <c r="T653" s="21"/>
      <c r="U653" s="154"/>
      <c r="V653" s="154"/>
      <c r="W653" s="154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154"/>
      <c r="R654" s="21"/>
      <c r="S654" s="21"/>
      <c r="T654" s="21"/>
      <c r="U654" s="154"/>
      <c r="V654" s="154"/>
      <c r="W654" s="154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154"/>
      <c r="R655" s="21"/>
      <c r="S655" s="21"/>
      <c r="T655" s="21"/>
      <c r="U655" s="154"/>
      <c r="V655" s="154"/>
      <c r="W655" s="154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154"/>
      <c r="R656" s="21"/>
      <c r="S656" s="21"/>
      <c r="T656" s="21"/>
      <c r="U656" s="154"/>
      <c r="V656" s="154"/>
      <c r="W656" s="154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154"/>
      <c r="R657" s="21"/>
      <c r="S657" s="21"/>
      <c r="T657" s="21"/>
      <c r="U657" s="154"/>
      <c r="V657" s="154"/>
      <c r="W657" s="154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154"/>
      <c r="R658" s="21"/>
      <c r="S658" s="21"/>
      <c r="T658" s="21"/>
      <c r="U658" s="154"/>
      <c r="V658" s="154"/>
      <c r="W658" s="154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154"/>
      <c r="R659" s="21"/>
      <c r="S659" s="21"/>
      <c r="T659" s="21"/>
      <c r="U659" s="154"/>
      <c r="V659" s="154"/>
      <c r="W659" s="154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154"/>
      <c r="R660" s="21"/>
      <c r="S660" s="21"/>
      <c r="T660" s="21"/>
      <c r="U660" s="154"/>
      <c r="V660" s="154"/>
      <c r="W660" s="154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154"/>
      <c r="R661" s="21"/>
      <c r="S661" s="21"/>
      <c r="T661" s="21"/>
      <c r="U661" s="154"/>
      <c r="V661" s="154"/>
      <c r="W661" s="154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154"/>
      <c r="R662" s="21"/>
      <c r="S662" s="21"/>
      <c r="T662" s="21"/>
      <c r="U662" s="154"/>
      <c r="V662" s="154"/>
      <c r="W662" s="154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154"/>
      <c r="R663" s="21"/>
      <c r="S663" s="21"/>
      <c r="T663" s="21"/>
      <c r="U663" s="154"/>
      <c r="V663" s="154"/>
      <c r="W663" s="154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154"/>
      <c r="R664" s="21"/>
      <c r="S664" s="21"/>
      <c r="T664" s="21"/>
      <c r="U664" s="154"/>
      <c r="V664" s="154"/>
      <c r="W664" s="154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154"/>
      <c r="R665" s="21"/>
      <c r="S665" s="21"/>
      <c r="T665" s="21"/>
      <c r="U665" s="154"/>
      <c r="V665" s="154"/>
      <c r="W665" s="154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54"/>
      <c r="R666" s="21"/>
      <c r="S666" s="21"/>
      <c r="T666" s="21"/>
      <c r="U666" s="154"/>
      <c r="V666" s="154"/>
      <c r="W666" s="154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54"/>
      <c r="R667" s="21"/>
      <c r="S667" s="21"/>
      <c r="T667" s="21"/>
      <c r="U667" s="154"/>
      <c r="V667" s="154"/>
      <c r="W667" s="154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54"/>
      <c r="R668" s="21"/>
      <c r="S668" s="21"/>
      <c r="T668" s="21"/>
      <c r="U668" s="154"/>
      <c r="V668" s="154"/>
      <c r="W668" s="154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54"/>
      <c r="R669" s="21"/>
      <c r="S669" s="21"/>
      <c r="T669" s="21"/>
      <c r="U669" s="154"/>
      <c r="V669" s="154"/>
      <c r="W669" s="154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54"/>
      <c r="R670" s="21"/>
      <c r="S670" s="21"/>
      <c r="T670" s="21"/>
      <c r="U670" s="154"/>
      <c r="V670" s="154"/>
      <c r="W670" s="154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54"/>
      <c r="R671" s="21"/>
      <c r="S671" s="21"/>
      <c r="T671" s="21"/>
      <c r="U671" s="154"/>
      <c r="V671" s="154"/>
      <c r="W671" s="154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54"/>
      <c r="R672" s="21"/>
      <c r="S672" s="21"/>
      <c r="T672" s="21"/>
      <c r="U672" s="154"/>
      <c r="V672" s="154"/>
      <c r="W672" s="154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54"/>
      <c r="R673" s="21"/>
      <c r="S673" s="21"/>
      <c r="T673" s="21"/>
      <c r="U673" s="154"/>
      <c r="V673" s="154"/>
      <c r="W673" s="154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54"/>
      <c r="R674" s="21"/>
      <c r="S674" s="21"/>
      <c r="T674" s="21"/>
      <c r="U674" s="154"/>
      <c r="V674" s="154"/>
      <c r="W674" s="154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54"/>
      <c r="R675" s="21"/>
      <c r="S675" s="21"/>
      <c r="T675" s="21"/>
      <c r="U675" s="154"/>
      <c r="V675" s="154"/>
      <c r="W675" s="154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54"/>
      <c r="R676" s="21"/>
      <c r="S676" s="21"/>
      <c r="T676" s="21"/>
      <c r="U676" s="154"/>
      <c r="V676" s="154"/>
      <c r="W676" s="154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54"/>
      <c r="R677" s="21"/>
      <c r="S677" s="21"/>
      <c r="T677" s="21"/>
      <c r="U677" s="154"/>
      <c r="V677" s="154"/>
      <c r="W677" s="154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54"/>
      <c r="R678" s="21"/>
      <c r="S678" s="21"/>
      <c r="T678" s="21"/>
      <c r="U678" s="154"/>
      <c r="V678" s="154"/>
      <c r="W678" s="154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54"/>
      <c r="R679" s="21"/>
      <c r="S679" s="21"/>
      <c r="T679" s="21"/>
      <c r="U679" s="154"/>
      <c r="V679" s="154"/>
      <c r="W679" s="154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54"/>
      <c r="R680" s="21"/>
      <c r="S680" s="21"/>
      <c r="T680" s="21"/>
      <c r="U680" s="154"/>
      <c r="V680" s="154"/>
      <c r="W680" s="154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54"/>
      <c r="R681" s="21"/>
      <c r="S681" s="21"/>
      <c r="T681" s="21"/>
      <c r="U681" s="154"/>
      <c r="V681" s="154"/>
      <c r="W681" s="154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54"/>
      <c r="R682" s="21"/>
      <c r="S682" s="21"/>
      <c r="T682" s="21"/>
      <c r="U682" s="154"/>
      <c r="V682" s="154"/>
      <c r="W682" s="154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54"/>
      <c r="R683" s="21"/>
      <c r="S683" s="21"/>
      <c r="T683" s="21"/>
      <c r="U683" s="154"/>
      <c r="V683" s="154"/>
      <c r="W683" s="154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54"/>
      <c r="R684" s="21"/>
      <c r="S684" s="21"/>
      <c r="T684" s="21"/>
      <c r="U684" s="154"/>
      <c r="V684" s="154"/>
      <c r="W684" s="154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54"/>
      <c r="R685" s="21"/>
      <c r="S685" s="21"/>
      <c r="T685" s="21"/>
      <c r="U685" s="154"/>
      <c r="V685" s="154"/>
      <c r="W685" s="154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</sheetData>
  <mergeCells count="14">
    <mergeCell ref="A41:Q41"/>
    <mergeCell ref="P42:Q42"/>
    <mergeCell ref="P58:Q58"/>
    <mergeCell ref="P74:Q74"/>
    <mergeCell ref="L1:N5"/>
    <mergeCell ref="A9:Q9"/>
    <mergeCell ref="U9:V9"/>
    <mergeCell ref="P10:Q10"/>
    <mergeCell ref="A25:Q25"/>
    <mergeCell ref="P26:Q26"/>
    <mergeCell ref="F1:J1"/>
    <mergeCell ref="F2:K5"/>
    <mergeCell ref="N6:P7"/>
    <mergeCell ref="F7:J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" zoomScale="100" workbookViewId="0">
      <selection activeCell="M56" activeCellId="0" sqref="M56"/>
    </sheetView>
  </sheetViews>
  <sheetFormatPr defaultRowHeight="13.800000000000001"/>
  <cols>
    <col customWidth="1" min="1" max="1" width="14.109375"/>
    <col customWidth="1" min="2" max="2" width="12.88671875"/>
    <col customWidth="1" min="3" max="3" width="5.88671875"/>
    <col customWidth="1" min="4" max="4" width="12.44140625"/>
    <col customWidth="1" min="5" max="5" width="5.88671875"/>
    <col customWidth="1" min="6" max="6" width="14.109375"/>
    <col customWidth="1" min="7" max="7" width="5.88671875"/>
    <col customWidth="1" min="8" max="8" width="13"/>
    <col customWidth="1" min="9" max="9" width="5.88671875"/>
    <col customWidth="1" min="10" max="10" width="11.44140625"/>
    <col customWidth="1" min="11" max="11" width="5.88671875"/>
    <col customWidth="1" min="12" max="12" width="12.5546875"/>
    <col customWidth="1" min="13" max="13" width="5.88671875"/>
    <col customWidth="1" min="14" max="14" width="13.33203125"/>
    <col customWidth="1" min="15" max="16" width="5.88671875"/>
    <col customWidth="1" min="17" max="17" width="7.109375"/>
    <col customWidth="1" min="18" max="18" width="13.6640625"/>
  </cols>
  <sheetData>
    <row r="1" s="21" customFormat="1" ht="14.4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4">
      <c r="A2" s="14"/>
      <c r="B2" s="15" t="s">
        <v>3</v>
      </c>
      <c r="C2" s="15" t="s">
        <v>4</v>
      </c>
      <c r="D2" s="16" t="s">
        <v>5</v>
      </c>
      <c r="E2" s="16" t="s">
        <v>4</v>
      </c>
      <c r="F2" s="17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4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4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4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4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4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399999999999999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ht="14.4">
      <c r="A10" s="49"/>
      <c r="B10" s="43" t="s">
        <v>17</v>
      </c>
      <c r="C10" s="44"/>
      <c r="D10" s="43" t="s">
        <v>18</v>
      </c>
      <c r="E10" s="44"/>
      <c r="F10" s="43" t="s">
        <v>19</v>
      </c>
      <c r="G10" s="44"/>
      <c r="H10" s="43" t="s">
        <v>20</v>
      </c>
      <c r="I10" s="44"/>
      <c r="J10" s="45" t="s">
        <v>21</v>
      </c>
      <c r="K10" s="46"/>
      <c r="L10" s="43" t="s">
        <v>22</v>
      </c>
      <c r="M10" s="44"/>
      <c r="N10" s="43" t="s">
        <v>23</v>
      </c>
      <c r="O10" s="44"/>
      <c r="P10" s="208" t="s">
        <v>24</v>
      </c>
      <c r="Q10" s="209"/>
      <c r="R10" s="49">
        <v>176</v>
      </c>
      <c r="S10" s="49"/>
      <c r="T10" s="49"/>
      <c r="U10" s="50">
        <v>176</v>
      </c>
      <c r="V10" s="50"/>
      <c r="W10" s="50"/>
      <c r="X10" s="51"/>
      <c r="Y10" s="7"/>
      <c r="Z10" s="7"/>
      <c r="AA10" s="7"/>
      <c r="AB10" s="13"/>
      <c r="AC10" s="13"/>
      <c r="AD10" s="13"/>
    </row>
    <row r="11" ht="14.4">
      <c r="A11" s="143"/>
      <c r="B11" s="53">
        <v>46265</v>
      </c>
      <c r="C11" s="53"/>
      <c r="D11" s="53">
        <v>46266</v>
      </c>
      <c r="E11" s="53"/>
      <c r="F11" s="53">
        <v>46267</v>
      </c>
      <c r="G11" s="53"/>
      <c r="H11" s="53">
        <v>46268</v>
      </c>
      <c r="I11" s="53"/>
      <c r="J11" s="53">
        <v>46269</v>
      </c>
      <c r="K11" s="53"/>
      <c r="L11" s="53">
        <v>46270</v>
      </c>
      <c r="M11" s="53"/>
      <c r="N11" s="53">
        <v>46271</v>
      </c>
      <c r="O11" s="212"/>
      <c r="P11" s="213" t="s">
        <v>25</v>
      </c>
      <c r="Q11" s="214" t="s">
        <v>26</v>
      </c>
      <c r="R11" s="215"/>
      <c r="S11" s="216"/>
      <c r="T11" s="216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ht="14.4">
      <c r="A12" s="203" t="s">
        <v>31</v>
      </c>
      <c r="B12" s="65" t="s">
        <v>32</v>
      </c>
      <c r="C12" s="65" t="s">
        <v>33</v>
      </c>
      <c r="D12" s="65" t="s">
        <v>32</v>
      </c>
      <c r="E12" s="65" t="s">
        <v>33</v>
      </c>
      <c r="F12" s="65" t="s">
        <v>32</v>
      </c>
      <c r="G12" s="65" t="s">
        <v>33</v>
      </c>
      <c r="H12" s="65" t="s">
        <v>32</v>
      </c>
      <c r="I12" s="65" t="s">
        <v>33</v>
      </c>
      <c r="J12" s="65" t="s">
        <v>32</v>
      </c>
      <c r="K12" s="65" t="s">
        <v>33</v>
      </c>
      <c r="L12" s="66"/>
      <c r="M12" s="66"/>
      <c r="N12" s="67"/>
      <c r="O12" s="67"/>
      <c r="P12" s="218">
        <f t="shared" ref="P12:P75" si="35">C12+E12+G12+I12+K12+M12+O12</f>
        <v>40</v>
      </c>
      <c r="Q12" s="62">
        <f>R10-P12</f>
        <v>136</v>
      </c>
      <c r="R12" s="219" t="str">
        <f t="shared" ref="R12:R75" si="36">A12</f>
        <v>Нетронин</v>
      </c>
      <c r="S12" s="71" t="s">
        <v>10</v>
      </c>
      <c r="T12" s="72" t="s">
        <v>9</v>
      </c>
      <c r="U12" s="73">
        <v>0</v>
      </c>
      <c r="V12" s="62"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ht="14.4">
      <c r="A13" s="203" t="s">
        <v>35</v>
      </c>
      <c r="B13" s="65" t="s">
        <v>32</v>
      </c>
      <c r="C13" s="65" t="s">
        <v>33</v>
      </c>
      <c r="D13" s="65" t="s">
        <v>32</v>
      </c>
      <c r="E13" s="65" t="s">
        <v>33</v>
      </c>
      <c r="F13" s="65" t="s">
        <v>32</v>
      </c>
      <c r="G13" s="65" t="s">
        <v>33</v>
      </c>
      <c r="H13" s="65" t="s">
        <v>32</v>
      </c>
      <c r="I13" s="65" t="s">
        <v>33</v>
      </c>
      <c r="J13" s="65" t="s">
        <v>32</v>
      </c>
      <c r="K13" s="65" t="s">
        <v>33</v>
      </c>
      <c r="L13" s="66"/>
      <c r="M13" s="66"/>
      <c r="N13" s="66"/>
      <c r="O13" s="66"/>
      <c r="P13" s="218">
        <f t="shared" si="35"/>
        <v>40</v>
      </c>
      <c r="Q13" s="62">
        <f>R10-P13</f>
        <v>136</v>
      </c>
      <c r="R13" s="219" t="str">
        <f t="shared" si="36"/>
        <v>Рычков</v>
      </c>
      <c r="S13" s="76" t="s">
        <v>10</v>
      </c>
      <c r="T13" s="77" t="s">
        <v>9</v>
      </c>
      <c r="U13" s="73">
        <f t="shared" ref="U13:U76" si="37">COUNTIF(T13,B13)+COUNTIF(T13,D13)+COUNTIF(T13,F13)+COUNTIF(T13,H13)+COUNTIF(T13,J13)+COUNTIF(T13,L13)+COUNTIF(T13,N13)</f>
        <v>0</v>
      </c>
      <c r="V13" s="62">
        <f t="shared" ref="V13:V63" si="38">COUNTIF(S13,B13)+COUNTIF(S13,D13)+COUNTIF(S13,F13)+COUNTIF(S13,H13)+COUNTIF(S13,J13)+COUNTIF(S13,L13)+COUNTIF(S13,N13)</f>
        <v>0</v>
      </c>
      <c r="W13" s="62"/>
      <c r="X13" s="74" t="s">
        <v>34</v>
      </c>
      <c r="Y13" s="7"/>
      <c r="Z13" s="7"/>
      <c r="AA13" s="7"/>
      <c r="AB13" s="13"/>
      <c r="AC13" s="13"/>
      <c r="AD13" s="13"/>
    </row>
    <row r="14" ht="14.4">
      <c r="A14" s="203" t="s">
        <v>39</v>
      </c>
      <c r="B14" s="65" t="s">
        <v>32</v>
      </c>
      <c r="C14" s="65" t="s">
        <v>33</v>
      </c>
      <c r="D14" s="65" t="s">
        <v>32</v>
      </c>
      <c r="E14" s="65" t="s">
        <v>33</v>
      </c>
      <c r="F14" s="65" t="s">
        <v>32</v>
      </c>
      <c r="G14" s="65" t="s">
        <v>33</v>
      </c>
      <c r="H14" s="65" t="s">
        <v>32</v>
      </c>
      <c r="I14" s="65" t="s">
        <v>33</v>
      </c>
      <c r="J14" s="65" t="s">
        <v>32</v>
      </c>
      <c r="K14" s="65" t="s">
        <v>33</v>
      </c>
      <c r="L14" s="66"/>
      <c r="M14" s="66"/>
      <c r="N14" s="66"/>
      <c r="O14" s="66"/>
      <c r="P14" s="218">
        <f t="shared" si="35"/>
        <v>40</v>
      </c>
      <c r="Q14" s="62">
        <f>R10-P14</f>
        <v>136</v>
      </c>
      <c r="R14" s="219" t="str">
        <f t="shared" si="36"/>
        <v>Игумнов</v>
      </c>
      <c r="S14" s="76" t="s">
        <v>10</v>
      </c>
      <c r="T14" s="77" t="s">
        <v>9</v>
      </c>
      <c r="U14" s="73">
        <f t="shared" si="37"/>
        <v>0</v>
      </c>
      <c r="V14" s="62">
        <f t="shared" si="38"/>
        <v>0</v>
      </c>
      <c r="W14" s="62"/>
      <c r="X14" s="79" t="s">
        <v>34</v>
      </c>
      <c r="Y14" s="7"/>
      <c r="Z14" s="80"/>
      <c r="AA14" s="80"/>
      <c r="AB14" s="13"/>
      <c r="AC14" s="13"/>
      <c r="AD14" s="13"/>
    </row>
    <row r="15" ht="14.4">
      <c r="A15" s="203" t="s">
        <v>40</v>
      </c>
      <c r="B15" s="65" t="s">
        <v>32</v>
      </c>
      <c r="C15" s="65" t="s">
        <v>33</v>
      </c>
      <c r="D15" s="65" t="s">
        <v>32</v>
      </c>
      <c r="E15" s="65" t="s">
        <v>33</v>
      </c>
      <c r="F15" s="65" t="s">
        <v>32</v>
      </c>
      <c r="G15" s="65" t="s">
        <v>33</v>
      </c>
      <c r="H15" s="65" t="s">
        <v>32</v>
      </c>
      <c r="I15" s="65" t="s">
        <v>33</v>
      </c>
      <c r="J15" s="65" t="s">
        <v>32</v>
      </c>
      <c r="K15" s="65" t="s">
        <v>33</v>
      </c>
      <c r="L15" s="66"/>
      <c r="M15" s="66"/>
      <c r="N15" s="66"/>
      <c r="O15" s="66"/>
      <c r="P15" s="218">
        <f t="shared" si="35"/>
        <v>40</v>
      </c>
      <c r="Q15" s="62">
        <f>R10-P15</f>
        <v>136</v>
      </c>
      <c r="R15" s="219" t="str">
        <f t="shared" si="36"/>
        <v>Душин</v>
      </c>
      <c r="S15" s="76" t="s">
        <v>10</v>
      </c>
      <c r="T15" s="77" t="s">
        <v>9</v>
      </c>
      <c r="U15" s="73">
        <f t="shared" si="37"/>
        <v>0</v>
      </c>
      <c r="V15" s="62">
        <f t="shared" si="38"/>
        <v>0</v>
      </c>
      <c r="W15" s="62"/>
      <c r="X15" s="74" t="s">
        <v>38</v>
      </c>
      <c r="Y15" s="80"/>
      <c r="Z15" s="80"/>
      <c r="AA15" s="80"/>
      <c r="AB15" s="13"/>
      <c r="AC15" s="13"/>
      <c r="AD15" s="13"/>
    </row>
    <row r="16" ht="14.4">
      <c r="A16" s="203" t="s">
        <v>42</v>
      </c>
      <c r="B16" s="65" t="s">
        <v>54</v>
      </c>
      <c r="C16" s="260" t="s">
        <v>33</v>
      </c>
      <c r="D16" s="65" t="s">
        <v>54</v>
      </c>
      <c r="E16" s="260" t="s">
        <v>33</v>
      </c>
      <c r="F16" s="65" t="s">
        <v>54</v>
      </c>
      <c r="G16" s="260" t="s">
        <v>33</v>
      </c>
      <c r="H16" s="65" t="s">
        <v>54</v>
      </c>
      <c r="I16" s="260" t="s">
        <v>33</v>
      </c>
      <c r="J16" s="65" t="s">
        <v>54</v>
      </c>
      <c r="K16" s="260" t="s">
        <v>33</v>
      </c>
      <c r="L16" s="66"/>
      <c r="M16" s="66"/>
      <c r="N16" s="66"/>
      <c r="O16" s="66"/>
      <c r="P16" s="218">
        <f t="shared" si="35"/>
        <v>40</v>
      </c>
      <c r="Q16" s="62">
        <f>R10-P16</f>
        <v>136</v>
      </c>
      <c r="R16" s="219" t="str">
        <f t="shared" si="36"/>
        <v>Юращик</v>
      </c>
      <c r="S16" s="76" t="s">
        <v>10</v>
      </c>
      <c r="T16" s="77" t="s">
        <v>9</v>
      </c>
      <c r="U16" s="73">
        <f t="shared" si="37"/>
        <v>0</v>
      </c>
      <c r="V16" s="62">
        <f t="shared" si="38"/>
        <v>0</v>
      </c>
      <c r="W16" s="62"/>
      <c r="X16" s="74" t="s">
        <v>38</v>
      </c>
      <c r="Y16" s="80"/>
      <c r="Z16" s="80"/>
      <c r="AA16" s="80"/>
      <c r="AB16" s="13"/>
      <c r="AC16" s="13"/>
      <c r="AD16" s="13"/>
    </row>
    <row r="17" ht="14.4">
      <c r="A17" s="204" t="s">
        <v>43</v>
      </c>
      <c r="B17" s="71"/>
      <c r="C17" s="173"/>
      <c r="D17" s="67"/>
      <c r="E17" s="261"/>
      <c r="F17" s="67"/>
      <c r="G17" s="67"/>
      <c r="H17" s="72"/>
      <c r="I17" s="83"/>
      <c r="J17" s="72"/>
      <c r="K17" s="83"/>
      <c r="L17" s="200"/>
      <c r="M17" s="66"/>
      <c r="N17" s="66"/>
      <c r="O17" s="66"/>
      <c r="P17" s="218">
        <f t="shared" si="35"/>
        <v>0</v>
      </c>
      <c r="Q17" s="62">
        <f>U10-P17</f>
        <v>176</v>
      </c>
      <c r="R17" s="219" t="s">
        <v>43</v>
      </c>
      <c r="S17" s="149" t="s">
        <v>12</v>
      </c>
      <c r="T17" s="262" t="s">
        <v>11</v>
      </c>
      <c r="U17" s="73">
        <f t="shared" si="37"/>
        <v>0</v>
      </c>
      <c r="V17" s="227">
        <f t="shared" si="38"/>
        <v>0</v>
      </c>
      <c r="W17" s="62"/>
      <c r="X17" s="74" t="s">
        <v>44</v>
      </c>
      <c r="Y17" s="80"/>
      <c r="Z17" s="80"/>
      <c r="AA17" s="80"/>
      <c r="AB17" s="13"/>
      <c r="AC17" s="13"/>
      <c r="AD17" s="13"/>
    </row>
    <row r="18" ht="14.4">
      <c r="A18" s="205" t="s">
        <v>45</v>
      </c>
      <c r="B18" s="66"/>
      <c r="C18" s="66"/>
      <c r="D18" s="251"/>
      <c r="E18" s="83"/>
      <c r="F18" s="77"/>
      <c r="G18" s="83"/>
      <c r="H18" s="87"/>
      <c r="I18" s="87"/>
      <c r="J18" s="87"/>
      <c r="K18" s="87"/>
      <c r="L18" s="251"/>
      <c r="M18" s="83"/>
      <c r="N18" s="251"/>
      <c r="O18" s="83"/>
      <c r="P18" s="218">
        <f t="shared" si="35"/>
        <v>0</v>
      </c>
      <c r="Q18" s="62">
        <f>U10-P18</f>
        <v>176</v>
      </c>
      <c r="R18" s="219" t="str">
        <f t="shared" si="36"/>
        <v>Пузырь</v>
      </c>
      <c r="S18" s="76" t="s">
        <v>10</v>
      </c>
      <c r="T18" s="77" t="s">
        <v>9</v>
      </c>
      <c r="U18" s="73">
        <f t="shared" si="37"/>
        <v>0</v>
      </c>
      <c r="V18" s="62">
        <f t="shared" si="38"/>
        <v>0</v>
      </c>
      <c r="W18" s="62"/>
      <c r="X18" s="74" t="s">
        <v>34</v>
      </c>
      <c r="Y18" s="80"/>
      <c r="Z18" s="80"/>
      <c r="AA18" s="80"/>
      <c r="AB18" s="13"/>
      <c r="AC18" s="13"/>
      <c r="AD18" s="13"/>
    </row>
    <row r="19" ht="14.4">
      <c r="A19" s="205" t="s">
        <v>46</v>
      </c>
      <c r="B19" s="71"/>
      <c r="C19" s="76"/>
      <c r="D19" s="67"/>
      <c r="E19" s="67"/>
      <c r="F19" s="87"/>
      <c r="G19" s="87"/>
      <c r="H19" s="173"/>
      <c r="I19" s="263"/>
      <c r="J19" s="76"/>
      <c r="K19" s="78"/>
      <c r="L19" s="82"/>
      <c r="M19" s="82"/>
      <c r="N19" s="87"/>
      <c r="O19" s="87"/>
      <c r="P19" s="218">
        <f t="shared" si="35"/>
        <v>0</v>
      </c>
      <c r="Q19" s="62">
        <f>U10-P19</f>
        <v>176</v>
      </c>
      <c r="R19" s="219" t="str">
        <f t="shared" si="36"/>
        <v>Голышев</v>
      </c>
      <c r="S19" s="76" t="s">
        <v>10</v>
      </c>
      <c r="T19" s="77" t="s">
        <v>9</v>
      </c>
      <c r="U19" s="73">
        <f>COUNTIF(T19,B19)+COUNTIF(T19,D19)+COUNTIF(T19,F19)+COUNTIF(T19,H19)+COUNTIF(T19,J19)+COUNTIF(T19,L19)+COUNTIF(T19,#REF!)</f>
        <v>0</v>
      </c>
      <c r="V19" s="62">
        <f>COUNTIF(S19,B19)+COUNTIF(S19,D19)+COUNTIF(S19,F19)+COUNTIF(S19,H19)+COUNTIF(S19,J19)+COUNTIF(S19,L19)+COUNTIF(S19,#REF!)</f>
        <v>0</v>
      </c>
      <c r="W19" s="62"/>
      <c r="X19" s="74" t="s">
        <v>34</v>
      </c>
      <c r="Y19" s="80"/>
      <c r="Z19" s="7"/>
      <c r="AA19" s="7"/>
      <c r="AB19" s="13"/>
      <c r="AC19" s="13"/>
      <c r="AD19" s="13"/>
    </row>
    <row r="20" ht="14.4">
      <c r="A20" s="205" t="s">
        <v>47</v>
      </c>
      <c r="B20" s="77"/>
      <c r="C20" s="77"/>
      <c r="D20" s="251"/>
      <c r="E20" s="77"/>
      <c r="F20" s="87"/>
      <c r="G20" s="87"/>
      <c r="H20" s="67"/>
      <c r="I20" s="67"/>
      <c r="J20" s="66"/>
      <c r="K20" s="66"/>
      <c r="L20" s="264"/>
      <c r="M20" s="243"/>
      <c r="N20" s="264"/>
      <c r="O20" s="265"/>
      <c r="P20" s="218">
        <f>C20+E20+G20+I20+K20+M20+O19</f>
        <v>0</v>
      </c>
      <c r="Q20" s="62">
        <f>U10-P20</f>
        <v>176</v>
      </c>
      <c r="R20" s="219" t="str">
        <f t="shared" si="36"/>
        <v>Торубара</v>
      </c>
      <c r="S20" s="76" t="s">
        <v>10</v>
      </c>
      <c r="T20" s="77" t="s">
        <v>9</v>
      </c>
      <c r="U20" s="73">
        <f>COUNTIF(T20,B20)+COUNTIF(T20,D20)+COUNTIF(T20,F20)+COUNTIF(T20,H20)+COUNTIF(T20,J20)+COUNTIF(T20,L20)+COUNTIF(T20,N19)</f>
        <v>0</v>
      </c>
      <c r="V20" s="62">
        <f>COUNTIF(S20,B20)+COUNTIF(S20,D20)+COUNTIF(S20,F20)+COUNTIF(S20,H20)+COUNTIF(S20,J20)+COUNTIF(S20,L20)+COUNTIF(S20,N19)</f>
        <v>0</v>
      </c>
      <c r="W20" s="62"/>
      <c r="X20" s="74" t="s">
        <v>34</v>
      </c>
      <c r="Y20" s="7"/>
      <c r="Z20" s="7"/>
      <c r="AA20" s="7"/>
      <c r="AB20" s="13"/>
      <c r="AC20" s="13"/>
      <c r="AD20" s="13"/>
    </row>
    <row r="21" ht="14.4">
      <c r="A21" s="205" t="s">
        <v>48</v>
      </c>
      <c r="B21" s="66"/>
      <c r="C21" s="66"/>
      <c r="D21" s="71"/>
      <c r="E21" s="78"/>
      <c r="F21" s="71"/>
      <c r="G21" s="78"/>
      <c r="H21" s="67"/>
      <c r="I21" s="66"/>
      <c r="J21" s="266"/>
      <c r="K21" s="83"/>
      <c r="L21" s="262"/>
      <c r="M21" s="83"/>
      <c r="N21" s="87"/>
      <c r="O21" s="87"/>
      <c r="P21" s="218">
        <f t="shared" si="35"/>
        <v>0</v>
      </c>
      <c r="Q21" s="62">
        <f>U10-P21</f>
        <v>176</v>
      </c>
      <c r="R21" s="219" t="str">
        <f t="shared" si="36"/>
        <v>Стрыгин</v>
      </c>
      <c r="S21" s="71" t="s">
        <v>8</v>
      </c>
      <c r="T21" s="72" t="s">
        <v>7</v>
      </c>
      <c r="U21" s="73">
        <f t="shared" si="37"/>
        <v>0</v>
      </c>
      <c r="V21" s="62">
        <f t="shared" si="38"/>
        <v>0</v>
      </c>
      <c r="W21" s="62"/>
      <c r="X21" s="74" t="s">
        <v>49</v>
      </c>
      <c r="Y21" s="7"/>
      <c r="Z21" s="7"/>
      <c r="AA21" s="7"/>
      <c r="AB21" s="13"/>
      <c r="AC21" s="13"/>
      <c r="AD21" s="13"/>
    </row>
    <row r="22" ht="14.4">
      <c r="A22" s="205" t="s">
        <v>50</v>
      </c>
      <c r="B22" s="262"/>
      <c r="C22" s="83"/>
      <c r="D22" s="66"/>
      <c r="E22" s="66"/>
      <c r="F22" s="262"/>
      <c r="G22" s="156"/>
      <c r="H22" s="262"/>
      <c r="I22" s="156"/>
      <c r="J22" s="87"/>
      <c r="K22" s="87"/>
      <c r="L22" s="82"/>
      <c r="M22" s="82"/>
      <c r="N22" s="266"/>
      <c r="O22" s="174"/>
      <c r="P22" s="218">
        <f t="shared" si="35"/>
        <v>0</v>
      </c>
      <c r="Q22" s="62">
        <f>U10-P22</f>
        <v>176</v>
      </c>
      <c r="R22" s="219" t="str">
        <f t="shared" si="36"/>
        <v>Фрик</v>
      </c>
      <c r="S22" s="71" t="s">
        <v>12</v>
      </c>
      <c r="T22" s="72" t="s">
        <v>11</v>
      </c>
      <c r="U22" s="73">
        <v>2</v>
      </c>
      <c r="V22" s="62">
        <f t="shared" si="38"/>
        <v>0</v>
      </c>
      <c r="W22" s="62"/>
      <c r="X22" s="74" t="s">
        <v>44</v>
      </c>
      <c r="Y22" s="7"/>
      <c r="Z22" s="7"/>
      <c r="AA22" s="7"/>
      <c r="AB22" s="13"/>
      <c r="AC22" s="13"/>
      <c r="AD22" s="13"/>
    </row>
    <row r="23" ht="14.4">
      <c r="A23" s="206" t="s">
        <v>51</v>
      </c>
      <c r="B23" s="66"/>
      <c r="C23" s="66"/>
      <c r="D23" s="71"/>
      <c r="E23" s="78"/>
      <c r="F23" s="71"/>
      <c r="G23" s="76"/>
      <c r="H23" s="67"/>
      <c r="I23" s="67"/>
      <c r="J23" s="71"/>
      <c r="K23" s="265"/>
      <c r="L23" s="71"/>
      <c r="M23" s="243"/>
      <c r="N23" s="71"/>
      <c r="O23" s="243"/>
      <c r="P23" s="218">
        <f t="shared" si="35"/>
        <v>0</v>
      </c>
      <c r="Q23" s="62">
        <f>U10-P23</f>
        <v>176</v>
      </c>
      <c r="R23" s="219" t="str">
        <f t="shared" si="36"/>
        <v>Истрашкин</v>
      </c>
      <c r="S23" s="71" t="s">
        <v>10</v>
      </c>
      <c r="T23" s="72" t="s">
        <v>9</v>
      </c>
      <c r="U23" s="73">
        <f t="shared" si="37"/>
        <v>0</v>
      </c>
      <c r="V23" s="62">
        <f t="shared" si="38"/>
        <v>0</v>
      </c>
      <c r="W23" s="50"/>
      <c r="X23" s="74" t="s">
        <v>34</v>
      </c>
      <c r="Y23" s="7"/>
      <c r="Z23" s="7"/>
      <c r="AA23" s="7"/>
      <c r="AB23" s="13"/>
      <c r="AC23" s="13"/>
      <c r="AD23" s="13"/>
    </row>
    <row r="24" ht="14.4">
      <c r="A24" s="207"/>
      <c r="B24" s="53">
        <v>46265</v>
      </c>
      <c r="C24" s="53"/>
      <c r="D24" s="53">
        <v>46266</v>
      </c>
      <c r="E24" s="53"/>
      <c r="F24" s="53">
        <v>46267</v>
      </c>
      <c r="G24" s="53"/>
      <c r="H24" s="53">
        <v>46268</v>
      </c>
      <c r="I24" s="53"/>
      <c r="J24" s="53">
        <v>46269</v>
      </c>
      <c r="K24" s="53"/>
      <c r="L24" s="53">
        <v>46270</v>
      </c>
      <c r="M24" s="53"/>
      <c r="N24" s="53">
        <v>46271</v>
      </c>
      <c r="O24" s="212"/>
      <c r="P24" s="232"/>
      <c r="Q24" s="233"/>
      <c r="R24" s="49"/>
      <c r="S24" s="161"/>
      <c r="T24" s="161"/>
      <c r="U24" s="60" t="s">
        <v>27</v>
      </c>
      <c r="V24" s="61" t="s">
        <v>28</v>
      </c>
      <c r="W24" s="62" t="s">
        <v>29</v>
      </c>
      <c r="X24" s="96"/>
      <c r="Y24" s="7"/>
      <c r="Z24" s="7"/>
      <c r="AA24" s="7"/>
      <c r="AB24" s="13"/>
      <c r="AC24" s="13"/>
      <c r="AD24" s="13"/>
    </row>
    <row r="25" ht="14.4">
      <c r="A25" s="162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4"/>
      <c r="R25" s="165"/>
      <c r="S25" s="165"/>
      <c r="T25" s="165"/>
      <c r="U25" s="100"/>
      <c r="V25" s="100"/>
      <c r="W25" s="100"/>
      <c r="X25" s="7"/>
      <c r="Y25" s="7"/>
      <c r="Z25" s="7"/>
      <c r="AA25" s="7"/>
      <c r="AB25" s="13"/>
      <c r="AC25" s="13"/>
      <c r="AD25" s="13"/>
    </row>
    <row r="26" ht="14.4">
      <c r="A26" s="165"/>
      <c r="B26" s="167" t="s">
        <v>17</v>
      </c>
      <c r="C26" s="167"/>
      <c r="D26" s="167" t="s">
        <v>18</v>
      </c>
      <c r="E26" s="167"/>
      <c r="F26" s="167" t="s">
        <v>19</v>
      </c>
      <c r="G26" s="167"/>
      <c r="H26" s="167" t="s">
        <v>20</v>
      </c>
      <c r="I26" s="167"/>
      <c r="J26" s="168" t="s">
        <v>21</v>
      </c>
      <c r="K26" s="168"/>
      <c r="L26" s="167" t="s">
        <v>22</v>
      </c>
      <c r="M26" s="167"/>
      <c r="N26" s="167" t="s">
        <v>23</v>
      </c>
      <c r="O26" s="167"/>
      <c r="P26" s="234" t="s">
        <v>24</v>
      </c>
      <c r="Q26" s="235"/>
      <c r="R26" s="165"/>
      <c r="S26" s="165"/>
      <c r="T26" s="165"/>
      <c r="U26" s="100"/>
      <c r="V26" s="100"/>
      <c r="W26" s="100"/>
      <c r="X26" s="51"/>
      <c r="Y26" s="7"/>
      <c r="Z26" s="7"/>
      <c r="AA26" s="7"/>
      <c r="AB26" s="13"/>
      <c r="AC26" s="13"/>
      <c r="AD26" s="13"/>
    </row>
    <row r="27" ht="14.4">
      <c r="A27" s="166"/>
      <c r="B27" s="210">
        <v>46272</v>
      </c>
      <c r="C27" s="211"/>
      <c r="D27" s="210">
        <v>46273</v>
      </c>
      <c r="E27" s="211"/>
      <c r="F27" s="210">
        <v>46274</v>
      </c>
      <c r="G27" s="211"/>
      <c r="H27" s="210">
        <v>46275</v>
      </c>
      <c r="I27" s="211"/>
      <c r="J27" s="210">
        <v>46276</v>
      </c>
      <c r="K27" s="211"/>
      <c r="L27" s="210">
        <v>46277</v>
      </c>
      <c r="M27" s="211"/>
      <c r="N27" s="210">
        <v>46278</v>
      </c>
      <c r="O27" s="212"/>
      <c r="P27" s="236" t="s">
        <v>25</v>
      </c>
      <c r="Q27" s="237" t="s">
        <v>26</v>
      </c>
      <c r="R27" s="238"/>
      <c r="S27" s="239"/>
      <c r="T27" s="239"/>
      <c r="U27" s="15" t="s">
        <v>27</v>
      </c>
      <c r="V27" s="106" t="s">
        <v>28</v>
      </c>
      <c r="W27" s="100" t="s">
        <v>29</v>
      </c>
      <c r="X27" s="63" t="s">
        <v>30</v>
      </c>
      <c r="Y27" s="7"/>
      <c r="Z27" s="7"/>
      <c r="AA27" s="7"/>
      <c r="AB27" s="13"/>
      <c r="AC27" s="13"/>
      <c r="AD27" s="13"/>
    </row>
    <row r="28" ht="14.4">
      <c r="A28" s="203" t="s">
        <v>31</v>
      </c>
      <c r="B28" s="65" t="s">
        <v>32</v>
      </c>
      <c r="C28" s="65" t="s">
        <v>33</v>
      </c>
      <c r="D28" s="65" t="s">
        <v>32</v>
      </c>
      <c r="E28" s="65" t="s">
        <v>33</v>
      </c>
      <c r="F28" s="65" t="s">
        <v>32</v>
      </c>
      <c r="G28" s="65" t="s">
        <v>33</v>
      </c>
      <c r="H28" s="65" t="s">
        <v>32</v>
      </c>
      <c r="I28" s="65" t="s">
        <v>33</v>
      </c>
      <c r="J28" s="65" t="s">
        <v>32</v>
      </c>
      <c r="K28" s="65" t="s">
        <v>33</v>
      </c>
      <c r="L28" s="67"/>
      <c r="M28" s="67"/>
      <c r="N28" s="67"/>
      <c r="O28" s="67"/>
      <c r="P28" s="218">
        <f t="shared" si="35"/>
        <v>40</v>
      </c>
      <c r="Q28" s="62">
        <f t="shared" ref="Q28:Q47" si="39">Q12-P28</f>
        <v>96</v>
      </c>
      <c r="R28" s="219" t="str">
        <f t="shared" si="36"/>
        <v>Нетронин</v>
      </c>
      <c r="S28" s="71" t="s">
        <v>10</v>
      </c>
      <c r="T28" s="72" t="s">
        <v>9</v>
      </c>
      <c r="U28" s="73">
        <v>0</v>
      </c>
      <c r="V28" s="62">
        <v>0</v>
      </c>
      <c r="W28" s="62"/>
      <c r="X28" s="74" t="s">
        <v>34</v>
      </c>
      <c r="Y28" s="7"/>
      <c r="Z28" s="7"/>
      <c r="AA28" s="7"/>
      <c r="AB28" s="13"/>
      <c r="AC28" s="13"/>
      <c r="AD28" s="13"/>
    </row>
    <row r="29" ht="14.4">
      <c r="A29" s="267" t="s">
        <v>35</v>
      </c>
      <c r="B29" s="65" t="s">
        <v>32</v>
      </c>
      <c r="C29" s="65" t="s">
        <v>33</v>
      </c>
      <c r="D29" s="65" t="s">
        <v>32</v>
      </c>
      <c r="E29" s="65" t="s">
        <v>33</v>
      </c>
      <c r="F29" s="65" t="s">
        <v>32</v>
      </c>
      <c r="G29" s="65" t="s">
        <v>33</v>
      </c>
      <c r="H29" s="65" t="s">
        <v>32</v>
      </c>
      <c r="I29" s="65" t="s">
        <v>33</v>
      </c>
      <c r="J29" s="65" t="s">
        <v>32</v>
      </c>
      <c r="K29" s="65" t="s">
        <v>33</v>
      </c>
      <c r="L29" s="66"/>
      <c r="M29" s="66"/>
      <c r="N29" s="66"/>
      <c r="O29" s="66"/>
      <c r="P29" s="218">
        <f t="shared" si="35"/>
        <v>40</v>
      </c>
      <c r="Q29" s="62">
        <f t="shared" si="39"/>
        <v>96</v>
      </c>
      <c r="R29" s="219" t="str">
        <f t="shared" si="36"/>
        <v>Рычков</v>
      </c>
      <c r="S29" s="76" t="s">
        <v>10</v>
      </c>
      <c r="T29" s="77" t="s">
        <v>9</v>
      </c>
      <c r="U29" s="73">
        <f t="shared" si="37"/>
        <v>0</v>
      </c>
      <c r="V29" s="62">
        <f t="shared" si="38"/>
        <v>0</v>
      </c>
      <c r="W29" s="62"/>
      <c r="X29" s="74" t="s">
        <v>34</v>
      </c>
      <c r="Y29" s="7"/>
      <c r="Z29" s="7"/>
      <c r="AA29" s="7"/>
      <c r="AB29" s="13"/>
      <c r="AC29" s="13"/>
      <c r="AD29" s="13"/>
    </row>
    <row r="30" ht="14.4">
      <c r="A30" s="64" t="s">
        <v>39</v>
      </c>
      <c r="B30" s="65" t="s">
        <v>32</v>
      </c>
      <c r="C30" s="65" t="s">
        <v>33</v>
      </c>
      <c r="D30" s="65" t="s">
        <v>32</v>
      </c>
      <c r="E30" s="65" t="s">
        <v>33</v>
      </c>
      <c r="F30" s="65" t="s">
        <v>32</v>
      </c>
      <c r="G30" s="65" t="s">
        <v>33</v>
      </c>
      <c r="H30" s="65" t="s">
        <v>32</v>
      </c>
      <c r="I30" s="65" t="s">
        <v>33</v>
      </c>
      <c r="J30" s="65" t="s">
        <v>32</v>
      </c>
      <c r="K30" s="65" t="s">
        <v>33</v>
      </c>
      <c r="L30" s="66"/>
      <c r="M30" s="66"/>
      <c r="N30" s="66"/>
      <c r="O30" s="66"/>
      <c r="P30" s="218">
        <f t="shared" si="35"/>
        <v>40</v>
      </c>
      <c r="Q30" s="62">
        <f t="shared" si="39"/>
        <v>96</v>
      </c>
      <c r="R30" s="219" t="str">
        <f t="shared" si="36"/>
        <v>Игумнов</v>
      </c>
      <c r="S30" s="76" t="s">
        <v>10</v>
      </c>
      <c r="T30" s="77" t="s">
        <v>9</v>
      </c>
      <c r="U30" s="73">
        <f t="shared" si="37"/>
        <v>0</v>
      </c>
      <c r="V30" s="62">
        <f t="shared" si="38"/>
        <v>0</v>
      </c>
      <c r="W30" s="62"/>
      <c r="X30" s="79" t="s">
        <v>34</v>
      </c>
      <c r="Y30" s="7"/>
      <c r="Z30" s="80"/>
      <c r="AA30" s="80"/>
      <c r="AB30" s="13"/>
      <c r="AC30" s="13"/>
      <c r="AD30" s="13"/>
    </row>
    <row r="31" ht="14.4">
      <c r="A31" s="64" t="s">
        <v>40</v>
      </c>
      <c r="B31" s="122"/>
      <c r="C31" s="122" t="s">
        <v>33</v>
      </c>
      <c r="D31" s="122"/>
      <c r="E31" s="122" t="s">
        <v>33</v>
      </c>
      <c r="F31" s="122"/>
      <c r="G31" s="122" t="s">
        <v>33</v>
      </c>
      <c r="H31" s="122"/>
      <c r="I31" s="122" t="s">
        <v>33</v>
      </c>
      <c r="J31" s="122"/>
      <c r="K31" s="122" t="s">
        <v>33</v>
      </c>
      <c r="L31" s="122"/>
      <c r="M31" s="122"/>
      <c r="N31" s="122"/>
      <c r="O31" s="122"/>
      <c r="P31" s="218">
        <f t="shared" si="35"/>
        <v>40</v>
      </c>
      <c r="Q31" s="62">
        <f t="shared" si="39"/>
        <v>96</v>
      </c>
      <c r="R31" s="219" t="str">
        <f t="shared" si="36"/>
        <v>Душин</v>
      </c>
      <c r="S31" s="76" t="s">
        <v>10</v>
      </c>
      <c r="T31" s="77" t="s">
        <v>9</v>
      </c>
      <c r="U31" s="73">
        <f t="shared" si="37"/>
        <v>0</v>
      </c>
      <c r="V31" s="62">
        <f t="shared" si="38"/>
        <v>0</v>
      </c>
      <c r="W31" s="62"/>
      <c r="X31" s="74" t="s">
        <v>38</v>
      </c>
      <c r="Y31" s="80"/>
      <c r="Z31" s="80"/>
      <c r="AA31" s="80"/>
      <c r="AB31" s="13"/>
      <c r="AC31" s="13"/>
      <c r="AD31" s="13"/>
    </row>
    <row r="32" ht="14.4">
      <c r="A32" s="64" t="s">
        <v>42</v>
      </c>
      <c r="B32" s="65" t="s">
        <v>54</v>
      </c>
      <c r="C32" s="260" t="s">
        <v>33</v>
      </c>
      <c r="D32" s="65" t="s">
        <v>54</v>
      </c>
      <c r="E32" s="260" t="s">
        <v>33</v>
      </c>
      <c r="F32" s="65" t="s">
        <v>54</v>
      </c>
      <c r="G32" s="260" t="s">
        <v>33</v>
      </c>
      <c r="H32" s="65" t="s">
        <v>54</v>
      </c>
      <c r="I32" s="260" t="s">
        <v>33</v>
      </c>
      <c r="J32" s="65" t="s">
        <v>54</v>
      </c>
      <c r="K32" s="260" t="s">
        <v>33</v>
      </c>
      <c r="L32" s="66"/>
      <c r="M32" s="66"/>
      <c r="N32" s="66"/>
      <c r="O32" s="66"/>
      <c r="P32" s="218">
        <f t="shared" si="35"/>
        <v>40</v>
      </c>
      <c r="Q32" s="62">
        <f t="shared" si="39"/>
        <v>96</v>
      </c>
      <c r="R32" s="219" t="str">
        <f t="shared" si="36"/>
        <v>Юращик</v>
      </c>
      <c r="S32" s="76" t="s">
        <v>10</v>
      </c>
      <c r="T32" s="77" t="s">
        <v>9</v>
      </c>
      <c r="U32" s="73">
        <f t="shared" si="37"/>
        <v>0</v>
      </c>
      <c r="V32" s="62">
        <f t="shared" si="38"/>
        <v>0</v>
      </c>
      <c r="W32" s="62"/>
      <c r="X32" s="74" t="s">
        <v>38</v>
      </c>
      <c r="Y32" s="80"/>
      <c r="Z32" s="80"/>
      <c r="AA32" s="80"/>
      <c r="AB32" s="13"/>
      <c r="AC32" s="13"/>
      <c r="AD32" s="13"/>
    </row>
    <row r="33" ht="14.4">
      <c r="A33" s="204" t="s">
        <v>43</v>
      </c>
      <c r="B33" s="262"/>
      <c r="C33" s="77"/>
      <c r="D33" s="262"/>
      <c r="E33" s="83"/>
      <c r="F33" s="66"/>
      <c r="G33" s="66"/>
      <c r="H33" s="266"/>
      <c r="I33" s="112"/>
      <c r="J33" s="87"/>
      <c r="K33" s="87"/>
      <c r="L33" s="87"/>
      <c r="M33" s="87"/>
      <c r="N33" s="66"/>
      <c r="O33" s="66"/>
      <c r="P33" s="218">
        <f t="shared" si="35"/>
        <v>0</v>
      </c>
      <c r="Q33" s="62">
        <f t="shared" si="39"/>
        <v>176</v>
      </c>
      <c r="R33" s="113" t="s">
        <v>43</v>
      </c>
      <c r="S33" s="149" t="s">
        <v>12</v>
      </c>
      <c r="T33" s="262" t="s">
        <v>11</v>
      </c>
      <c r="U33" s="73">
        <f t="shared" si="37"/>
        <v>0</v>
      </c>
      <c r="V33" s="227">
        <f t="shared" si="38"/>
        <v>0</v>
      </c>
      <c r="W33" s="62"/>
      <c r="X33" s="74" t="s">
        <v>44</v>
      </c>
      <c r="Y33" s="80"/>
      <c r="Z33" s="80"/>
      <c r="AA33" s="80"/>
      <c r="AB33" s="13"/>
      <c r="AC33" s="13"/>
      <c r="AD33" s="13"/>
    </row>
    <row r="34" ht="14.4">
      <c r="A34" s="81" t="s">
        <v>45</v>
      </c>
      <c r="B34" s="87"/>
      <c r="C34" s="87"/>
      <c r="D34" s="87"/>
      <c r="E34" s="87"/>
      <c r="F34" s="251"/>
      <c r="G34" s="83"/>
      <c r="H34" s="77"/>
      <c r="I34" s="83"/>
      <c r="J34" s="87"/>
      <c r="K34" s="87"/>
      <c r="L34" s="87"/>
      <c r="M34" s="87"/>
      <c r="N34" s="268"/>
      <c r="O34" s="225"/>
      <c r="P34" s="218">
        <f t="shared" si="35"/>
        <v>0</v>
      </c>
      <c r="Q34" s="62">
        <f t="shared" si="39"/>
        <v>176</v>
      </c>
      <c r="R34" s="219" t="str">
        <f t="shared" si="36"/>
        <v>Пузырь</v>
      </c>
      <c r="S34" s="76" t="s">
        <v>10</v>
      </c>
      <c r="T34" s="77" t="s">
        <v>9</v>
      </c>
      <c r="U34" s="73">
        <f t="shared" si="37"/>
        <v>0</v>
      </c>
      <c r="V34" s="62">
        <f t="shared" si="38"/>
        <v>0</v>
      </c>
      <c r="W34" s="62"/>
      <c r="X34" s="74" t="s">
        <v>34</v>
      </c>
      <c r="Y34" s="80"/>
      <c r="Z34" s="7"/>
      <c r="AA34" s="7"/>
      <c r="AB34" s="13"/>
      <c r="AC34" s="13"/>
      <c r="AD34" s="13"/>
    </row>
    <row r="35" ht="14.4">
      <c r="A35" s="81" t="s">
        <v>46</v>
      </c>
      <c r="B35" s="268"/>
      <c r="C35" s="76"/>
      <c r="D35" s="268"/>
      <c r="E35" s="78"/>
      <c r="F35" s="66"/>
      <c r="G35" s="66"/>
      <c r="H35" s="87"/>
      <c r="I35" s="87"/>
      <c r="J35" s="251"/>
      <c r="K35" s="269"/>
      <c r="L35" s="77"/>
      <c r="M35" s="77"/>
      <c r="N35" s="67"/>
      <c r="O35" s="67"/>
      <c r="P35" s="218">
        <f t="shared" si="35"/>
        <v>0</v>
      </c>
      <c r="Q35" s="62">
        <f t="shared" si="39"/>
        <v>176</v>
      </c>
      <c r="R35" s="219" t="str">
        <f t="shared" si="36"/>
        <v>Голышев</v>
      </c>
      <c r="S35" s="76" t="s">
        <v>10</v>
      </c>
      <c r="T35" s="77" t="s">
        <v>9</v>
      </c>
      <c r="U35" s="73">
        <f t="shared" si="37"/>
        <v>0</v>
      </c>
      <c r="V35" s="62">
        <f t="shared" si="38"/>
        <v>0</v>
      </c>
      <c r="W35" s="62"/>
      <c r="X35" s="74" t="s">
        <v>34</v>
      </c>
      <c r="Y35" s="80"/>
      <c r="Z35" s="7"/>
      <c r="AA35" s="7"/>
      <c r="AB35" s="13"/>
      <c r="AC35" s="13"/>
      <c r="AD35" s="13"/>
    </row>
    <row r="36" ht="14.4">
      <c r="A36" s="81" t="s">
        <v>47</v>
      </c>
      <c r="B36" s="66"/>
      <c r="C36" s="66"/>
      <c r="D36" s="251"/>
      <c r="E36" s="83"/>
      <c r="F36" s="251"/>
      <c r="G36" s="83"/>
      <c r="H36" s="87"/>
      <c r="I36" s="87"/>
      <c r="J36" s="67"/>
      <c r="K36" s="67"/>
      <c r="L36" s="66"/>
      <c r="M36" s="66"/>
      <c r="N36" s="251"/>
      <c r="O36" s="83"/>
      <c r="P36" s="218">
        <f t="shared" si="35"/>
        <v>0</v>
      </c>
      <c r="Q36" s="62">
        <f t="shared" si="39"/>
        <v>176</v>
      </c>
      <c r="R36" s="219" t="str">
        <f t="shared" si="36"/>
        <v>Торубара</v>
      </c>
      <c r="S36" s="76" t="s">
        <v>10</v>
      </c>
      <c r="T36" s="77" t="s">
        <v>9</v>
      </c>
      <c r="U36" s="73">
        <f t="shared" si="37"/>
        <v>0</v>
      </c>
      <c r="V36" s="62">
        <f t="shared" si="38"/>
        <v>0</v>
      </c>
      <c r="W36" s="62"/>
      <c r="X36" s="74" t="s">
        <v>34</v>
      </c>
      <c r="Y36" s="7"/>
      <c r="Z36" s="7"/>
      <c r="AA36" s="7"/>
      <c r="AB36" s="13"/>
      <c r="AC36" s="13"/>
      <c r="AD36" s="13"/>
    </row>
    <row r="37" ht="14.4">
      <c r="A37" s="81" t="s">
        <v>48</v>
      </c>
      <c r="B37" s="82"/>
      <c r="C37" s="82"/>
      <c r="D37" s="71"/>
      <c r="E37" s="89"/>
      <c r="F37" s="71"/>
      <c r="G37" s="78"/>
      <c r="H37" s="87"/>
      <c r="I37" s="87"/>
      <c r="J37" s="66"/>
      <c r="K37" s="66"/>
      <c r="L37" s="71"/>
      <c r="M37" s="243"/>
      <c r="N37" s="71"/>
      <c r="O37" s="243"/>
      <c r="P37" s="218">
        <f t="shared" si="35"/>
        <v>0</v>
      </c>
      <c r="Q37" s="62">
        <f t="shared" si="39"/>
        <v>176</v>
      </c>
      <c r="R37" s="219" t="str">
        <f t="shared" si="36"/>
        <v>Стрыгин</v>
      </c>
      <c r="S37" s="71" t="s">
        <v>8</v>
      </c>
      <c r="T37" s="72" t="s">
        <v>7</v>
      </c>
      <c r="U37" s="73">
        <f t="shared" si="37"/>
        <v>0</v>
      </c>
      <c r="V37" s="62">
        <f t="shared" si="38"/>
        <v>0</v>
      </c>
      <c r="W37" s="62"/>
      <c r="X37" s="74" t="s">
        <v>49</v>
      </c>
      <c r="Y37" s="7"/>
      <c r="Z37" s="7"/>
      <c r="AA37" s="7"/>
      <c r="AB37" s="13"/>
      <c r="AC37" s="13"/>
      <c r="AD37" s="13"/>
    </row>
    <row r="38" ht="14.4">
      <c r="A38" s="81" t="s">
        <v>50</v>
      </c>
      <c r="B38" s="262"/>
      <c r="C38" s="77"/>
      <c r="D38" s="87"/>
      <c r="E38" s="87"/>
      <c r="F38" s="66"/>
      <c r="G38" s="66"/>
      <c r="H38" s="66"/>
      <c r="I38" s="66"/>
      <c r="J38" s="149"/>
      <c r="K38" s="89"/>
      <c r="L38" s="87"/>
      <c r="M38" s="87"/>
      <c r="N38" s="66"/>
      <c r="O38" s="66"/>
      <c r="P38" s="218">
        <f t="shared" si="35"/>
        <v>0</v>
      </c>
      <c r="Q38" s="62">
        <f t="shared" si="39"/>
        <v>176</v>
      </c>
      <c r="R38" s="219" t="str">
        <f t="shared" si="36"/>
        <v>Фрик</v>
      </c>
      <c r="S38" s="71" t="s">
        <v>12</v>
      </c>
      <c r="T38" s="72" t="s">
        <v>11</v>
      </c>
      <c r="U38" s="73">
        <f t="shared" si="37"/>
        <v>0</v>
      </c>
      <c r="V38" s="62">
        <f t="shared" si="38"/>
        <v>0</v>
      </c>
      <c r="W38" s="62"/>
      <c r="X38" s="74" t="s">
        <v>44</v>
      </c>
      <c r="Y38" s="7"/>
      <c r="Z38" s="7"/>
      <c r="AA38" s="7"/>
      <c r="AB38" s="13"/>
      <c r="AC38" s="13"/>
      <c r="AD38" s="13"/>
    </row>
    <row r="39" ht="14.4">
      <c r="A39" s="88" t="s">
        <v>51</v>
      </c>
      <c r="B39" s="66"/>
      <c r="C39" s="66"/>
      <c r="D39" s="66"/>
      <c r="E39" s="66"/>
      <c r="F39" s="268"/>
      <c r="G39" s="243"/>
      <c r="H39" s="268"/>
      <c r="I39" s="78"/>
      <c r="J39" s="66"/>
      <c r="K39" s="66"/>
      <c r="L39" s="67"/>
      <c r="M39" s="67"/>
      <c r="N39" s="251"/>
      <c r="O39" s="156"/>
      <c r="P39" s="218">
        <f t="shared" si="35"/>
        <v>0</v>
      </c>
      <c r="Q39" s="62">
        <f t="shared" si="39"/>
        <v>176</v>
      </c>
      <c r="R39" s="219" t="str">
        <f t="shared" si="36"/>
        <v>Истрашкин</v>
      </c>
      <c r="S39" s="71" t="s">
        <v>10</v>
      </c>
      <c r="T39" s="72" t="s">
        <v>9</v>
      </c>
      <c r="U39" s="73">
        <f t="shared" si="37"/>
        <v>0</v>
      </c>
      <c r="V39" s="62">
        <f t="shared" si="38"/>
        <v>0</v>
      </c>
      <c r="W39" s="62"/>
      <c r="X39" s="74" t="s">
        <v>34</v>
      </c>
      <c r="Y39" s="7"/>
      <c r="Z39" s="7"/>
      <c r="AA39" s="7"/>
      <c r="AB39" s="13"/>
      <c r="AC39" s="13"/>
      <c r="AD39" s="13"/>
    </row>
    <row r="40" ht="14.4">
      <c r="A40" s="175"/>
      <c r="B40" s="210">
        <v>46272</v>
      </c>
      <c r="C40" s="211"/>
      <c r="D40" s="210">
        <v>46273</v>
      </c>
      <c r="E40" s="211"/>
      <c r="F40" s="210">
        <v>46274</v>
      </c>
      <c r="G40" s="211"/>
      <c r="H40" s="210">
        <v>46275</v>
      </c>
      <c r="I40" s="211"/>
      <c r="J40" s="210">
        <v>46276</v>
      </c>
      <c r="K40" s="211"/>
      <c r="L40" s="210">
        <v>46277</v>
      </c>
      <c r="M40" s="211"/>
      <c r="N40" s="210">
        <v>46278</v>
      </c>
      <c r="O40" s="231"/>
      <c r="P40" s="246"/>
      <c r="Q40" s="247"/>
      <c r="R40" s="245"/>
      <c r="S40" s="178"/>
      <c r="T40" s="178"/>
      <c r="U40" s="100"/>
      <c r="V40" s="100"/>
      <c r="W40" s="100"/>
      <c r="X40" s="7"/>
      <c r="Y40" s="7"/>
      <c r="Z40" s="7"/>
      <c r="AA40" s="7"/>
      <c r="AB40" s="13"/>
      <c r="AC40" s="13"/>
      <c r="AD40" s="13"/>
    </row>
    <row r="41" ht="14.4">
      <c r="A41" s="162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4"/>
      <c r="R41" s="165"/>
      <c r="S41" s="165"/>
      <c r="T41" s="165"/>
      <c r="U41" s="100"/>
      <c r="V41" s="100"/>
      <c r="W41" s="100"/>
      <c r="X41" s="51"/>
      <c r="Y41" s="7"/>
      <c r="Z41" s="7"/>
      <c r="AA41" s="7"/>
      <c r="AB41" s="13"/>
      <c r="AC41" s="13"/>
      <c r="AD41" s="13"/>
    </row>
    <row r="42" ht="14.4">
      <c r="A42" s="143"/>
      <c r="B42" s="43" t="s">
        <v>17</v>
      </c>
      <c r="C42" s="142"/>
      <c r="D42" s="43" t="s">
        <v>18</v>
      </c>
      <c r="E42" s="142"/>
      <c r="F42" s="43" t="s">
        <v>19</v>
      </c>
      <c r="G42" s="43"/>
      <c r="H42" s="43" t="s">
        <v>20</v>
      </c>
      <c r="I42" s="142"/>
      <c r="J42" s="43" t="s">
        <v>21</v>
      </c>
      <c r="K42" s="43"/>
      <c r="L42" s="43" t="s">
        <v>22</v>
      </c>
      <c r="M42" s="43"/>
      <c r="N42" s="43" t="s">
        <v>23</v>
      </c>
      <c r="O42" s="43"/>
      <c r="P42" s="208" t="s">
        <v>24</v>
      </c>
      <c r="Q42" s="209"/>
      <c r="R42" s="143"/>
      <c r="S42" s="143"/>
      <c r="T42" s="143"/>
      <c r="U42" s="62"/>
      <c r="V42" s="62"/>
      <c r="W42" s="62"/>
      <c r="X42" s="63"/>
      <c r="Y42" s="7"/>
      <c r="Z42" s="7"/>
      <c r="AA42" s="7"/>
      <c r="AB42" s="13"/>
      <c r="AC42" s="13"/>
      <c r="AD42" s="13"/>
    </row>
    <row r="43" ht="14.4">
      <c r="A43" s="143"/>
      <c r="B43" s="210">
        <v>46279</v>
      </c>
      <c r="C43" s="211"/>
      <c r="D43" s="210">
        <v>46280</v>
      </c>
      <c r="E43" s="211"/>
      <c r="F43" s="210">
        <v>46281</v>
      </c>
      <c r="G43" s="211"/>
      <c r="H43" s="210">
        <v>46282</v>
      </c>
      <c r="I43" s="211"/>
      <c r="J43" s="210">
        <v>46283</v>
      </c>
      <c r="K43" s="211"/>
      <c r="L43" s="210">
        <v>46284</v>
      </c>
      <c r="M43" s="211"/>
      <c r="N43" s="210">
        <v>46285</v>
      </c>
      <c r="O43" s="212"/>
      <c r="P43" s="213" t="s">
        <v>25</v>
      </c>
      <c r="Q43" s="214" t="s">
        <v>26</v>
      </c>
      <c r="R43" s="249"/>
      <c r="S43" s="147"/>
      <c r="T43" s="147"/>
      <c r="U43" s="60" t="s">
        <v>27</v>
      </c>
      <c r="V43" s="61" t="s">
        <v>28</v>
      </c>
      <c r="W43" s="62" t="s">
        <v>29</v>
      </c>
      <c r="X43" s="63" t="s">
        <v>30</v>
      </c>
      <c r="Y43" s="7"/>
      <c r="Z43" s="7"/>
      <c r="AA43" s="7"/>
      <c r="AB43" s="13"/>
      <c r="AC43" s="13"/>
      <c r="AD43" s="13"/>
    </row>
    <row r="44" ht="14.4">
      <c r="A44" s="203" t="s">
        <v>31</v>
      </c>
      <c r="B44" s="65" t="s">
        <v>32</v>
      </c>
      <c r="C44" s="65" t="s">
        <v>33</v>
      </c>
      <c r="D44" s="65" t="s">
        <v>32</v>
      </c>
      <c r="E44" s="65" t="s">
        <v>33</v>
      </c>
      <c r="F44" s="65" t="s">
        <v>32</v>
      </c>
      <c r="G44" s="65" t="s">
        <v>33</v>
      </c>
      <c r="H44" s="65" t="s">
        <v>32</v>
      </c>
      <c r="I44" s="65" t="s">
        <v>33</v>
      </c>
      <c r="J44" s="65" t="s">
        <v>32</v>
      </c>
      <c r="K44" s="65" t="s">
        <v>33</v>
      </c>
      <c r="L44" s="67"/>
      <c r="M44" s="67"/>
      <c r="N44" s="67"/>
      <c r="O44" s="67"/>
      <c r="P44" s="218">
        <f t="shared" si="35"/>
        <v>40</v>
      </c>
      <c r="Q44" s="62">
        <f t="shared" si="39"/>
        <v>56</v>
      </c>
      <c r="R44" s="219" t="str">
        <f t="shared" si="36"/>
        <v>Нетронин</v>
      </c>
      <c r="S44" s="71" t="s">
        <v>10</v>
      </c>
      <c r="T44" s="72" t="s">
        <v>9</v>
      </c>
      <c r="U44" s="73">
        <f t="shared" si="37"/>
        <v>0</v>
      </c>
      <c r="V44" s="62">
        <f t="shared" si="38"/>
        <v>0</v>
      </c>
      <c r="W44" s="62"/>
      <c r="X44" s="74" t="s">
        <v>34</v>
      </c>
      <c r="Y44" s="7"/>
      <c r="Z44" s="7"/>
      <c r="AA44" s="7"/>
      <c r="AB44" s="13"/>
      <c r="AC44" s="13"/>
      <c r="AD44" s="13"/>
    </row>
    <row r="45" ht="14.4">
      <c r="A45" s="203" t="s">
        <v>35</v>
      </c>
      <c r="B45" s="148" t="s">
        <v>32</v>
      </c>
      <c r="C45" s="148" t="s">
        <v>33</v>
      </c>
      <c r="D45" s="148" t="s">
        <v>32</v>
      </c>
      <c r="E45" s="148" t="s">
        <v>33</v>
      </c>
      <c r="F45" s="270" t="s">
        <v>32</v>
      </c>
      <c r="G45" s="148" t="s">
        <v>33</v>
      </c>
      <c r="H45" s="122"/>
      <c r="I45" s="122" t="s">
        <v>33</v>
      </c>
      <c r="J45" s="122"/>
      <c r="K45" s="122" t="s">
        <v>33</v>
      </c>
      <c r="L45" s="122"/>
      <c r="M45" s="122"/>
      <c r="N45" s="122"/>
      <c r="O45" s="122"/>
      <c r="P45" s="218">
        <f t="shared" si="35"/>
        <v>40</v>
      </c>
      <c r="Q45" s="62">
        <f t="shared" si="39"/>
        <v>56</v>
      </c>
      <c r="R45" s="219" t="str">
        <f t="shared" si="36"/>
        <v>Рычков</v>
      </c>
      <c r="S45" s="76" t="s">
        <v>10</v>
      </c>
      <c r="T45" s="77" t="s">
        <v>9</v>
      </c>
      <c r="U45" s="73">
        <f t="shared" si="37"/>
        <v>0</v>
      </c>
      <c r="V45" s="62">
        <f t="shared" si="38"/>
        <v>0</v>
      </c>
      <c r="W45" s="62"/>
      <c r="X45" s="74" t="s">
        <v>34</v>
      </c>
      <c r="Y45" s="7"/>
      <c r="Z45" s="7"/>
      <c r="AA45" s="7"/>
      <c r="AB45" s="13"/>
      <c r="AC45" s="13"/>
      <c r="AD45" s="13"/>
    </row>
    <row r="46" ht="14.4">
      <c r="A46" s="203" t="s">
        <v>39</v>
      </c>
      <c r="B46" s="65" t="s">
        <v>32</v>
      </c>
      <c r="C46" s="65" t="s">
        <v>33</v>
      </c>
      <c r="D46" s="65" t="s">
        <v>32</v>
      </c>
      <c r="E46" s="65" t="s">
        <v>33</v>
      </c>
      <c r="F46" s="65" t="s">
        <v>32</v>
      </c>
      <c r="G46" s="65" t="s">
        <v>33</v>
      </c>
      <c r="H46" s="65" t="s">
        <v>32</v>
      </c>
      <c r="I46" s="65" t="s">
        <v>33</v>
      </c>
      <c r="J46" s="65" t="s">
        <v>32</v>
      </c>
      <c r="K46" s="65" t="s">
        <v>33</v>
      </c>
      <c r="L46" s="66"/>
      <c r="M46" s="66"/>
      <c r="N46" s="66"/>
      <c r="O46" s="66"/>
      <c r="P46" s="218">
        <f t="shared" si="35"/>
        <v>40</v>
      </c>
      <c r="Q46" s="62">
        <f t="shared" si="39"/>
        <v>56</v>
      </c>
      <c r="R46" s="219" t="str">
        <f t="shared" si="36"/>
        <v>Игумнов</v>
      </c>
      <c r="S46" s="76" t="s">
        <v>10</v>
      </c>
      <c r="T46" s="77" t="s">
        <v>9</v>
      </c>
      <c r="U46" s="73">
        <f t="shared" si="37"/>
        <v>0</v>
      </c>
      <c r="V46" s="62">
        <f t="shared" si="38"/>
        <v>0</v>
      </c>
      <c r="W46" s="62"/>
      <c r="X46" s="79" t="s">
        <v>34</v>
      </c>
      <c r="Y46" s="7"/>
      <c r="Z46" s="7"/>
      <c r="AA46" s="7"/>
      <c r="AB46" s="13"/>
      <c r="AC46" s="13"/>
      <c r="AD46" s="13"/>
    </row>
    <row r="47" ht="14.4">
      <c r="A47" s="271" t="s">
        <v>40</v>
      </c>
      <c r="B47" s="122"/>
      <c r="C47" s="122" t="s">
        <v>33</v>
      </c>
      <c r="D47" s="122"/>
      <c r="E47" s="122" t="s">
        <v>33</v>
      </c>
      <c r="F47" s="122"/>
      <c r="G47" s="122" t="s">
        <v>33</v>
      </c>
      <c r="H47" s="122"/>
      <c r="I47" s="122" t="s">
        <v>33</v>
      </c>
      <c r="J47" s="122"/>
      <c r="K47" s="122" t="s">
        <v>33</v>
      </c>
      <c r="L47" s="122"/>
      <c r="M47" s="122"/>
      <c r="N47" s="122"/>
      <c r="O47" s="122"/>
      <c r="P47" s="218">
        <f t="shared" si="35"/>
        <v>40</v>
      </c>
      <c r="Q47" s="62">
        <f t="shared" si="39"/>
        <v>56</v>
      </c>
      <c r="R47" s="219" t="str">
        <f t="shared" si="36"/>
        <v>Душин</v>
      </c>
      <c r="S47" s="76" t="s">
        <v>10</v>
      </c>
      <c r="T47" s="77" t="s">
        <v>9</v>
      </c>
      <c r="U47" s="73">
        <f t="shared" si="37"/>
        <v>0</v>
      </c>
      <c r="V47" s="62">
        <f t="shared" si="38"/>
        <v>0</v>
      </c>
      <c r="W47" s="62"/>
      <c r="X47" s="74" t="s">
        <v>38</v>
      </c>
      <c r="Y47" s="7"/>
      <c r="Z47" s="7"/>
      <c r="AA47" s="7"/>
      <c r="AB47" s="13"/>
      <c r="AC47" s="13"/>
      <c r="AD47" s="13"/>
    </row>
    <row r="48" ht="14.4">
      <c r="A48" s="64" t="s">
        <v>42</v>
      </c>
      <c r="B48" s="65" t="s">
        <v>32</v>
      </c>
      <c r="C48" s="65" t="s">
        <v>33</v>
      </c>
      <c r="D48" s="65" t="s">
        <v>32</v>
      </c>
      <c r="E48" s="65" t="s">
        <v>33</v>
      </c>
      <c r="F48" s="65" t="s">
        <v>32</v>
      </c>
      <c r="G48" s="65" t="s">
        <v>33</v>
      </c>
      <c r="H48" s="65" t="s">
        <v>32</v>
      </c>
      <c r="I48" s="65" t="s">
        <v>33</v>
      </c>
      <c r="J48" s="65" t="s">
        <v>32</v>
      </c>
      <c r="K48" s="65" t="s">
        <v>33</v>
      </c>
      <c r="L48" s="66"/>
      <c r="M48" s="66"/>
      <c r="N48" s="66"/>
      <c r="O48" s="66"/>
      <c r="P48" s="218">
        <f t="shared" si="35"/>
        <v>40</v>
      </c>
      <c r="Q48" s="227">
        <f t="shared" ref="Q48:Q49" si="40">Q31-P47</f>
        <v>56</v>
      </c>
      <c r="R48" s="222" t="str">
        <f t="shared" si="36"/>
        <v>Юращик</v>
      </c>
      <c r="S48" s="76" t="s">
        <v>10</v>
      </c>
      <c r="T48" s="77" t="s">
        <v>9</v>
      </c>
      <c r="U48" s="73">
        <f t="shared" si="37"/>
        <v>0</v>
      </c>
      <c r="V48" s="62">
        <f t="shared" si="38"/>
        <v>0</v>
      </c>
      <c r="W48" s="221"/>
      <c r="X48" s="74" t="s">
        <v>38</v>
      </c>
      <c r="Y48" s="7"/>
      <c r="Z48" s="7"/>
      <c r="AA48" s="7"/>
      <c r="AB48" s="13"/>
      <c r="AC48" s="13"/>
      <c r="AD48" s="13"/>
    </row>
    <row r="49" ht="14.4">
      <c r="A49" s="64" t="s">
        <v>52</v>
      </c>
      <c r="B49" s="65" t="s">
        <v>54</v>
      </c>
      <c r="C49" s="260" t="s">
        <v>33</v>
      </c>
      <c r="D49" s="65" t="s">
        <v>54</v>
      </c>
      <c r="E49" s="260" t="s">
        <v>33</v>
      </c>
      <c r="F49" s="65" t="s">
        <v>54</v>
      </c>
      <c r="G49" s="260" t="s">
        <v>33</v>
      </c>
      <c r="H49" s="65" t="s">
        <v>54</v>
      </c>
      <c r="I49" s="260" t="s">
        <v>33</v>
      </c>
      <c r="J49" s="65" t="s">
        <v>54</v>
      </c>
      <c r="K49" s="260" t="s">
        <v>33</v>
      </c>
      <c r="L49" s="66"/>
      <c r="M49" s="66"/>
      <c r="N49" s="66"/>
      <c r="O49" s="66"/>
      <c r="P49" s="218">
        <f t="shared" si="35"/>
        <v>40</v>
      </c>
      <c r="Q49" s="62">
        <f t="shared" si="40"/>
        <v>56</v>
      </c>
      <c r="R49" s="272" t="s">
        <v>52</v>
      </c>
      <c r="S49" s="71" t="s">
        <v>8</v>
      </c>
      <c r="T49" s="72" t="s">
        <v>7</v>
      </c>
      <c r="U49" s="73">
        <f t="shared" si="37"/>
        <v>0</v>
      </c>
      <c r="V49" s="62">
        <f t="shared" si="38"/>
        <v>0</v>
      </c>
      <c r="W49" s="69"/>
      <c r="X49" s="242"/>
      <c r="Y49" s="7"/>
      <c r="Z49" s="7"/>
      <c r="AA49" s="7"/>
      <c r="AB49" s="13"/>
      <c r="AC49" s="13"/>
      <c r="AD49" s="13"/>
    </row>
    <row r="50" ht="14.4">
      <c r="A50" s="204" t="s">
        <v>43</v>
      </c>
      <c r="B50" s="66"/>
      <c r="C50" s="273"/>
      <c r="D50" s="71"/>
      <c r="E50" s="76"/>
      <c r="F50" s="71"/>
      <c r="G50" s="78"/>
      <c r="H50" s="66"/>
      <c r="I50" s="66"/>
      <c r="J50" s="72"/>
      <c r="K50" s="251"/>
      <c r="L50" s="72"/>
      <c r="M50" s="77"/>
      <c r="N50" s="72"/>
      <c r="O50" s="77"/>
      <c r="P50" s="218">
        <f t="shared" si="35"/>
        <v>0</v>
      </c>
      <c r="Q50" s="62">
        <f t="shared" ref="Q50:Q64" si="41">Q33-P50</f>
        <v>176</v>
      </c>
      <c r="R50" s="113" t="s">
        <v>43</v>
      </c>
      <c r="S50" s="149" t="s">
        <v>12</v>
      </c>
      <c r="T50" s="262" t="s">
        <v>11</v>
      </c>
      <c r="U50" s="244">
        <f t="shared" si="37"/>
        <v>0</v>
      </c>
      <c r="V50" s="227">
        <f t="shared" si="38"/>
        <v>0</v>
      </c>
      <c r="W50" s="229"/>
      <c r="X50" s="74" t="s">
        <v>44</v>
      </c>
      <c r="Y50" s="7"/>
      <c r="Z50" s="7"/>
      <c r="AA50" s="7"/>
      <c r="AB50" s="13"/>
      <c r="AC50" s="13"/>
      <c r="AD50" s="13"/>
    </row>
    <row r="51" ht="14.4">
      <c r="A51" s="274" t="s">
        <v>45</v>
      </c>
      <c r="B51" s="71"/>
      <c r="C51" s="78"/>
      <c r="D51" s="200"/>
      <c r="E51" s="200"/>
      <c r="F51" s="200"/>
      <c r="G51" s="200"/>
      <c r="H51" s="251"/>
      <c r="I51" s="77"/>
      <c r="J51" s="251"/>
      <c r="K51" s="77"/>
      <c r="L51" s="275"/>
      <c r="M51" s="275"/>
      <c r="N51" s="200"/>
      <c r="O51" s="200"/>
      <c r="P51" s="218">
        <f t="shared" si="35"/>
        <v>0</v>
      </c>
      <c r="Q51" s="62">
        <f t="shared" si="41"/>
        <v>176</v>
      </c>
      <c r="R51" s="219" t="str">
        <f t="shared" si="36"/>
        <v>Пузырь</v>
      </c>
      <c r="S51" s="76" t="s">
        <v>10</v>
      </c>
      <c r="T51" s="77" t="s">
        <v>9</v>
      </c>
      <c r="U51" s="73">
        <f t="shared" si="37"/>
        <v>0</v>
      </c>
      <c r="V51" s="62">
        <f t="shared" si="38"/>
        <v>0</v>
      </c>
      <c r="W51" s="62"/>
      <c r="X51" s="74" t="s">
        <v>34</v>
      </c>
      <c r="Y51" s="7"/>
      <c r="Z51" s="7"/>
      <c r="AA51" s="7"/>
      <c r="AB51" s="13"/>
      <c r="AC51" s="13"/>
      <c r="AD51" s="13"/>
    </row>
    <row r="52" ht="14.4">
      <c r="A52" s="250" t="s">
        <v>46</v>
      </c>
      <c r="B52" s="66"/>
      <c r="C52" s="66"/>
      <c r="D52" s="268"/>
      <c r="E52" s="76"/>
      <c r="F52" s="71"/>
      <c r="G52" s="78"/>
      <c r="H52" s="66"/>
      <c r="I52" s="66"/>
      <c r="J52" s="66"/>
      <c r="K52" s="66"/>
      <c r="L52" s="251"/>
      <c r="M52" s="77"/>
      <c r="N52" s="251"/>
      <c r="O52" s="77"/>
      <c r="P52" s="218">
        <f t="shared" si="35"/>
        <v>0</v>
      </c>
      <c r="Q52" s="62">
        <f t="shared" si="41"/>
        <v>176</v>
      </c>
      <c r="R52" s="219" t="str">
        <f t="shared" si="36"/>
        <v>Голышев</v>
      </c>
      <c r="S52" s="76" t="s">
        <v>10</v>
      </c>
      <c r="T52" s="77" t="s">
        <v>9</v>
      </c>
      <c r="U52" s="73">
        <f t="shared" si="37"/>
        <v>0</v>
      </c>
      <c r="V52" s="62">
        <f t="shared" si="38"/>
        <v>0</v>
      </c>
      <c r="W52" s="62"/>
      <c r="X52" s="74" t="s">
        <v>34</v>
      </c>
      <c r="Y52" s="7"/>
      <c r="Z52" s="7"/>
      <c r="AA52" s="7"/>
      <c r="AB52" s="13"/>
      <c r="AC52" s="13"/>
      <c r="AD52" s="13"/>
    </row>
    <row r="53" ht="14.4">
      <c r="A53" s="250" t="s">
        <v>47</v>
      </c>
      <c r="B53" s="77"/>
      <c r="C53" s="77"/>
      <c r="D53" s="82"/>
      <c r="E53" s="82"/>
      <c r="F53" s="251"/>
      <c r="G53" s="77"/>
      <c r="H53" s="251"/>
      <c r="I53" s="83"/>
      <c r="J53" s="87"/>
      <c r="K53" s="87"/>
      <c r="L53" s="66"/>
      <c r="M53" s="66"/>
      <c r="N53" s="66"/>
      <c r="O53" s="66"/>
      <c r="P53" s="218">
        <f t="shared" si="35"/>
        <v>0</v>
      </c>
      <c r="Q53" s="62">
        <f t="shared" si="41"/>
        <v>176</v>
      </c>
      <c r="R53" s="219" t="str">
        <f t="shared" si="36"/>
        <v>Торубара</v>
      </c>
      <c r="S53" s="76" t="s">
        <v>10</v>
      </c>
      <c r="T53" s="77" t="s">
        <v>9</v>
      </c>
      <c r="U53" s="73">
        <f t="shared" si="37"/>
        <v>0</v>
      </c>
      <c r="V53" s="62">
        <f t="shared" si="38"/>
        <v>0</v>
      </c>
      <c r="W53" s="62"/>
      <c r="X53" s="74" t="s">
        <v>34</v>
      </c>
      <c r="Y53" s="7"/>
      <c r="Z53" s="7"/>
      <c r="AA53" s="7"/>
      <c r="AB53" s="13"/>
      <c r="AC53" s="13"/>
      <c r="AD53" s="13"/>
    </row>
    <row r="54" ht="14.4">
      <c r="A54" s="250" t="s">
        <v>48</v>
      </c>
      <c r="B54" s="71"/>
      <c r="C54" s="265"/>
      <c r="D54" s="82"/>
      <c r="E54" s="82"/>
      <c r="F54" s="66"/>
      <c r="G54" s="66"/>
      <c r="H54" s="71"/>
      <c r="I54" s="243"/>
      <c r="J54" s="268"/>
      <c r="K54" s="243"/>
      <c r="L54" s="82"/>
      <c r="M54" s="82"/>
      <c r="N54" s="82"/>
      <c r="O54" s="82"/>
      <c r="P54" s="218">
        <f t="shared" si="35"/>
        <v>0</v>
      </c>
      <c r="Q54" s="62">
        <f t="shared" si="41"/>
        <v>176</v>
      </c>
      <c r="R54" s="219" t="str">
        <f t="shared" si="36"/>
        <v>Стрыгин</v>
      </c>
      <c r="S54" s="71" t="s">
        <v>8</v>
      </c>
      <c r="T54" s="72" t="s">
        <v>7</v>
      </c>
      <c r="U54" s="73">
        <f t="shared" si="37"/>
        <v>0</v>
      </c>
      <c r="V54" s="62">
        <f t="shared" si="38"/>
        <v>0</v>
      </c>
      <c r="W54" s="62"/>
      <c r="X54" s="74" t="s">
        <v>49</v>
      </c>
      <c r="Y54" s="7"/>
      <c r="Z54" s="7"/>
      <c r="AA54" s="7"/>
      <c r="AB54" s="13"/>
      <c r="AC54" s="13"/>
      <c r="AD54" s="13"/>
    </row>
    <row r="55" ht="14.4">
      <c r="A55" s="250" t="s">
        <v>50</v>
      </c>
      <c r="B55" s="66"/>
      <c r="C55" s="66"/>
      <c r="D55" s="262"/>
      <c r="E55" s="77"/>
      <c r="F55" s="262"/>
      <c r="G55" s="77"/>
      <c r="H55" s="66"/>
      <c r="I55" s="66"/>
      <c r="J55" s="66"/>
      <c r="K55" s="66"/>
      <c r="L55" s="149"/>
      <c r="M55" s="78"/>
      <c r="N55" s="149"/>
      <c r="O55" s="78"/>
      <c r="P55" s="218">
        <f t="shared" si="35"/>
        <v>0</v>
      </c>
      <c r="Q55" s="62">
        <f t="shared" si="41"/>
        <v>176</v>
      </c>
      <c r="R55" s="219" t="str">
        <f t="shared" si="36"/>
        <v>Фрик</v>
      </c>
      <c r="S55" s="71" t="s">
        <v>12</v>
      </c>
      <c r="T55" s="72" t="s">
        <v>11</v>
      </c>
      <c r="U55" s="73">
        <f t="shared" si="37"/>
        <v>0</v>
      </c>
      <c r="V55" s="62">
        <f t="shared" si="38"/>
        <v>0</v>
      </c>
      <c r="W55" s="62"/>
      <c r="X55" s="74" t="s">
        <v>44</v>
      </c>
      <c r="Y55" s="7"/>
      <c r="Z55" s="7"/>
      <c r="AA55" s="7"/>
      <c r="AB55" s="13"/>
      <c r="AC55" s="13"/>
      <c r="AD55" s="13"/>
    </row>
    <row r="56" ht="14.4">
      <c r="A56" s="252" t="s">
        <v>51</v>
      </c>
      <c r="B56" s="123"/>
      <c r="C56" s="122"/>
      <c r="D56" s="123"/>
      <c r="E56" s="122"/>
      <c r="F56" s="123"/>
      <c r="G56" s="123"/>
      <c r="H56" s="122"/>
      <c r="I56" s="122"/>
      <c r="J56" s="122"/>
      <c r="K56" s="122"/>
      <c r="L56" s="122"/>
      <c r="M56" s="122"/>
      <c r="N56" s="123"/>
      <c r="O56" s="123"/>
      <c r="P56" s="218">
        <f t="shared" si="35"/>
        <v>0</v>
      </c>
      <c r="Q56" s="62">
        <f t="shared" si="41"/>
        <v>176</v>
      </c>
      <c r="R56" s="219" t="str">
        <f t="shared" si="36"/>
        <v>Истрашкин</v>
      </c>
      <c r="S56" s="71" t="s">
        <v>10</v>
      </c>
      <c r="T56" s="72" t="s">
        <v>9</v>
      </c>
      <c r="U56" s="73">
        <f t="shared" si="37"/>
        <v>0</v>
      </c>
      <c r="V56" s="62">
        <f t="shared" si="38"/>
        <v>0</v>
      </c>
      <c r="W56" s="62"/>
      <c r="X56" s="74" t="s">
        <v>34</v>
      </c>
      <c r="Y56" s="7"/>
      <c r="Z56" s="7"/>
      <c r="AA56" s="7"/>
      <c r="AB56" s="13"/>
      <c r="AC56" s="13"/>
      <c r="AD56" s="13"/>
    </row>
    <row r="57" ht="14.4">
      <c r="A57" s="207"/>
      <c r="B57" s="210">
        <v>46279</v>
      </c>
      <c r="C57" s="211"/>
      <c r="D57" s="210">
        <v>46280</v>
      </c>
      <c r="E57" s="211"/>
      <c r="F57" s="210">
        <v>46281</v>
      </c>
      <c r="G57" s="211"/>
      <c r="H57" s="210">
        <v>46282</v>
      </c>
      <c r="I57" s="211"/>
      <c r="J57" s="210">
        <v>46283</v>
      </c>
      <c r="K57" s="211"/>
      <c r="L57" s="210">
        <v>46284</v>
      </c>
      <c r="M57" s="211"/>
      <c r="N57" s="210">
        <v>46285</v>
      </c>
      <c r="O57" s="212"/>
      <c r="P57" s="253"/>
      <c r="Q57" s="254"/>
      <c r="R57" s="207"/>
      <c r="S57" s="138"/>
      <c r="T57" s="138"/>
      <c r="U57" s="60" t="s">
        <v>27</v>
      </c>
      <c r="V57" s="61" t="s">
        <v>28</v>
      </c>
      <c r="W57" s="62" t="s">
        <v>29</v>
      </c>
      <c r="X57" s="7"/>
      <c r="Y57" s="7"/>
      <c r="Z57" s="7"/>
      <c r="AA57" s="7"/>
      <c r="AB57" s="13"/>
      <c r="AC57" s="13"/>
      <c r="AD57" s="13"/>
    </row>
    <row r="58" ht="14.4">
      <c r="A58" s="165"/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65"/>
      <c r="Q58" s="165"/>
      <c r="R58" s="193"/>
      <c r="S58" s="127"/>
      <c r="T58" s="127"/>
      <c r="U58" s="127"/>
      <c r="V58" s="127"/>
      <c r="W58" s="128"/>
      <c r="X58" s="7"/>
      <c r="Y58" s="7"/>
      <c r="Z58" s="7"/>
      <c r="AA58" s="7"/>
      <c r="AB58" s="13"/>
      <c r="AC58" s="13"/>
      <c r="AD58" s="13"/>
    </row>
    <row r="59" ht="14.4">
      <c r="A59" s="143"/>
      <c r="B59" s="43" t="s">
        <v>17</v>
      </c>
      <c r="C59" s="142"/>
      <c r="D59" s="43" t="s">
        <v>18</v>
      </c>
      <c r="E59" s="142"/>
      <c r="F59" s="43" t="s">
        <v>19</v>
      </c>
      <c r="G59" s="43"/>
      <c r="H59" s="43" t="s">
        <v>20</v>
      </c>
      <c r="I59" s="142"/>
      <c r="J59" s="45" t="s">
        <v>21</v>
      </c>
      <c r="K59" s="45"/>
      <c r="L59" s="43" t="s">
        <v>22</v>
      </c>
      <c r="M59" s="43"/>
      <c r="N59" s="43" t="s">
        <v>23</v>
      </c>
      <c r="O59" s="43"/>
      <c r="P59" s="208" t="s">
        <v>24</v>
      </c>
      <c r="Q59" s="209"/>
      <c r="R59" s="143"/>
      <c r="S59" s="143"/>
      <c r="T59" s="143"/>
      <c r="U59" s="62"/>
      <c r="V59" s="62"/>
      <c r="W59" s="62"/>
      <c r="X59" s="51"/>
      <c r="Y59" s="7"/>
      <c r="Z59" s="7"/>
      <c r="AA59" s="7"/>
      <c r="AB59" s="13"/>
      <c r="AC59" s="13"/>
      <c r="AD59" s="13"/>
    </row>
    <row r="60" ht="14.4">
      <c r="A60" s="143"/>
      <c r="B60" s="210">
        <v>46286</v>
      </c>
      <c r="C60" s="211"/>
      <c r="D60" s="210">
        <v>46287</v>
      </c>
      <c r="E60" s="211"/>
      <c r="F60" s="210">
        <v>46288</v>
      </c>
      <c r="G60" s="211"/>
      <c r="H60" s="210">
        <v>46289</v>
      </c>
      <c r="I60" s="211"/>
      <c r="J60" s="210">
        <v>46290</v>
      </c>
      <c r="K60" s="211"/>
      <c r="L60" s="210">
        <v>46291</v>
      </c>
      <c r="M60" s="211"/>
      <c r="N60" s="210">
        <v>46292</v>
      </c>
      <c r="O60" s="212"/>
      <c r="P60" s="213" t="s">
        <v>25</v>
      </c>
      <c r="Q60" s="214" t="s">
        <v>26</v>
      </c>
      <c r="R60" s="249"/>
      <c r="S60" s="147"/>
      <c r="T60" s="147"/>
      <c r="U60" s="60" t="s">
        <v>27</v>
      </c>
      <c r="V60" s="61" t="s">
        <v>28</v>
      </c>
      <c r="W60" s="62" t="s">
        <v>29</v>
      </c>
      <c r="X60" s="63" t="s">
        <v>30</v>
      </c>
      <c r="Y60" s="7"/>
      <c r="Z60" s="7"/>
      <c r="AA60" s="7"/>
      <c r="AB60" s="13"/>
      <c r="AC60" s="13"/>
      <c r="AD60" s="13"/>
    </row>
    <row r="61" ht="14.4">
      <c r="A61" s="203" t="s">
        <v>31</v>
      </c>
      <c r="B61" s="65" t="s">
        <v>32</v>
      </c>
      <c r="C61" s="65" t="s">
        <v>33</v>
      </c>
      <c r="D61" s="65" t="s">
        <v>32</v>
      </c>
      <c r="E61" s="65" t="s">
        <v>33</v>
      </c>
      <c r="F61" s="65" t="s">
        <v>32</v>
      </c>
      <c r="G61" s="65" t="s">
        <v>33</v>
      </c>
      <c r="H61" s="65" t="s">
        <v>32</v>
      </c>
      <c r="I61" s="65" t="s">
        <v>33</v>
      </c>
      <c r="J61" s="65" t="s">
        <v>32</v>
      </c>
      <c r="K61" s="65" t="s">
        <v>33</v>
      </c>
      <c r="L61" s="67"/>
      <c r="M61" s="67"/>
      <c r="N61" s="67"/>
      <c r="O61" s="67"/>
      <c r="P61" s="218">
        <f t="shared" si="35"/>
        <v>40</v>
      </c>
      <c r="Q61" s="62">
        <f t="shared" si="41"/>
        <v>16</v>
      </c>
      <c r="R61" s="219" t="str">
        <f t="shared" si="36"/>
        <v>Нетронин</v>
      </c>
      <c r="S61" s="71" t="s">
        <v>10</v>
      </c>
      <c r="T61" s="72" t="s">
        <v>9</v>
      </c>
      <c r="U61" s="73">
        <v>0</v>
      </c>
      <c r="V61" s="62">
        <v>0</v>
      </c>
      <c r="W61" s="62"/>
      <c r="X61" s="74" t="s">
        <v>34</v>
      </c>
      <c r="Y61" s="7"/>
      <c r="Z61" s="7"/>
      <c r="AA61" s="7"/>
      <c r="AB61" s="13"/>
      <c r="AC61" s="13"/>
      <c r="AD61" s="13"/>
    </row>
    <row r="62" ht="14.4">
      <c r="A62" s="203" t="s">
        <v>35</v>
      </c>
      <c r="B62" s="120"/>
      <c r="C62" s="120" t="s">
        <v>33</v>
      </c>
      <c r="D62" s="120"/>
      <c r="E62" s="120" t="s">
        <v>33</v>
      </c>
      <c r="F62" s="120"/>
      <c r="G62" s="120" t="s">
        <v>33</v>
      </c>
      <c r="H62" s="120"/>
      <c r="I62" s="120" t="s">
        <v>33</v>
      </c>
      <c r="J62" s="120"/>
      <c r="K62" s="120" t="s">
        <v>33</v>
      </c>
      <c r="L62" s="66"/>
      <c r="M62" s="66"/>
      <c r="N62" s="66"/>
      <c r="O62" s="66"/>
      <c r="P62" s="218">
        <f t="shared" si="35"/>
        <v>40</v>
      </c>
      <c r="Q62" s="62">
        <f t="shared" si="41"/>
        <v>16</v>
      </c>
      <c r="R62" s="219" t="str">
        <f t="shared" si="36"/>
        <v>Рычков</v>
      </c>
      <c r="S62" s="76" t="s">
        <v>10</v>
      </c>
      <c r="T62" s="77" t="s">
        <v>9</v>
      </c>
      <c r="U62" s="73">
        <f t="shared" si="37"/>
        <v>0</v>
      </c>
      <c r="V62" s="62">
        <f t="shared" si="38"/>
        <v>0</v>
      </c>
      <c r="W62" s="62"/>
      <c r="X62" s="74" t="s">
        <v>34</v>
      </c>
      <c r="Y62" s="7"/>
      <c r="Z62" s="7"/>
      <c r="AA62" s="7"/>
      <c r="AB62" s="13"/>
      <c r="AC62" s="13"/>
      <c r="AD62" s="13"/>
    </row>
    <row r="63" ht="14.4">
      <c r="A63" s="203" t="s">
        <v>39</v>
      </c>
      <c r="B63" s="65" t="s">
        <v>32</v>
      </c>
      <c r="C63" s="65" t="s">
        <v>33</v>
      </c>
      <c r="D63" s="65" t="s">
        <v>32</v>
      </c>
      <c r="E63" s="65" t="s">
        <v>33</v>
      </c>
      <c r="F63" s="65" t="s">
        <v>32</v>
      </c>
      <c r="G63" s="65" t="s">
        <v>33</v>
      </c>
      <c r="H63" s="65" t="s">
        <v>32</v>
      </c>
      <c r="I63" s="65" t="s">
        <v>33</v>
      </c>
      <c r="J63" s="65" t="s">
        <v>32</v>
      </c>
      <c r="K63" s="65" t="s">
        <v>33</v>
      </c>
      <c r="L63" s="66"/>
      <c r="M63" s="66"/>
      <c r="N63" s="66"/>
      <c r="O63" s="66"/>
      <c r="P63" s="218">
        <f t="shared" si="35"/>
        <v>40</v>
      </c>
      <c r="Q63" s="62">
        <f t="shared" si="41"/>
        <v>16</v>
      </c>
      <c r="R63" s="219" t="str">
        <f t="shared" si="36"/>
        <v>Игумнов</v>
      </c>
      <c r="S63" s="76" t="s">
        <v>10</v>
      </c>
      <c r="T63" s="77" t="s">
        <v>9</v>
      </c>
      <c r="U63" s="73">
        <f t="shared" si="37"/>
        <v>0</v>
      </c>
      <c r="V63" s="62">
        <f t="shared" si="38"/>
        <v>0</v>
      </c>
      <c r="W63" s="62"/>
      <c r="X63" s="79" t="s">
        <v>34</v>
      </c>
      <c r="Y63" s="7"/>
      <c r="Z63" s="7"/>
      <c r="AA63" s="7"/>
      <c r="AB63" s="13"/>
      <c r="AC63" s="13"/>
      <c r="AD63" s="13"/>
    </row>
    <row r="64" ht="14.4">
      <c r="A64" s="203" t="s">
        <v>40</v>
      </c>
      <c r="B64" s="65" t="s">
        <v>32</v>
      </c>
      <c r="C64" s="65" t="s">
        <v>33</v>
      </c>
      <c r="D64" s="65" t="s">
        <v>32</v>
      </c>
      <c r="E64" s="65" t="s">
        <v>33</v>
      </c>
      <c r="F64" s="65" t="s">
        <v>32</v>
      </c>
      <c r="G64" s="65" t="s">
        <v>33</v>
      </c>
      <c r="H64" s="65" t="s">
        <v>32</v>
      </c>
      <c r="I64" s="65" t="s">
        <v>33</v>
      </c>
      <c r="J64" s="65" t="s">
        <v>32</v>
      </c>
      <c r="K64" s="65" t="s">
        <v>33</v>
      </c>
      <c r="L64" s="66"/>
      <c r="M64" s="66"/>
      <c r="N64" s="66"/>
      <c r="O64" s="66"/>
      <c r="P64" s="218">
        <f t="shared" si="35"/>
        <v>40</v>
      </c>
      <c r="Q64" s="62">
        <f t="shared" si="41"/>
        <v>16</v>
      </c>
      <c r="R64" s="219" t="str">
        <f t="shared" si="36"/>
        <v>Душин</v>
      </c>
      <c r="S64" s="76" t="s">
        <v>10</v>
      </c>
      <c r="T64" s="77" t="s">
        <v>9</v>
      </c>
      <c r="U64" s="73">
        <f t="shared" si="37"/>
        <v>0</v>
      </c>
      <c r="V64" s="62">
        <f t="shared" ref="V64:V66" si="42">COUNTIF(U64,C64)+COUNTIF(U64,E64)+COUNTIF(U64,G64)+COUNTIF(U64,I64)+COUNTIF(U64,K64)+COUNTIF(U64,M64)+COUNTIF(U64,O64)</f>
        <v>2</v>
      </c>
      <c r="W64" s="62"/>
      <c r="X64" s="74" t="s">
        <v>38</v>
      </c>
      <c r="Y64" s="7"/>
      <c r="Z64" s="7"/>
      <c r="AA64" s="7"/>
      <c r="AB64" s="13"/>
      <c r="AC64" s="13"/>
      <c r="AD64" s="13"/>
    </row>
    <row r="65" ht="14.4">
      <c r="A65" s="271" t="s">
        <v>42</v>
      </c>
      <c r="B65" s="65" t="s">
        <v>32</v>
      </c>
      <c r="C65" s="65" t="s">
        <v>33</v>
      </c>
      <c r="D65" s="65" t="s">
        <v>32</v>
      </c>
      <c r="E65" s="65" t="s">
        <v>33</v>
      </c>
      <c r="F65" s="65" t="s">
        <v>32</v>
      </c>
      <c r="G65" s="65" t="s">
        <v>33</v>
      </c>
      <c r="H65" s="65" t="s">
        <v>32</v>
      </c>
      <c r="I65" s="65" t="s">
        <v>33</v>
      </c>
      <c r="J65" s="65" t="s">
        <v>32</v>
      </c>
      <c r="K65" s="65" t="s">
        <v>33</v>
      </c>
      <c r="L65" s="66"/>
      <c r="M65" s="66"/>
      <c r="N65" s="66"/>
      <c r="O65" s="66"/>
      <c r="P65" s="218">
        <f t="shared" si="35"/>
        <v>40</v>
      </c>
      <c r="Q65" s="62">
        <f>Q49-P65</f>
        <v>16</v>
      </c>
      <c r="R65" s="222" t="str">
        <f t="shared" si="36"/>
        <v>Юращик</v>
      </c>
      <c r="S65" s="76" t="s">
        <v>10</v>
      </c>
      <c r="T65" s="77" t="s">
        <v>9</v>
      </c>
      <c r="U65" s="73">
        <f t="shared" si="37"/>
        <v>0</v>
      </c>
      <c r="V65" s="62">
        <f t="shared" si="42"/>
        <v>2</v>
      </c>
      <c r="W65" s="62"/>
      <c r="X65" s="74" t="s">
        <v>38</v>
      </c>
      <c r="Y65" s="7"/>
      <c r="Z65" s="7"/>
      <c r="AA65" s="7"/>
      <c r="AB65" s="13"/>
      <c r="AC65" s="13"/>
      <c r="AD65" s="13"/>
    </row>
    <row r="66" ht="14.4">
      <c r="A66" s="64" t="s">
        <v>52</v>
      </c>
      <c r="B66" s="65" t="s">
        <v>54</v>
      </c>
      <c r="C66" s="260" t="s">
        <v>33</v>
      </c>
      <c r="D66" s="65" t="s">
        <v>54</v>
      </c>
      <c r="E66" s="260" t="s">
        <v>33</v>
      </c>
      <c r="F66" s="65" t="s">
        <v>54</v>
      </c>
      <c r="G66" s="260" t="s">
        <v>33</v>
      </c>
      <c r="H66" s="65" t="s">
        <v>54</v>
      </c>
      <c r="I66" s="260" t="s">
        <v>33</v>
      </c>
      <c r="J66" s="65" t="s">
        <v>54</v>
      </c>
      <c r="K66" s="260" t="s">
        <v>33</v>
      </c>
      <c r="L66" s="66"/>
      <c r="M66" s="66"/>
      <c r="N66" s="66"/>
      <c r="O66" s="66"/>
      <c r="P66" s="218">
        <f t="shared" si="35"/>
        <v>40</v>
      </c>
      <c r="Q66" s="62">
        <f t="shared" ref="Q66:Q90" si="43">Q49-P66</f>
        <v>16</v>
      </c>
      <c r="R66" s="70" t="s">
        <v>52</v>
      </c>
      <c r="S66" s="71" t="s">
        <v>8</v>
      </c>
      <c r="T66" s="72" t="s">
        <v>7</v>
      </c>
      <c r="U66" s="73">
        <f t="shared" si="37"/>
        <v>0</v>
      </c>
      <c r="V66" s="62">
        <f t="shared" si="42"/>
        <v>2</v>
      </c>
      <c r="W66" s="90"/>
      <c r="X66" s="74"/>
      <c r="Y66" s="7"/>
      <c r="Z66" s="7"/>
      <c r="AA66" s="7"/>
      <c r="AB66" s="13"/>
      <c r="AC66" s="13"/>
      <c r="AD66" s="13"/>
    </row>
    <row r="67" ht="14.4">
      <c r="A67" s="204" t="s">
        <v>43</v>
      </c>
      <c r="B67" s="67"/>
      <c r="C67" s="261"/>
      <c r="D67" s="67"/>
      <c r="E67" s="261"/>
      <c r="F67" s="72"/>
      <c r="G67" s="77"/>
      <c r="H67" s="72"/>
      <c r="I67" s="83"/>
      <c r="J67" s="66"/>
      <c r="K67" s="66"/>
      <c r="L67" s="67"/>
      <c r="M67" s="67"/>
      <c r="N67" s="72"/>
      <c r="O67" s="251"/>
      <c r="P67" s="218">
        <f t="shared" si="35"/>
        <v>0</v>
      </c>
      <c r="Q67" s="62">
        <f t="shared" si="43"/>
        <v>176</v>
      </c>
      <c r="R67" s="113" t="s">
        <v>43</v>
      </c>
      <c r="S67" s="149" t="s">
        <v>12</v>
      </c>
      <c r="T67" s="262" t="s">
        <v>11</v>
      </c>
      <c r="U67" s="244">
        <f t="shared" si="37"/>
        <v>0</v>
      </c>
      <c r="V67" s="227">
        <f t="shared" ref="V67:V90" si="44">COUNTIF(S67,B67)+COUNTIF(S67,D67)+COUNTIF(S67,F67)+COUNTIF(S67,H67)+COUNTIF(S67,J67)+COUNTIF(S67,L67)+COUNTIF(S67,N67)</f>
        <v>0</v>
      </c>
      <c r="W67" s="62"/>
      <c r="X67" s="74" t="s">
        <v>44</v>
      </c>
      <c r="Y67" s="7"/>
      <c r="Z67" s="7"/>
      <c r="AA67" s="7"/>
      <c r="AB67" s="13"/>
      <c r="AC67" s="13"/>
      <c r="AD67" s="13"/>
    </row>
    <row r="68" ht="14.4">
      <c r="A68" s="204" t="s">
        <v>45</v>
      </c>
      <c r="B68" s="71"/>
      <c r="C68" s="78"/>
      <c r="D68" s="268"/>
      <c r="E68" s="78"/>
      <c r="F68" s="82"/>
      <c r="G68" s="82"/>
      <c r="H68" s="82"/>
      <c r="I68" s="82"/>
      <c r="J68" s="251"/>
      <c r="K68" s="83"/>
      <c r="L68" s="251"/>
      <c r="M68" s="83"/>
      <c r="N68" s="66"/>
      <c r="O68" s="66"/>
      <c r="P68" s="218">
        <f t="shared" si="35"/>
        <v>0</v>
      </c>
      <c r="Q68" s="62">
        <f t="shared" si="43"/>
        <v>176</v>
      </c>
      <c r="R68" s="219" t="str">
        <f t="shared" si="36"/>
        <v>Пузырь</v>
      </c>
      <c r="S68" s="76" t="s">
        <v>10</v>
      </c>
      <c r="T68" s="77" t="s">
        <v>9</v>
      </c>
      <c r="U68" s="73">
        <f t="shared" si="37"/>
        <v>0</v>
      </c>
      <c r="V68" s="62">
        <f t="shared" si="44"/>
        <v>0</v>
      </c>
      <c r="W68" s="62"/>
      <c r="X68" s="74" t="s">
        <v>34</v>
      </c>
      <c r="Y68" s="7"/>
      <c r="Z68" s="7"/>
      <c r="AA68" s="7"/>
      <c r="AB68" s="13"/>
      <c r="AC68" s="13"/>
      <c r="AD68" s="13"/>
    </row>
    <row r="69" ht="14.4">
      <c r="A69" s="205" t="s">
        <v>46</v>
      </c>
      <c r="B69" s="67"/>
      <c r="C69" s="67"/>
      <c r="D69" s="67"/>
      <c r="E69" s="67"/>
      <c r="F69" s="268"/>
      <c r="G69" s="76"/>
      <c r="H69" s="268"/>
      <c r="I69" s="78"/>
      <c r="J69" s="66"/>
      <c r="K69" s="66"/>
      <c r="L69" s="67"/>
      <c r="M69" s="67"/>
      <c r="N69" s="251"/>
      <c r="O69" s="77"/>
      <c r="P69" s="218">
        <f t="shared" si="35"/>
        <v>0</v>
      </c>
      <c r="Q69" s="62">
        <f t="shared" si="43"/>
        <v>176</v>
      </c>
      <c r="R69" s="219" t="str">
        <f t="shared" si="36"/>
        <v>Голышев</v>
      </c>
      <c r="S69" s="76" t="s">
        <v>10</v>
      </c>
      <c r="T69" s="77" t="s">
        <v>9</v>
      </c>
      <c r="U69" s="73">
        <f t="shared" si="37"/>
        <v>0</v>
      </c>
      <c r="V69" s="62">
        <f t="shared" si="44"/>
        <v>0</v>
      </c>
      <c r="W69" s="62"/>
      <c r="X69" s="74" t="s">
        <v>34</v>
      </c>
      <c r="Y69" s="7"/>
      <c r="Z69" s="7"/>
      <c r="AA69" s="7"/>
      <c r="AB69" s="13"/>
      <c r="AC69" s="13"/>
      <c r="AD69" s="13"/>
    </row>
    <row r="70" ht="14.4">
      <c r="A70" s="205" t="s">
        <v>47</v>
      </c>
      <c r="B70" s="276"/>
      <c r="C70" s="277"/>
      <c r="D70" s="251"/>
      <c r="E70" s="83"/>
      <c r="F70" s="82"/>
      <c r="G70" s="82"/>
      <c r="H70" s="67"/>
      <c r="I70" s="66"/>
      <c r="J70" s="268"/>
      <c r="K70" s="78"/>
      <c r="L70" s="268"/>
      <c r="M70" s="78"/>
      <c r="N70" s="82"/>
      <c r="O70" s="82"/>
      <c r="P70" s="218">
        <f t="shared" si="35"/>
        <v>0</v>
      </c>
      <c r="Q70" s="62">
        <f t="shared" si="43"/>
        <v>176</v>
      </c>
      <c r="R70" s="219" t="str">
        <f t="shared" si="36"/>
        <v>Торубара</v>
      </c>
      <c r="S70" s="76" t="s">
        <v>10</v>
      </c>
      <c r="T70" s="77" t="s">
        <v>9</v>
      </c>
      <c r="U70" s="73">
        <f t="shared" si="37"/>
        <v>0</v>
      </c>
      <c r="V70" s="62">
        <f t="shared" si="44"/>
        <v>0</v>
      </c>
      <c r="W70" s="62"/>
      <c r="X70" s="74" t="s">
        <v>34</v>
      </c>
      <c r="Y70" s="7"/>
      <c r="Z70" s="7"/>
      <c r="AA70" s="7"/>
      <c r="AB70" s="13"/>
      <c r="AC70" s="13"/>
      <c r="AD70" s="13"/>
    </row>
    <row r="71" ht="14.4">
      <c r="A71" s="278" t="s">
        <v>48</v>
      </c>
      <c r="B71" s="279"/>
      <c r="C71" s="280"/>
      <c r="D71" s="281"/>
      <c r="E71" s="156"/>
      <c r="F71" s="66"/>
      <c r="G71" s="66"/>
      <c r="H71" s="66"/>
      <c r="I71" s="66"/>
      <c r="J71" s="72"/>
      <c r="K71" s="156"/>
      <c r="L71" s="72"/>
      <c r="M71" s="83"/>
      <c r="N71" s="66"/>
      <c r="O71" s="66"/>
      <c r="P71" s="218">
        <f t="shared" si="35"/>
        <v>0</v>
      </c>
      <c r="Q71" s="62">
        <f t="shared" si="43"/>
        <v>176</v>
      </c>
      <c r="R71" s="219" t="str">
        <f t="shared" si="36"/>
        <v>Стрыгин</v>
      </c>
      <c r="S71" s="71" t="s">
        <v>8</v>
      </c>
      <c r="T71" s="72" t="s">
        <v>7</v>
      </c>
      <c r="U71" s="73">
        <f t="shared" si="37"/>
        <v>0</v>
      </c>
      <c r="V71" s="62">
        <f t="shared" si="44"/>
        <v>0</v>
      </c>
      <c r="W71" s="62"/>
      <c r="X71" s="74" t="s">
        <v>49</v>
      </c>
      <c r="Y71" s="7"/>
      <c r="Z71" s="7"/>
      <c r="AA71" s="7"/>
      <c r="AB71" s="13"/>
      <c r="AC71" s="13"/>
      <c r="AD71" s="13"/>
    </row>
    <row r="72" ht="14.4">
      <c r="A72" s="205" t="s">
        <v>50</v>
      </c>
      <c r="B72" s="282"/>
      <c r="C72" s="282"/>
      <c r="D72" s="66"/>
      <c r="E72" s="66"/>
      <c r="F72" s="262"/>
      <c r="G72" s="77"/>
      <c r="H72" s="262"/>
      <c r="I72" s="77"/>
      <c r="J72" s="82"/>
      <c r="K72" s="82"/>
      <c r="L72" s="82"/>
      <c r="M72" s="82"/>
      <c r="N72" s="149"/>
      <c r="O72" s="78"/>
      <c r="P72" s="218">
        <f t="shared" si="35"/>
        <v>0</v>
      </c>
      <c r="Q72" s="62">
        <f t="shared" si="43"/>
        <v>176</v>
      </c>
      <c r="R72" s="219" t="str">
        <f t="shared" si="36"/>
        <v>Фрик</v>
      </c>
      <c r="S72" s="71" t="s">
        <v>12</v>
      </c>
      <c r="T72" s="72" t="s">
        <v>11</v>
      </c>
      <c r="U72" s="73">
        <f t="shared" si="37"/>
        <v>0</v>
      </c>
      <c r="V72" s="62">
        <f t="shared" si="44"/>
        <v>0</v>
      </c>
      <c r="W72" s="62"/>
      <c r="X72" s="74" t="s">
        <v>44</v>
      </c>
      <c r="Y72" s="7"/>
      <c r="Z72" s="7"/>
      <c r="AA72" s="7"/>
      <c r="AB72" s="13"/>
      <c r="AC72" s="13"/>
      <c r="AD72" s="13"/>
    </row>
    <row r="73" ht="14.4">
      <c r="A73" s="206" t="s">
        <v>51</v>
      </c>
      <c r="B73" s="122"/>
      <c r="C73" s="122"/>
      <c r="D73" s="123"/>
      <c r="E73" s="122"/>
      <c r="F73" s="123"/>
      <c r="G73" s="122"/>
      <c r="H73" s="132"/>
      <c r="I73" s="132"/>
      <c r="J73" s="122"/>
      <c r="K73" s="122"/>
      <c r="L73" s="122"/>
      <c r="M73" s="122"/>
      <c r="N73" s="122"/>
      <c r="O73" s="122"/>
      <c r="P73" s="218">
        <f t="shared" si="35"/>
        <v>0</v>
      </c>
      <c r="Q73" s="62">
        <f t="shared" si="43"/>
        <v>176</v>
      </c>
      <c r="R73" s="219" t="str">
        <f t="shared" si="36"/>
        <v>Истрашкин</v>
      </c>
      <c r="S73" s="71" t="s">
        <v>10</v>
      </c>
      <c r="T73" s="72" t="s">
        <v>9</v>
      </c>
      <c r="U73" s="73">
        <f t="shared" si="37"/>
        <v>0</v>
      </c>
      <c r="V73" s="62">
        <f t="shared" si="44"/>
        <v>0</v>
      </c>
      <c r="W73" s="62"/>
      <c r="X73" s="74" t="s">
        <v>34</v>
      </c>
      <c r="Y73" s="7"/>
      <c r="Z73" s="7"/>
      <c r="AA73" s="7"/>
      <c r="AB73" s="13"/>
      <c r="AC73" s="13"/>
      <c r="AD73" s="13"/>
    </row>
    <row r="74" ht="14.4">
      <c r="A74" s="207"/>
      <c r="B74" s="210">
        <v>46286</v>
      </c>
      <c r="C74" s="211"/>
      <c r="D74" s="210">
        <v>46287</v>
      </c>
      <c r="E74" s="211"/>
      <c r="F74" s="210">
        <v>46288</v>
      </c>
      <c r="G74" s="211"/>
      <c r="H74" s="210">
        <v>46289</v>
      </c>
      <c r="I74" s="211"/>
      <c r="J74" s="210">
        <v>46290</v>
      </c>
      <c r="K74" s="211"/>
      <c r="L74" s="210">
        <v>46291</v>
      </c>
      <c r="M74" s="211"/>
      <c r="N74" s="210">
        <v>46292</v>
      </c>
      <c r="O74" s="212"/>
      <c r="P74" s="253"/>
      <c r="Q74" s="254"/>
      <c r="R74" s="207"/>
      <c r="S74" s="138"/>
      <c r="T74" s="138"/>
      <c r="U74" s="60" t="s">
        <v>27</v>
      </c>
      <c r="V74" s="61" t="s">
        <v>28</v>
      </c>
      <c r="W74" s="62" t="s">
        <v>29</v>
      </c>
      <c r="X74" s="7"/>
      <c r="Y74" s="7"/>
      <c r="Z74" s="7"/>
      <c r="AA74" s="7"/>
      <c r="AB74" s="13"/>
      <c r="AC74" s="13"/>
      <c r="AD74" s="13"/>
    </row>
    <row r="75" ht="14.4">
      <c r="A75" s="139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39"/>
      <c r="Q75" s="127"/>
      <c r="R75" s="139"/>
      <c r="S75" s="139"/>
      <c r="T75" s="139"/>
      <c r="U75" s="127"/>
      <c r="V75" s="127"/>
      <c r="W75" s="128"/>
      <c r="X75" s="7"/>
      <c r="Y75" s="7"/>
      <c r="Z75" s="7"/>
      <c r="AA75" s="7"/>
      <c r="AB75" s="13"/>
      <c r="AC75" s="13"/>
      <c r="AD75" s="13"/>
    </row>
    <row r="76" ht="14.4">
      <c r="A76" s="143"/>
      <c r="B76" s="43" t="s">
        <v>17</v>
      </c>
      <c r="C76" s="142"/>
      <c r="D76" s="43" t="s">
        <v>18</v>
      </c>
      <c r="E76" s="142"/>
      <c r="F76" s="43" t="s">
        <v>19</v>
      </c>
      <c r="G76" s="43"/>
      <c r="H76" s="43" t="s">
        <v>20</v>
      </c>
      <c r="I76" s="142"/>
      <c r="J76" s="45" t="s">
        <v>21</v>
      </c>
      <c r="K76" s="45"/>
      <c r="L76" s="43" t="s">
        <v>22</v>
      </c>
      <c r="M76" s="43"/>
      <c r="N76" s="43" t="s">
        <v>23</v>
      </c>
      <c r="O76" s="43"/>
      <c r="P76" s="208" t="s">
        <v>24</v>
      </c>
      <c r="Q76" s="209"/>
      <c r="R76" s="143"/>
      <c r="S76" s="143"/>
      <c r="T76" s="143"/>
      <c r="U76" s="62"/>
      <c r="V76" s="62"/>
      <c r="W76" s="62"/>
      <c r="X76" s="51"/>
      <c r="Y76" s="7"/>
      <c r="Z76" s="7"/>
      <c r="AA76" s="7"/>
      <c r="AB76" s="13"/>
      <c r="AC76" s="13"/>
      <c r="AD76" s="13"/>
    </row>
    <row r="77" ht="14.4">
      <c r="A77" s="143"/>
      <c r="B77" s="210">
        <v>46293</v>
      </c>
      <c r="C77" s="211"/>
      <c r="D77" s="210">
        <v>46294</v>
      </c>
      <c r="E77" s="211"/>
      <c r="F77" s="210">
        <v>46295</v>
      </c>
      <c r="G77" s="211"/>
      <c r="H77" s="210">
        <v>46296</v>
      </c>
      <c r="I77" s="211"/>
      <c r="J77" s="210">
        <v>46297</v>
      </c>
      <c r="K77" s="211"/>
      <c r="L77" s="210">
        <v>46298</v>
      </c>
      <c r="M77" s="211"/>
      <c r="N77" s="210">
        <v>46299</v>
      </c>
      <c r="O77" s="212"/>
      <c r="P77" s="213" t="s">
        <v>25</v>
      </c>
      <c r="Q77" s="214" t="s">
        <v>26</v>
      </c>
      <c r="R77" s="249"/>
      <c r="S77" s="147"/>
      <c r="T77" s="147"/>
      <c r="U77" s="60" t="s">
        <v>27</v>
      </c>
      <c r="V77" s="61" t="s">
        <v>28</v>
      </c>
      <c r="W77" s="62" t="s">
        <v>29</v>
      </c>
      <c r="X77" s="63" t="s">
        <v>30</v>
      </c>
      <c r="Y77" s="7"/>
      <c r="Z77" s="7"/>
      <c r="AA77" s="7"/>
      <c r="AB77" s="13"/>
      <c r="AC77" s="13"/>
      <c r="AD77" s="13"/>
    </row>
    <row r="78" ht="14.4">
      <c r="A78" s="203" t="s">
        <v>31</v>
      </c>
      <c r="B78" s="65" t="s">
        <v>32</v>
      </c>
      <c r="C78" s="65" t="s">
        <v>33</v>
      </c>
      <c r="D78" s="65" t="s">
        <v>32</v>
      </c>
      <c r="E78" s="65" t="s">
        <v>33</v>
      </c>
      <c r="F78" s="65"/>
      <c r="G78" s="65"/>
      <c r="H78" s="65"/>
      <c r="I78" s="65"/>
      <c r="J78" s="65"/>
      <c r="K78" s="65"/>
      <c r="L78" s="66"/>
      <c r="M78" s="66"/>
      <c r="N78" s="67"/>
      <c r="O78" s="67"/>
      <c r="P78" s="218">
        <f t="shared" ref="P76:P90" si="45">C78+E78+G78+I78+K78+M78+O78</f>
        <v>16</v>
      </c>
      <c r="Q78" s="62">
        <f t="shared" si="43"/>
        <v>0</v>
      </c>
      <c r="R78" s="219" t="str">
        <f t="shared" ref="R76:R90" si="46">A78</f>
        <v>Нетронин</v>
      </c>
      <c r="S78" s="71" t="s">
        <v>10</v>
      </c>
      <c r="T78" s="72" t="s">
        <v>9</v>
      </c>
      <c r="U78" s="73">
        <v>0</v>
      </c>
      <c r="V78" s="62">
        <v>0</v>
      </c>
      <c r="W78" s="62"/>
      <c r="X78" s="74" t="s">
        <v>34</v>
      </c>
      <c r="Y78" s="7"/>
      <c r="Z78" s="7"/>
      <c r="AA78" s="7"/>
      <c r="AB78" s="13"/>
      <c r="AC78" s="13"/>
      <c r="AD78" s="13"/>
    </row>
    <row r="79" ht="14.4">
      <c r="A79" s="217" t="s">
        <v>35</v>
      </c>
      <c r="B79" s="122"/>
      <c r="C79" s="122" t="s">
        <v>33</v>
      </c>
      <c r="D79" s="65" t="s">
        <v>32</v>
      </c>
      <c r="E79" s="65" t="s">
        <v>33</v>
      </c>
      <c r="F79" s="65"/>
      <c r="G79" s="65"/>
      <c r="H79" s="65"/>
      <c r="I79" s="65"/>
      <c r="J79" s="65"/>
      <c r="K79" s="65"/>
      <c r="L79" s="66"/>
      <c r="M79" s="66"/>
      <c r="N79" s="66"/>
      <c r="O79" s="66"/>
      <c r="P79" s="218">
        <f t="shared" si="45"/>
        <v>16</v>
      </c>
      <c r="Q79" s="62">
        <f t="shared" si="43"/>
        <v>0</v>
      </c>
      <c r="R79" s="219" t="str">
        <f t="shared" si="46"/>
        <v>Рычков</v>
      </c>
      <c r="S79" s="76" t="s">
        <v>10</v>
      </c>
      <c r="T79" s="77" t="s">
        <v>9</v>
      </c>
      <c r="U79" s="73">
        <f t="shared" ref="U77:U90" si="47">COUNTIF(T79,B79)+COUNTIF(T79,D79)+COUNTIF(T79,F79)+COUNTIF(T79,H79)+COUNTIF(T79,J79)+COUNTIF(T79,L79)+COUNTIF(T79,N79)</f>
        <v>0</v>
      </c>
      <c r="V79" s="62">
        <f t="shared" si="44"/>
        <v>0</v>
      </c>
      <c r="W79" s="62"/>
      <c r="X79" s="74" t="s">
        <v>34</v>
      </c>
      <c r="Y79" s="7"/>
      <c r="Z79" s="7"/>
      <c r="AA79" s="7"/>
      <c r="AB79" s="13"/>
      <c r="AC79" s="13"/>
      <c r="AD79" s="13"/>
    </row>
    <row r="80" ht="14.4">
      <c r="A80" s="203" t="s">
        <v>39</v>
      </c>
      <c r="B80" s="65" t="s">
        <v>32</v>
      </c>
      <c r="C80" s="65" t="s">
        <v>33</v>
      </c>
      <c r="D80" s="65" t="s">
        <v>32</v>
      </c>
      <c r="E80" s="65" t="s">
        <v>33</v>
      </c>
      <c r="F80" s="65"/>
      <c r="G80" s="65"/>
      <c r="H80" s="65"/>
      <c r="I80" s="65"/>
      <c r="J80" s="65"/>
      <c r="K80" s="65"/>
      <c r="L80" s="66"/>
      <c r="M80" s="66"/>
      <c r="N80" s="66"/>
      <c r="O80" s="66"/>
      <c r="P80" s="218">
        <f t="shared" si="45"/>
        <v>16</v>
      </c>
      <c r="Q80" s="62">
        <f t="shared" si="43"/>
        <v>0</v>
      </c>
      <c r="R80" s="219" t="str">
        <f t="shared" si="46"/>
        <v>Игумнов</v>
      </c>
      <c r="S80" s="76" t="s">
        <v>10</v>
      </c>
      <c r="T80" s="77" t="s">
        <v>9</v>
      </c>
      <c r="U80" s="73">
        <f t="shared" si="47"/>
        <v>0</v>
      </c>
      <c r="V80" s="62">
        <f t="shared" si="44"/>
        <v>0</v>
      </c>
      <c r="W80" s="62"/>
      <c r="X80" s="79" t="s">
        <v>34</v>
      </c>
      <c r="Y80" s="7"/>
      <c r="Z80" s="7"/>
      <c r="AA80" s="7"/>
      <c r="AB80" s="13"/>
      <c r="AC80" s="13"/>
      <c r="AD80" s="13"/>
    </row>
    <row r="81" ht="14.4">
      <c r="A81" s="203" t="s">
        <v>40</v>
      </c>
      <c r="B81" s="65" t="s">
        <v>32</v>
      </c>
      <c r="C81" s="65" t="s">
        <v>33</v>
      </c>
      <c r="D81" s="65" t="s">
        <v>32</v>
      </c>
      <c r="E81" s="65" t="s">
        <v>33</v>
      </c>
      <c r="F81" s="65"/>
      <c r="G81" s="65"/>
      <c r="H81" s="65"/>
      <c r="I81" s="65"/>
      <c r="J81" s="65"/>
      <c r="K81" s="65"/>
      <c r="L81" s="66"/>
      <c r="M81" s="66"/>
      <c r="N81" s="66"/>
      <c r="O81" s="66"/>
      <c r="P81" s="218">
        <f t="shared" si="45"/>
        <v>16</v>
      </c>
      <c r="Q81" s="62">
        <f t="shared" si="43"/>
        <v>0</v>
      </c>
      <c r="R81" s="219" t="str">
        <f t="shared" si="46"/>
        <v>Душин</v>
      </c>
      <c r="S81" s="76" t="s">
        <v>10</v>
      </c>
      <c r="T81" s="77" t="s">
        <v>9</v>
      </c>
      <c r="U81" s="73">
        <f>COUNTIF(T81,B81)+COUNTIF(T81,D81)+COUNTIF(T81,F81)+COUNTIF(T81,H81)+COUNTIF(T81,J81)+COUNTIF(T81,L81)+COUNTIF(T81,#REF!)</f>
        <v>0</v>
      </c>
      <c r="V81" s="62">
        <f>COUNTIF(S81,B81)+COUNTIF(S81,D81)+COUNTIF(S81,F81)+COUNTIF(S81,H81)+COUNTIF(S81,J81)+COUNTIF(S81,L81)+COUNTIF(S81,#REF!)</f>
        <v>0</v>
      </c>
      <c r="W81" s="62"/>
      <c r="X81" s="74" t="s">
        <v>38</v>
      </c>
      <c r="Y81" s="7"/>
      <c r="Z81" s="7"/>
      <c r="AA81" s="7"/>
      <c r="AB81" s="13"/>
      <c r="AC81" s="13"/>
      <c r="AD81" s="13"/>
    </row>
    <row r="82" ht="14.4">
      <c r="A82" s="271" t="s">
        <v>42</v>
      </c>
      <c r="B82" s="65" t="s">
        <v>32</v>
      </c>
      <c r="C82" s="65" t="s">
        <v>33</v>
      </c>
      <c r="D82" s="65" t="s">
        <v>32</v>
      </c>
      <c r="E82" s="65" t="s">
        <v>33</v>
      </c>
      <c r="F82" s="65"/>
      <c r="G82" s="65"/>
      <c r="H82" s="65"/>
      <c r="I82" s="65"/>
      <c r="J82" s="65"/>
      <c r="K82" s="65"/>
      <c r="L82" s="66"/>
      <c r="M82" s="66"/>
      <c r="O82" s="66"/>
      <c r="P82" s="218">
        <f t="shared" si="45"/>
        <v>16</v>
      </c>
      <c r="Q82" s="62">
        <f t="shared" si="43"/>
        <v>0</v>
      </c>
      <c r="R82" s="222" t="str">
        <f t="shared" si="46"/>
        <v>Юращик</v>
      </c>
      <c r="S82" s="76" t="s">
        <v>10</v>
      </c>
      <c r="T82" s="77" t="s">
        <v>9</v>
      </c>
      <c r="U82" s="240">
        <f t="shared" ref="U82:U83" si="48">COUNTIF(T82,B82)+COUNTIF(T82,D82)+COUNTIF(T82,F82)+COUNTIF(T82,H82)+COUNTIF(T82,J82)+COUNTIF(T82,L82)+COUNTIF(T82,N81)</f>
        <v>0</v>
      </c>
      <c r="V82" s="221">
        <f t="shared" ref="V82:V83" si="49">COUNTIF(S82,B82)+COUNTIF(S82,D82)+COUNTIF(S82,F82)+COUNTIF(S82,H82)+COUNTIF(S82,J82)+COUNTIF(S82,L82)+COUNTIF(S82,N81)</f>
        <v>0</v>
      </c>
      <c r="W82" s="62"/>
      <c r="X82" s="74" t="s">
        <v>38</v>
      </c>
      <c r="Y82" s="7"/>
      <c r="Z82" s="7"/>
      <c r="AA82" s="7"/>
      <c r="AB82" s="13"/>
      <c r="AC82" s="13"/>
      <c r="AD82" s="13"/>
    </row>
    <row r="83" ht="14.4">
      <c r="A83" s="64" t="s">
        <v>52</v>
      </c>
      <c r="B83" s="65" t="s">
        <v>54</v>
      </c>
      <c r="C83" s="198" t="s">
        <v>33</v>
      </c>
      <c r="D83" s="65" t="s">
        <v>54</v>
      </c>
      <c r="E83" s="260" t="s">
        <v>33</v>
      </c>
      <c r="F83" s="65"/>
      <c r="G83" s="65"/>
      <c r="H83" s="65"/>
      <c r="I83" s="65"/>
      <c r="J83" s="65"/>
      <c r="K83" s="65"/>
      <c r="L83" s="66"/>
      <c r="M83" s="66"/>
      <c r="N83" s="66"/>
      <c r="O83" s="66"/>
      <c r="P83" s="218">
        <f t="shared" si="45"/>
        <v>16</v>
      </c>
      <c r="Q83" s="62">
        <f t="shared" si="43"/>
        <v>0</v>
      </c>
      <c r="R83" s="70" t="s">
        <v>52</v>
      </c>
      <c r="S83" s="71" t="s">
        <v>8</v>
      </c>
      <c r="T83" s="262" t="s">
        <v>7</v>
      </c>
      <c r="U83" s="240">
        <f t="shared" si="48"/>
        <v>0</v>
      </c>
      <c r="V83" s="221">
        <f t="shared" si="49"/>
        <v>0</v>
      </c>
      <c r="W83" s="90"/>
      <c r="X83" s="74"/>
      <c r="Y83" s="7"/>
      <c r="Z83" s="7"/>
      <c r="AA83" s="7"/>
      <c r="AB83" s="13"/>
      <c r="AC83" s="13"/>
      <c r="AD83" s="13"/>
    </row>
    <row r="84" ht="14.4">
      <c r="A84" s="204" t="s">
        <v>43</v>
      </c>
      <c r="B84" s="72"/>
      <c r="C84" s="77"/>
      <c r="D84" s="67"/>
      <c r="E84" s="67"/>
      <c r="F84" s="67"/>
      <c r="G84" s="67"/>
      <c r="H84" s="71"/>
      <c r="I84" s="225"/>
      <c r="J84" s="71"/>
      <c r="K84" s="78"/>
      <c r="L84" s="82"/>
      <c r="M84" s="82"/>
      <c r="N84" s="66"/>
      <c r="O84" s="66"/>
      <c r="P84" s="218">
        <f t="shared" si="45"/>
        <v>0</v>
      </c>
      <c r="Q84" s="62">
        <f t="shared" si="43"/>
        <v>176</v>
      </c>
      <c r="R84" s="230" t="s">
        <v>43</v>
      </c>
      <c r="S84" s="268" t="s">
        <v>12</v>
      </c>
      <c r="T84" s="72" t="s">
        <v>11</v>
      </c>
      <c r="U84" s="244">
        <f t="shared" si="47"/>
        <v>0</v>
      </c>
      <c r="V84" s="229">
        <f t="shared" si="44"/>
        <v>0</v>
      </c>
      <c r="W84" s="62"/>
      <c r="X84" s="74" t="s">
        <v>44</v>
      </c>
      <c r="Y84" s="7"/>
      <c r="Z84" s="7"/>
      <c r="AA84" s="7"/>
      <c r="AB84" s="13"/>
      <c r="AC84" s="13"/>
      <c r="AD84" s="13"/>
    </row>
    <row r="85" ht="14.4">
      <c r="A85" s="204" t="s">
        <v>45</v>
      </c>
      <c r="B85" s="66"/>
      <c r="C85" s="66"/>
      <c r="D85" s="268"/>
      <c r="E85" s="78"/>
      <c r="F85" s="268"/>
      <c r="G85" s="78"/>
      <c r="H85" s="66"/>
      <c r="I85" s="66"/>
      <c r="J85" s="82"/>
      <c r="K85" s="82"/>
      <c r="L85" s="251"/>
      <c r="M85" s="83"/>
      <c r="N85" s="251"/>
      <c r="O85" s="83"/>
      <c r="P85" s="218">
        <f t="shared" si="45"/>
        <v>0</v>
      </c>
      <c r="Q85" s="62">
        <f t="shared" si="43"/>
        <v>176</v>
      </c>
      <c r="R85" s="219" t="str">
        <f t="shared" si="46"/>
        <v>Пузырь</v>
      </c>
      <c r="S85" s="76" t="s">
        <v>10</v>
      </c>
      <c r="T85" s="77" t="s">
        <v>9</v>
      </c>
      <c r="U85" s="73">
        <f t="shared" si="47"/>
        <v>0</v>
      </c>
      <c r="V85" s="62">
        <f t="shared" si="44"/>
        <v>0</v>
      </c>
      <c r="W85" s="62"/>
      <c r="X85" s="74" t="s">
        <v>34</v>
      </c>
      <c r="Y85" s="7"/>
      <c r="Z85" s="7"/>
      <c r="AA85" s="7"/>
      <c r="AB85" s="13"/>
      <c r="AC85" s="13"/>
      <c r="AD85" s="13"/>
    </row>
    <row r="86" ht="14.4">
      <c r="A86" s="205" t="s">
        <v>46</v>
      </c>
      <c r="B86" s="87"/>
      <c r="C86" s="87"/>
      <c r="D86" s="67"/>
      <c r="E86" s="67"/>
      <c r="F86" s="67"/>
      <c r="G86" s="67"/>
      <c r="H86" s="225"/>
      <c r="I86" s="225"/>
      <c r="J86" s="78"/>
      <c r="K86" s="78"/>
      <c r="L86" s="82"/>
      <c r="M86" s="82"/>
      <c r="N86" s="66"/>
      <c r="O86" s="66"/>
      <c r="P86" s="218">
        <f t="shared" si="45"/>
        <v>0</v>
      </c>
      <c r="Q86" s="62">
        <f t="shared" si="43"/>
        <v>176</v>
      </c>
      <c r="R86" s="219" t="str">
        <f t="shared" si="46"/>
        <v>Голышев</v>
      </c>
      <c r="S86" s="76" t="s">
        <v>10</v>
      </c>
      <c r="T86" s="77" t="s">
        <v>9</v>
      </c>
      <c r="U86" s="73">
        <f t="shared" si="47"/>
        <v>0</v>
      </c>
      <c r="V86" s="62">
        <f t="shared" si="44"/>
        <v>0</v>
      </c>
      <c r="W86" s="62"/>
      <c r="X86" s="74" t="s">
        <v>34</v>
      </c>
      <c r="Y86" s="7"/>
      <c r="Z86" s="7"/>
      <c r="AA86" s="7"/>
      <c r="AB86" s="13"/>
      <c r="AC86" s="13"/>
      <c r="AD86" s="13"/>
    </row>
    <row r="87" ht="14.4">
      <c r="A87" s="205" t="s">
        <v>47</v>
      </c>
      <c r="B87" s="77"/>
      <c r="C87" s="251"/>
      <c r="D87" s="77"/>
      <c r="E87" s="77"/>
      <c r="F87" s="283"/>
      <c r="G87" s="275"/>
      <c r="H87" s="67"/>
      <c r="I87" s="67"/>
      <c r="J87" s="66"/>
      <c r="K87" s="66"/>
      <c r="L87" s="268"/>
      <c r="M87" s="76"/>
      <c r="N87" s="268"/>
      <c r="O87" s="78"/>
      <c r="P87" s="218">
        <f t="shared" si="45"/>
        <v>0</v>
      </c>
      <c r="Q87" s="62">
        <f t="shared" si="43"/>
        <v>176</v>
      </c>
      <c r="R87" s="219" t="str">
        <f t="shared" si="46"/>
        <v>Торубара</v>
      </c>
      <c r="S87" s="76" t="s">
        <v>10</v>
      </c>
      <c r="T87" s="77" t="s">
        <v>9</v>
      </c>
      <c r="U87" s="73">
        <f t="shared" si="47"/>
        <v>0</v>
      </c>
      <c r="V87" s="62">
        <f t="shared" si="44"/>
        <v>0</v>
      </c>
      <c r="W87" s="62"/>
      <c r="X87" s="74" t="s">
        <v>34</v>
      </c>
      <c r="Y87" s="7"/>
      <c r="Z87" s="7"/>
      <c r="AA87" s="7"/>
      <c r="AB87" s="13"/>
      <c r="AC87" s="13"/>
      <c r="AD87" s="13"/>
    </row>
    <row r="88" ht="14.4">
      <c r="A88" s="205" t="s">
        <v>48</v>
      </c>
      <c r="B88" s="66"/>
      <c r="C88" s="66"/>
      <c r="D88" s="262"/>
      <c r="E88" s="83"/>
      <c r="F88" s="72"/>
      <c r="G88" s="83"/>
      <c r="H88" s="67"/>
      <c r="I88" s="66"/>
      <c r="J88" s="82"/>
      <c r="K88" s="82"/>
      <c r="L88" s="78"/>
      <c r="M88" s="78"/>
      <c r="N88" s="78"/>
      <c r="O88" s="78"/>
      <c r="P88" s="218">
        <f t="shared" si="45"/>
        <v>0</v>
      </c>
      <c r="Q88" s="62">
        <f t="shared" si="43"/>
        <v>176</v>
      </c>
      <c r="R88" s="219" t="str">
        <f t="shared" si="46"/>
        <v>Стрыгин</v>
      </c>
      <c r="S88" s="71" t="s">
        <v>8</v>
      </c>
      <c r="T88" s="72" t="s">
        <v>7</v>
      </c>
      <c r="U88" s="73">
        <f t="shared" si="47"/>
        <v>0</v>
      </c>
      <c r="V88" s="62">
        <f t="shared" si="44"/>
        <v>0</v>
      </c>
      <c r="W88" s="62"/>
      <c r="X88" s="74" t="s">
        <v>49</v>
      </c>
      <c r="Y88" s="7"/>
      <c r="Z88" s="7"/>
      <c r="AA88" s="7"/>
      <c r="AB88" s="13"/>
      <c r="AC88" s="13"/>
      <c r="AD88" s="13"/>
    </row>
    <row r="89" ht="14.4">
      <c r="A89" s="205" t="s">
        <v>50</v>
      </c>
      <c r="B89" s="149"/>
      <c r="C89" s="78"/>
      <c r="D89" s="66"/>
      <c r="E89" s="66"/>
      <c r="F89" s="82"/>
      <c r="G89" s="82"/>
      <c r="H89" s="262"/>
      <c r="I89" s="83"/>
      <c r="J89" s="262"/>
      <c r="K89" s="83"/>
      <c r="L89" s="82"/>
      <c r="M89" s="82"/>
      <c r="N89" s="82"/>
      <c r="O89" s="82"/>
      <c r="P89" s="218">
        <f t="shared" si="45"/>
        <v>0</v>
      </c>
      <c r="Q89" s="62">
        <f t="shared" si="43"/>
        <v>176</v>
      </c>
      <c r="R89" s="219" t="str">
        <f t="shared" si="46"/>
        <v>Фрик</v>
      </c>
      <c r="S89" s="71" t="s">
        <v>12</v>
      </c>
      <c r="T89" s="72" t="s">
        <v>11</v>
      </c>
      <c r="U89" s="73">
        <f t="shared" si="47"/>
        <v>0</v>
      </c>
      <c r="V89" s="62">
        <f t="shared" si="44"/>
        <v>0</v>
      </c>
      <c r="W89" s="62"/>
      <c r="X89" s="74" t="s">
        <v>44</v>
      </c>
      <c r="Y89" s="7"/>
      <c r="Z89" s="7"/>
      <c r="AA89" s="7"/>
      <c r="AB89" s="13"/>
      <c r="AC89" s="13"/>
      <c r="AD89" s="13"/>
    </row>
    <row r="90" ht="14.4">
      <c r="A90" s="206" t="s">
        <v>51</v>
      </c>
      <c r="B90" s="66"/>
      <c r="C90" s="66"/>
      <c r="D90" s="87"/>
      <c r="E90" s="87"/>
      <c r="F90" s="268"/>
      <c r="G90" s="76"/>
      <c r="H90" s="67"/>
      <c r="I90" s="67"/>
      <c r="J90" s="66"/>
      <c r="K90" s="66"/>
      <c r="L90" s="251"/>
      <c r="M90" s="156"/>
      <c r="N90" s="251"/>
      <c r="O90" s="156"/>
      <c r="P90" s="218">
        <f t="shared" si="45"/>
        <v>0</v>
      </c>
      <c r="Q90" s="62">
        <f t="shared" si="43"/>
        <v>176</v>
      </c>
      <c r="R90" s="219" t="str">
        <f t="shared" si="46"/>
        <v>Истрашкин</v>
      </c>
      <c r="S90" s="71" t="s">
        <v>10</v>
      </c>
      <c r="T90" s="72" t="s">
        <v>9</v>
      </c>
      <c r="U90" s="73">
        <f t="shared" si="47"/>
        <v>0</v>
      </c>
      <c r="V90" s="62">
        <f t="shared" si="44"/>
        <v>0</v>
      </c>
      <c r="W90" s="62"/>
      <c r="X90" s="74" t="s">
        <v>34</v>
      </c>
      <c r="Y90" s="7"/>
      <c r="Z90" s="7"/>
      <c r="AA90" s="7"/>
      <c r="AB90" s="13"/>
      <c r="AC90" s="13"/>
      <c r="AD90" s="13"/>
    </row>
    <row r="91" ht="14.4">
      <c r="A91" s="284"/>
      <c r="B91" s="210">
        <v>46293</v>
      </c>
      <c r="C91" s="211"/>
      <c r="D91" s="210">
        <v>46294</v>
      </c>
      <c r="E91" s="211"/>
      <c r="F91" s="210">
        <v>46295</v>
      </c>
      <c r="G91" s="211"/>
      <c r="H91" s="210">
        <v>46296</v>
      </c>
      <c r="I91" s="211"/>
      <c r="J91" s="210">
        <v>46297</v>
      </c>
      <c r="K91" s="211"/>
      <c r="L91" s="210">
        <v>46298</v>
      </c>
      <c r="M91" s="211"/>
      <c r="N91" s="210">
        <v>46299</v>
      </c>
      <c r="O91" s="212"/>
      <c r="P91" s="285"/>
      <c r="Q91" s="254"/>
      <c r="R91" s="207"/>
      <c r="S91" s="138"/>
      <c r="T91" s="138"/>
      <c r="U91" s="60" t="s">
        <v>27</v>
      </c>
      <c r="V91" s="61" t="s">
        <v>28</v>
      </c>
      <c r="W91" s="62" t="s">
        <v>29</v>
      </c>
      <c r="X91" s="7"/>
      <c r="Y91" s="7"/>
      <c r="Z91" s="7"/>
      <c r="AA91" s="7"/>
      <c r="AB91" s="13"/>
      <c r="AC91" s="13"/>
      <c r="AD91" s="13"/>
    </row>
    <row r="92" ht="14.4">
      <c r="A92" s="139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39"/>
      <c r="Q92" s="127"/>
      <c r="R92" s="139"/>
      <c r="S92" s="139"/>
      <c r="T92" s="139"/>
      <c r="U92" s="127"/>
      <c r="V92" s="127"/>
      <c r="W92" s="128"/>
      <c r="X92" s="7"/>
      <c r="Y92" s="7"/>
      <c r="Z92" s="7"/>
      <c r="AA92" s="7"/>
      <c r="AB92" s="13"/>
      <c r="AC92" s="13"/>
      <c r="AD92" s="13"/>
    </row>
    <row r="93" ht="14.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153"/>
      <c r="R93" s="7"/>
      <c r="S93" s="7"/>
      <c r="T93" s="7"/>
      <c r="U93" s="153"/>
      <c r="V93" s="153"/>
      <c r="W93" s="12"/>
      <c r="X93" s="7"/>
      <c r="Y93" s="7"/>
      <c r="Z93" s="7"/>
      <c r="AA93" s="7"/>
      <c r="AB93" s="13"/>
      <c r="AC93" s="13"/>
      <c r="AD93" s="13"/>
    </row>
    <row r="94" ht="14.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53"/>
      <c r="R94" s="7"/>
      <c r="S94" s="7"/>
      <c r="T94" s="7"/>
      <c r="U94" s="153"/>
      <c r="V94" s="153"/>
      <c r="W94" s="12"/>
      <c r="X94" s="7"/>
      <c r="Y94" s="7"/>
      <c r="Z94" s="7"/>
      <c r="AA94" s="7"/>
      <c r="AB94" s="13"/>
      <c r="AC94" s="13"/>
      <c r="AD94" s="13"/>
    </row>
    <row r="95" ht="14.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153"/>
      <c r="R95" s="7"/>
      <c r="S95" s="7"/>
      <c r="T95" s="7"/>
      <c r="U95" s="153"/>
      <c r="V95" s="153"/>
      <c r="W95" s="12"/>
      <c r="X95" s="7"/>
      <c r="Y95" s="7"/>
      <c r="Z95" s="7"/>
      <c r="AA95" s="7"/>
      <c r="AB95" s="13"/>
      <c r="AC95" s="13"/>
      <c r="AD95" s="13"/>
    </row>
    <row r="96" ht="14.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153"/>
      <c r="R96" s="7"/>
      <c r="S96" s="7"/>
      <c r="T96" s="7"/>
      <c r="U96" s="153"/>
      <c r="V96" s="153"/>
      <c r="W96" s="12"/>
      <c r="X96" s="7"/>
      <c r="Y96" s="7"/>
      <c r="Z96" s="7"/>
      <c r="AA96" s="7"/>
      <c r="AB96" s="13"/>
      <c r="AC96" s="13"/>
      <c r="AD96" s="13"/>
    </row>
    <row r="97" ht="14.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153"/>
      <c r="R97" s="7"/>
      <c r="S97" s="7"/>
      <c r="T97" s="7"/>
      <c r="U97" s="153"/>
      <c r="V97" s="153"/>
      <c r="W97" s="12"/>
      <c r="X97" s="7"/>
      <c r="Y97" s="7"/>
      <c r="Z97" s="7"/>
      <c r="AA97" s="7"/>
      <c r="AB97" s="13"/>
      <c r="AC97" s="13"/>
      <c r="AD97" s="13"/>
    </row>
    <row r="98" ht="14.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53"/>
      <c r="R98" s="7"/>
      <c r="S98" s="7"/>
      <c r="T98" s="7"/>
      <c r="U98" s="153"/>
      <c r="V98" s="153"/>
      <c r="W98" s="12"/>
      <c r="X98" s="7"/>
      <c r="Y98" s="7"/>
      <c r="Z98" s="7"/>
      <c r="AA98" s="7"/>
      <c r="AB98" s="13"/>
      <c r="AC98" s="13"/>
      <c r="AD98" s="13"/>
    </row>
    <row r="99" ht="14.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53"/>
      <c r="R99" s="7"/>
      <c r="S99" s="7"/>
      <c r="T99" s="7"/>
      <c r="U99" s="153"/>
      <c r="V99" s="153"/>
      <c r="W99" s="12"/>
      <c r="X99" s="7"/>
      <c r="Y99" s="7"/>
      <c r="Z99" s="7"/>
      <c r="AA99" s="7"/>
      <c r="AB99" s="13"/>
      <c r="AC99" s="13"/>
      <c r="AD99" s="13"/>
    </row>
    <row r="100" ht="14.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3"/>
      <c r="R100" s="7"/>
      <c r="S100" s="7"/>
      <c r="T100" s="7"/>
      <c r="U100" s="153"/>
      <c r="V100" s="153"/>
      <c r="W100" s="12"/>
      <c r="X100" s="7"/>
      <c r="Y100" s="7"/>
      <c r="Z100" s="7"/>
      <c r="AA100" s="7"/>
      <c r="AB100" s="13"/>
      <c r="AC100" s="13"/>
      <c r="AD100" s="13"/>
    </row>
    <row r="101" ht="14.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3"/>
      <c r="R101" s="7"/>
      <c r="S101" s="7"/>
      <c r="T101" s="7"/>
      <c r="U101" s="153"/>
      <c r="V101" s="153"/>
      <c r="W101" s="12"/>
      <c r="X101" s="7"/>
      <c r="Y101" s="7"/>
      <c r="Z101" s="7"/>
      <c r="AA101" s="7"/>
      <c r="AB101" s="13"/>
      <c r="AC101" s="13"/>
      <c r="AD101" s="13"/>
    </row>
    <row r="102" ht="14.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3"/>
      <c r="R102" s="7"/>
      <c r="S102" s="7"/>
      <c r="T102" s="7"/>
      <c r="U102" s="153"/>
      <c r="V102" s="153"/>
      <c r="W102" s="12"/>
      <c r="X102" s="7"/>
      <c r="Y102" s="7"/>
      <c r="Z102" s="7"/>
      <c r="AA102" s="7"/>
      <c r="AB102" s="13"/>
      <c r="AC102" s="13"/>
      <c r="AD102" s="13"/>
    </row>
    <row r="103" ht="14.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3"/>
      <c r="R103" s="7"/>
      <c r="S103" s="7"/>
      <c r="T103" s="7"/>
      <c r="U103" s="153"/>
      <c r="V103" s="153"/>
      <c r="W103" s="12"/>
      <c r="X103" s="7"/>
      <c r="Y103" s="7"/>
      <c r="Z103" s="7"/>
      <c r="AA103" s="7"/>
      <c r="AB103" s="13"/>
      <c r="AC103" s="13"/>
      <c r="AD103" s="13"/>
    </row>
    <row r="104" ht="14.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3"/>
      <c r="R104" s="7"/>
      <c r="S104" s="7"/>
      <c r="T104" s="7"/>
      <c r="U104" s="153"/>
      <c r="V104" s="153"/>
      <c r="W104" s="12"/>
      <c r="X104" s="7"/>
      <c r="Y104" s="7"/>
      <c r="Z104" s="7"/>
      <c r="AA104" s="7"/>
      <c r="AB104" s="13"/>
      <c r="AC104" s="13"/>
      <c r="AD104" s="13"/>
    </row>
    <row r="105" ht="14.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3"/>
      <c r="R105" s="7"/>
      <c r="S105" s="7"/>
      <c r="T105" s="7"/>
      <c r="U105" s="153"/>
      <c r="V105" s="153"/>
      <c r="W105" s="12"/>
      <c r="X105" s="7"/>
      <c r="Y105" s="7"/>
      <c r="Z105" s="7"/>
      <c r="AA105" s="7"/>
      <c r="AB105" s="13"/>
      <c r="AC105" s="13"/>
      <c r="AD105" s="13"/>
    </row>
    <row r="106" ht="14.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 ht="14.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 ht="14.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 ht="14.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7"/>
      <c r="Q644" s="153"/>
      <c r="R644" s="7"/>
      <c r="S644" s="7"/>
      <c r="T644" s="7"/>
      <c r="U644" s="153"/>
      <c r="V644" s="153"/>
      <c r="W644" s="12"/>
      <c r="X644" s="7"/>
      <c r="Y644" s="7"/>
      <c r="Z644" s="7"/>
      <c r="AA644" s="7"/>
      <c r="AB644" s="13"/>
      <c r="AC644" s="13"/>
      <c r="AD644" s="13"/>
    </row>
    <row r="645" ht="14.4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7"/>
      <c r="Q645" s="153"/>
      <c r="R645" s="7"/>
      <c r="S645" s="7"/>
      <c r="T645" s="7"/>
      <c r="U645" s="153"/>
      <c r="V645" s="153"/>
      <c r="W645" s="12"/>
      <c r="X645" s="7"/>
      <c r="Y645" s="7"/>
      <c r="Z645" s="7"/>
      <c r="AA645" s="7"/>
      <c r="AB645" s="13"/>
      <c r="AC645" s="13"/>
      <c r="AD645" s="13"/>
    </row>
    <row r="646" ht="14.4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7"/>
      <c r="Q646" s="153"/>
      <c r="R646" s="7"/>
      <c r="S646" s="7"/>
      <c r="T646" s="7"/>
      <c r="U646" s="153"/>
      <c r="V646" s="153"/>
      <c r="W646" s="12"/>
      <c r="X646" s="7"/>
      <c r="Y646" s="7"/>
      <c r="Z646" s="7"/>
      <c r="AA646" s="7"/>
      <c r="AB646" s="13"/>
      <c r="AC646" s="13"/>
      <c r="AD646" s="13"/>
    </row>
    <row r="647" ht="14.4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7"/>
      <c r="Q647" s="153"/>
      <c r="R647" s="7"/>
      <c r="S647" s="7"/>
      <c r="T647" s="7"/>
      <c r="U647" s="153"/>
      <c r="V647" s="153"/>
      <c r="W647" s="12"/>
      <c r="X647" s="21"/>
      <c r="Y647" s="7"/>
      <c r="Z647" s="7"/>
      <c r="AA647" s="7"/>
      <c r="AB647" s="13"/>
      <c r="AC647" s="13"/>
      <c r="AD647" s="13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154"/>
      <c r="R648" s="21"/>
      <c r="S648" s="21"/>
      <c r="T648" s="21"/>
      <c r="U648" s="154"/>
      <c r="V648" s="154"/>
      <c r="W648" s="154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154"/>
      <c r="R649" s="21"/>
      <c r="S649" s="21"/>
      <c r="T649" s="21"/>
      <c r="U649" s="154"/>
      <c r="V649" s="154"/>
      <c r="W649" s="154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154"/>
      <c r="R650" s="21"/>
      <c r="S650" s="21"/>
      <c r="T650" s="21"/>
      <c r="U650" s="154"/>
      <c r="V650" s="154"/>
      <c r="W650" s="154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154"/>
      <c r="R651" s="21"/>
      <c r="S651" s="21"/>
      <c r="T651" s="21"/>
      <c r="U651" s="154"/>
      <c r="V651" s="154"/>
      <c r="W651" s="154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154"/>
      <c r="R652" s="21"/>
      <c r="S652" s="21"/>
      <c r="T652" s="21"/>
      <c r="U652" s="154"/>
      <c r="V652" s="154"/>
      <c r="W652" s="154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154"/>
      <c r="R653" s="21"/>
      <c r="S653" s="21"/>
      <c r="T653" s="21"/>
      <c r="U653" s="154"/>
      <c r="V653" s="154"/>
      <c r="W653" s="154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154"/>
      <c r="R654" s="21"/>
      <c r="S654" s="21"/>
      <c r="T654" s="21"/>
      <c r="U654" s="154"/>
      <c r="V654" s="154"/>
      <c r="W654" s="154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154"/>
      <c r="R655" s="21"/>
      <c r="S655" s="21"/>
      <c r="T655" s="21"/>
      <c r="U655" s="154"/>
      <c r="V655" s="154"/>
      <c r="W655" s="154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154"/>
      <c r="R656" s="21"/>
      <c r="S656" s="21"/>
      <c r="T656" s="21"/>
      <c r="U656" s="154"/>
      <c r="V656" s="154"/>
      <c r="W656" s="154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154"/>
      <c r="R657" s="21"/>
      <c r="S657" s="21"/>
      <c r="T657" s="21"/>
      <c r="U657" s="154"/>
      <c r="V657" s="154"/>
      <c r="W657" s="154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154"/>
      <c r="R658" s="21"/>
      <c r="S658" s="21"/>
      <c r="T658" s="21"/>
      <c r="U658" s="154"/>
      <c r="V658" s="154"/>
      <c r="W658" s="154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154"/>
      <c r="R659" s="21"/>
      <c r="S659" s="21"/>
      <c r="T659" s="21"/>
      <c r="U659" s="154"/>
      <c r="V659" s="154"/>
      <c r="W659" s="154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154"/>
      <c r="R660" s="21"/>
      <c r="S660" s="21"/>
      <c r="T660" s="21"/>
      <c r="U660" s="154"/>
      <c r="V660" s="154"/>
      <c r="W660" s="154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154"/>
      <c r="R661" s="21"/>
      <c r="S661" s="21"/>
      <c r="T661" s="21"/>
      <c r="U661" s="154"/>
      <c r="V661" s="154"/>
      <c r="W661" s="154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154"/>
      <c r="R662" s="21"/>
      <c r="S662" s="21"/>
      <c r="T662" s="21"/>
      <c r="U662" s="154"/>
      <c r="V662" s="154"/>
      <c r="W662" s="154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154"/>
      <c r="R663" s="21"/>
      <c r="S663" s="21"/>
      <c r="T663" s="21"/>
      <c r="U663" s="154"/>
      <c r="V663" s="154"/>
      <c r="W663" s="154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154"/>
      <c r="R664" s="21"/>
      <c r="S664" s="21"/>
      <c r="T664" s="21"/>
      <c r="U664" s="154"/>
      <c r="V664" s="154"/>
      <c r="W664" s="154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154"/>
      <c r="R665" s="21"/>
      <c r="S665" s="21"/>
      <c r="T665" s="21"/>
      <c r="U665" s="154"/>
      <c r="V665" s="154"/>
      <c r="W665" s="154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54"/>
      <c r="R666" s="21"/>
      <c r="S666" s="21"/>
      <c r="T666" s="21"/>
      <c r="U666" s="154"/>
      <c r="V666" s="154"/>
      <c r="W666" s="154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54"/>
      <c r="R667" s="21"/>
      <c r="S667" s="21"/>
      <c r="T667" s="21"/>
      <c r="U667" s="154"/>
      <c r="V667" s="154"/>
      <c r="W667" s="154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54"/>
      <c r="R668" s="21"/>
      <c r="S668" s="21"/>
      <c r="T668" s="21"/>
      <c r="U668" s="154"/>
      <c r="V668" s="154"/>
      <c r="W668" s="154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54"/>
      <c r="R669" s="21"/>
      <c r="S669" s="21"/>
      <c r="T669" s="21"/>
      <c r="U669" s="154"/>
      <c r="V669" s="154"/>
      <c r="W669" s="154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54"/>
      <c r="R670" s="21"/>
      <c r="S670" s="21"/>
      <c r="T670" s="21"/>
      <c r="U670" s="154"/>
      <c r="V670" s="154"/>
      <c r="W670" s="154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54"/>
      <c r="R671" s="21"/>
      <c r="S671" s="21"/>
      <c r="T671" s="21"/>
      <c r="U671" s="154"/>
      <c r="V671" s="154"/>
      <c r="W671" s="154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54"/>
      <c r="R672" s="21"/>
      <c r="S672" s="21"/>
      <c r="T672" s="21"/>
      <c r="U672" s="154"/>
      <c r="V672" s="154"/>
      <c r="W672" s="154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54"/>
      <c r="R673" s="21"/>
      <c r="S673" s="21"/>
      <c r="T673" s="21"/>
      <c r="U673" s="154"/>
      <c r="V673" s="154"/>
      <c r="W673" s="154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54"/>
      <c r="R674" s="21"/>
      <c r="S674" s="21"/>
      <c r="T674" s="21"/>
      <c r="U674" s="154"/>
      <c r="V674" s="154"/>
      <c r="W674" s="154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54"/>
      <c r="R675" s="21"/>
      <c r="S675" s="21"/>
      <c r="T675" s="21"/>
      <c r="U675" s="154"/>
      <c r="V675" s="154"/>
      <c r="W675" s="154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54"/>
      <c r="R676" s="21"/>
      <c r="S676" s="21"/>
      <c r="T676" s="21"/>
      <c r="U676" s="154"/>
      <c r="V676" s="154"/>
      <c r="W676" s="154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54"/>
      <c r="R677" s="21"/>
      <c r="S677" s="21"/>
      <c r="T677" s="21"/>
      <c r="U677" s="154"/>
      <c r="V677" s="154"/>
      <c r="W677" s="154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54"/>
      <c r="R678" s="21"/>
      <c r="S678" s="21"/>
      <c r="T678" s="21"/>
      <c r="U678" s="154"/>
      <c r="V678" s="154"/>
      <c r="W678" s="154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54"/>
      <c r="R679" s="21"/>
      <c r="S679" s="21"/>
      <c r="T679" s="21"/>
      <c r="U679" s="154"/>
      <c r="V679" s="154"/>
      <c r="W679" s="154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54"/>
      <c r="R680" s="21"/>
      <c r="S680" s="21"/>
      <c r="T680" s="21"/>
      <c r="U680" s="154"/>
      <c r="V680" s="154"/>
      <c r="W680" s="154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54"/>
      <c r="R681" s="21"/>
      <c r="S681" s="21"/>
      <c r="T681" s="21"/>
      <c r="U681" s="154"/>
      <c r="V681" s="154"/>
      <c r="W681" s="154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54"/>
      <c r="R682" s="21"/>
      <c r="S682" s="21"/>
      <c r="T682" s="21"/>
      <c r="U682" s="154"/>
      <c r="V682" s="154"/>
      <c r="W682" s="154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54"/>
      <c r="R683" s="21"/>
      <c r="S683" s="21"/>
      <c r="T683" s="21"/>
      <c r="U683" s="154"/>
      <c r="V683" s="154"/>
      <c r="W683" s="154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54"/>
      <c r="R684" s="21"/>
      <c r="S684" s="21"/>
      <c r="T684" s="21"/>
      <c r="U684" s="154"/>
      <c r="V684" s="154"/>
      <c r="W684" s="154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54"/>
      <c r="R685" s="21"/>
      <c r="S685" s="21"/>
      <c r="T685" s="21"/>
      <c r="U685" s="154"/>
      <c r="V685" s="154"/>
      <c r="W685" s="154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154"/>
      <c r="R815" s="21"/>
      <c r="S815" s="21"/>
      <c r="T815" s="21"/>
      <c r="U815" s="154"/>
      <c r="V815" s="154"/>
      <c r="W815" s="154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154"/>
      <c r="R816" s="21"/>
      <c r="S816" s="21"/>
      <c r="T816" s="21"/>
      <c r="U816" s="154"/>
      <c r="V816" s="154"/>
      <c r="W816" s="154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154"/>
      <c r="R817" s="21"/>
      <c r="S817" s="21"/>
      <c r="T817" s="21"/>
      <c r="U817" s="154"/>
      <c r="V817" s="154"/>
      <c r="W817" s="154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</sheetData>
  <mergeCells count="14">
    <mergeCell ref="U9:V9"/>
    <mergeCell ref="P59:Q59"/>
    <mergeCell ref="P76:Q76"/>
    <mergeCell ref="L1:N5"/>
    <mergeCell ref="F7:J7"/>
    <mergeCell ref="P10:Q10"/>
    <mergeCell ref="A25:Q25"/>
    <mergeCell ref="P26:Q26"/>
    <mergeCell ref="A41:Q41"/>
    <mergeCell ref="P42:Q42"/>
    <mergeCell ref="F1:J1"/>
    <mergeCell ref="F2:K5"/>
    <mergeCell ref="N6:P7"/>
    <mergeCell ref="A9:Q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84" activeCellId="0" sqref="B84:M84"/>
    </sheetView>
  </sheetViews>
  <sheetFormatPr defaultRowHeight="13.5"/>
  <cols>
    <col customWidth="1" min="1" max="1" width="14.33203125"/>
    <col customWidth="1" min="2" max="2" width="11.109375"/>
    <col customWidth="1" min="3" max="3" width="5.88671875"/>
    <col customWidth="1" min="4" max="4" width="12"/>
    <col customWidth="1" min="5" max="5" width="5.88671875"/>
    <col customWidth="1" min="6" max="6" width="11.44140625"/>
    <col customWidth="1" min="7" max="7" width="5.88671875"/>
    <col customWidth="1" min="8" max="8" width="11.6640625"/>
    <col customWidth="1" min="9" max="9" width="5.88671875"/>
    <col customWidth="1" min="10" max="10" width="13.88671875"/>
    <col customWidth="1" min="11" max="11" width="5.88671875"/>
    <col customWidth="1" min="12" max="12" width="12.44140625"/>
    <col customWidth="1" min="13" max="13" width="5.88671875"/>
    <col customWidth="1" min="14" max="14" width="12.6640625"/>
    <col customWidth="1" min="15" max="16" width="5.88671875"/>
    <col customWidth="1" min="17" max="17" width="7.109375"/>
    <col customWidth="1" min="18" max="18" width="12.88671875"/>
  </cols>
  <sheetData>
    <row r="1" s="21" customFormat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25">
      <c r="A2" s="14"/>
      <c r="B2" s="15" t="s">
        <v>3</v>
      </c>
      <c r="C2" s="15" t="s">
        <v>4</v>
      </c>
      <c r="D2" s="16" t="s">
        <v>5</v>
      </c>
      <c r="E2" s="16" t="s">
        <v>4</v>
      </c>
      <c r="F2" s="17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25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25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25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25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25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s="21" customFormat="1" ht="14.25">
      <c r="A10" s="52"/>
      <c r="B10" s="56" t="s">
        <v>17</v>
      </c>
      <c r="C10" s="116"/>
      <c r="D10" s="56" t="s">
        <v>18</v>
      </c>
      <c r="E10" s="116"/>
      <c r="F10" s="56" t="s">
        <v>19</v>
      </c>
      <c r="G10" s="56"/>
      <c r="H10" s="56" t="s">
        <v>20</v>
      </c>
      <c r="I10" s="116"/>
      <c r="J10" s="129" t="s">
        <v>21</v>
      </c>
      <c r="K10" s="129"/>
      <c r="L10" s="56" t="s">
        <v>22</v>
      </c>
      <c r="M10" s="56"/>
      <c r="N10" s="56" t="s">
        <v>23</v>
      </c>
      <c r="O10" s="56"/>
      <c r="P10" s="56" t="s">
        <v>24</v>
      </c>
      <c r="Q10" s="56"/>
      <c r="R10" s="117">
        <v>168</v>
      </c>
      <c r="S10" s="143"/>
      <c r="T10" s="143"/>
      <c r="U10" s="286">
        <v>168</v>
      </c>
      <c r="V10" s="90"/>
      <c r="W10" s="62"/>
      <c r="X10" s="51"/>
      <c r="Y10" s="7"/>
      <c r="Z10" s="7"/>
      <c r="AA10" s="7"/>
      <c r="AB10" s="13"/>
      <c r="AC10" s="13"/>
      <c r="AD10" s="13"/>
    </row>
    <row r="11" s="21" customFormat="1" ht="14.25">
      <c r="A11" s="52"/>
      <c r="B11" s="53">
        <v>46230</v>
      </c>
      <c r="C11" s="53"/>
      <c r="D11" s="53">
        <v>46231</v>
      </c>
      <c r="E11" s="53"/>
      <c r="F11" s="53">
        <v>46232</v>
      </c>
      <c r="G11" s="53"/>
      <c r="H11" s="53">
        <v>46233</v>
      </c>
      <c r="I11" s="53"/>
      <c r="J11" s="53">
        <v>46234</v>
      </c>
      <c r="K11" s="53"/>
      <c r="L11" s="53">
        <v>46235</v>
      </c>
      <c r="M11" s="53"/>
      <c r="N11" s="53">
        <v>46236</v>
      </c>
      <c r="O11" s="53"/>
      <c r="P11" s="55" t="s">
        <v>25</v>
      </c>
      <c r="Q11" s="56" t="s">
        <v>26</v>
      </c>
      <c r="R11" s="287"/>
      <c r="S11" s="147"/>
      <c r="T11" s="147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s="21" customFormat="1" ht="14.25">
      <c r="A12" s="64" t="s">
        <v>35</v>
      </c>
      <c r="B12" s="65" t="s">
        <v>32</v>
      </c>
      <c r="C12" s="65" t="s">
        <v>33</v>
      </c>
      <c r="D12" s="65" t="s">
        <v>32</v>
      </c>
      <c r="E12" s="65" t="s">
        <v>33</v>
      </c>
      <c r="F12" s="65" t="s">
        <v>32</v>
      </c>
      <c r="G12" s="65" t="s">
        <v>33</v>
      </c>
      <c r="H12" s="65" t="s">
        <v>32</v>
      </c>
      <c r="I12" s="65" t="s">
        <v>33</v>
      </c>
      <c r="J12" s="65" t="s">
        <v>32</v>
      </c>
      <c r="K12" s="65" t="s">
        <v>33</v>
      </c>
      <c r="L12" s="66"/>
      <c r="M12" s="66"/>
      <c r="N12" s="66"/>
      <c r="O12" s="66"/>
      <c r="P12" s="68">
        <f t="shared" ref="P12:P75" si="50">C12+E12+G12+I12+K12+M12+O12</f>
        <v>40</v>
      </c>
      <c r="Q12" s="69">
        <f>R10-P12</f>
        <v>128</v>
      </c>
      <c r="R12" s="288" t="str">
        <f t="shared" ref="R12:R75" si="51">A12</f>
        <v>Рычков</v>
      </c>
      <c r="S12" s="76" t="s">
        <v>10</v>
      </c>
      <c r="T12" s="77" t="s">
        <v>9</v>
      </c>
      <c r="U12" s="73">
        <f t="shared" ref="U12:U70" si="52">COUNTIF(T12,B12)+COUNTIF(T12,D12)+COUNTIF(T12,F12)+COUNTIF(T12,H12)+COUNTIF(T12,J12)+COUNTIF(T12,L12)+COUNTIF(T12,N12)</f>
        <v>0</v>
      </c>
      <c r="V12" s="62">
        <f t="shared" ref="V12:V61" si="53">COUNTIF(S12,B12)+COUNTIF(S12,D12)+COUNTIF(S12,F12)+COUNTIF(S12,H12)+COUNTIF(S12,J12)+COUNTIF(S12,L12)+COUNTIF(S12,N12)</f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s="21" customFormat="1" ht="14.25">
      <c r="A13" s="64" t="s">
        <v>39</v>
      </c>
      <c r="B13" s="65" t="s">
        <v>32</v>
      </c>
      <c r="C13" s="65" t="s">
        <v>33</v>
      </c>
      <c r="D13" s="65" t="s">
        <v>32</v>
      </c>
      <c r="E13" s="65" t="s">
        <v>33</v>
      </c>
      <c r="F13" s="65" t="s">
        <v>32</v>
      </c>
      <c r="G13" s="65" t="s">
        <v>33</v>
      </c>
      <c r="H13" s="65" t="s">
        <v>32</v>
      </c>
      <c r="I13" s="65" t="s">
        <v>33</v>
      </c>
      <c r="J13" s="65" t="s">
        <v>32</v>
      </c>
      <c r="K13" s="65" t="s">
        <v>33</v>
      </c>
      <c r="L13" s="120"/>
      <c r="M13" s="120"/>
      <c r="N13" s="120"/>
      <c r="O13" s="120"/>
      <c r="P13" s="68">
        <f t="shared" si="50"/>
        <v>40</v>
      </c>
      <c r="Q13" s="69">
        <f>R10-P13</f>
        <v>128</v>
      </c>
      <c r="R13" s="288" t="str">
        <f t="shared" si="51"/>
        <v>Игумнов</v>
      </c>
      <c r="S13" s="76" t="s">
        <v>10</v>
      </c>
      <c r="T13" s="77" t="s">
        <v>9</v>
      </c>
      <c r="U13" s="73">
        <f t="shared" si="52"/>
        <v>0</v>
      </c>
      <c r="V13" s="62">
        <f t="shared" si="53"/>
        <v>0</v>
      </c>
      <c r="W13" s="62"/>
      <c r="X13" s="79" t="s">
        <v>34</v>
      </c>
      <c r="Y13" s="7"/>
      <c r="Z13" s="7"/>
      <c r="AA13" s="7"/>
      <c r="AB13" s="13"/>
      <c r="AC13" s="13"/>
      <c r="AD13" s="13"/>
    </row>
    <row r="14" s="21" customFormat="1" ht="14.25">
      <c r="A14" s="64" t="s">
        <v>40</v>
      </c>
      <c r="B14" s="65" t="s">
        <v>32</v>
      </c>
      <c r="C14" s="65" t="s">
        <v>33</v>
      </c>
      <c r="D14" s="65" t="s">
        <v>32</v>
      </c>
      <c r="E14" s="65" t="s">
        <v>33</v>
      </c>
      <c r="F14" s="65" t="s">
        <v>32</v>
      </c>
      <c r="G14" s="65" t="s">
        <v>33</v>
      </c>
      <c r="H14" s="65" t="s">
        <v>32</v>
      </c>
      <c r="I14" s="65" t="s">
        <v>33</v>
      </c>
      <c r="J14" s="65" t="s">
        <v>32</v>
      </c>
      <c r="K14" s="65" t="s">
        <v>33</v>
      </c>
      <c r="L14" s="201"/>
      <c r="M14" s="283"/>
      <c r="N14" s="201"/>
      <c r="O14" s="283"/>
      <c r="P14" s="68">
        <f t="shared" si="50"/>
        <v>40</v>
      </c>
      <c r="Q14" s="69">
        <f>R10-P14</f>
        <v>128</v>
      </c>
      <c r="R14" s="288" t="str">
        <f t="shared" si="51"/>
        <v>Душин</v>
      </c>
      <c r="S14" s="76" t="s">
        <v>10</v>
      </c>
      <c r="T14" s="77" t="s">
        <v>9</v>
      </c>
      <c r="U14" s="73">
        <f>COUNTIF(T13,B13)+COUNTIF(T13,D13)+COUNTIF(T13,F13)+COUNTIF(T13,H13)+COUNTIF(T13,J13)+COUNTIF(T13,L13)+COUNTIF(T13,N13)</f>
        <v>0</v>
      </c>
      <c r="V14" s="62">
        <f t="shared" si="53"/>
        <v>0</v>
      </c>
      <c r="W14" s="62"/>
      <c r="X14" s="74" t="s">
        <v>38</v>
      </c>
      <c r="Y14" s="7"/>
      <c r="Z14" s="7"/>
      <c r="AA14" s="7"/>
      <c r="AB14" s="13"/>
      <c r="AC14" s="13"/>
      <c r="AD14" s="13"/>
    </row>
    <row r="15" s="21" customFormat="1" ht="14.25">
      <c r="A15" s="64" t="s">
        <v>31</v>
      </c>
      <c r="B15" s="65" t="s">
        <v>32</v>
      </c>
      <c r="C15" s="65" t="s">
        <v>33</v>
      </c>
      <c r="D15" s="65" t="s">
        <v>32</v>
      </c>
      <c r="E15" s="65" t="s">
        <v>33</v>
      </c>
      <c r="F15" s="65" t="s">
        <v>32</v>
      </c>
      <c r="G15" s="65" t="s">
        <v>33</v>
      </c>
      <c r="H15" s="65" t="s">
        <v>32</v>
      </c>
      <c r="I15" s="65" t="s">
        <v>33</v>
      </c>
      <c r="J15" s="65" t="s">
        <v>32</v>
      </c>
      <c r="K15" s="65" t="s">
        <v>33</v>
      </c>
      <c r="L15" s="66"/>
      <c r="M15" s="66"/>
      <c r="N15" s="66"/>
      <c r="O15" s="66"/>
      <c r="P15" s="289">
        <f t="shared" si="50"/>
        <v>40</v>
      </c>
      <c r="Q15" s="69">
        <f>R10-P15</f>
        <v>128</v>
      </c>
      <c r="R15" s="290" t="s">
        <v>31</v>
      </c>
      <c r="S15" s="173" t="s">
        <v>58</v>
      </c>
      <c r="T15" s="77" t="s">
        <v>59</v>
      </c>
      <c r="U15" s="227">
        <f>COUNTIF(T15,B15)+COUNTIF(T15,D15)+COUNTIF(T15,F15)+COUNTIF(T15,H15)+COUNTIF(T15,J15)+COUNTIF(T15,L15)+COUNTIF(T15,N15)</f>
        <v>0</v>
      </c>
      <c r="V15" s="62">
        <f t="shared" si="53"/>
        <v>0</v>
      </c>
      <c r="W15" s="227"/>
      <c r="X15" s="74" t="s">
        <v>38</v>
      </c>
      <c r="Y15" s="7"/>
      <c r="Z15" s="7"/>
      <c r="AA15" s="7"/>
      <c r="AB15" s="13"/>
      <c r="AC15" s="13"/>
      <c r="AD15" s="13"/>
    </row>
    <row r="16" s="21" customFormat="1" ht="14.25">
      <c r="A16" s="64" t="s">
        <v>42</v>
      </c>
      <c r="B16" s="65" t="s">
        <v>32</v>
      </c>
      <c r="C16" s="65" t="s">
        <v>33</v>
      </c>
      <c r="D16" s="65" t="s">
        <v>32</v>
      </c>
      <c r="E16" s="65" t="s">
        <v>33</v>
      </c>
      <c r="F16" s="65" t="s">
        <v>32</v>
      </c>
      <c r="G16" s="65" t="s">
        <v>33</v>
      </c>
      <c r="H16" s="65" t="s">
        <v>32</v>
      </c>
      <c r="I16" s="65" t="s">
        <v>33</v>
      </c>
      <c r="J16" s="65" t="s">
        <v>32</v>
      </c>
      <c r="K16" s="65" t="s">
        <v>33</v>
      </c>
      <c r="L16" s="66"/>
      <c r="M16" s="66"/>
      <c r="N16" s="66"/>
      <c r="O16" s="66"/>
      <c r="P16" s="68">
        <f t="shared" si="50"/>
        <v>40</v>
      </c>
      <c r="Q16" s="69">
        <f>R10-P16</f>
        <v>128</v>
      </c>
      <c r="R16" s="288" t="str">
        <f t="shared" si="51"/>
        <v>Юращик</v>
      </c>
      <c r="S16" s="76" t="s">
        <v>10</v>
      </c>
      <c r="T16" s="77" t="s">
        <v>9</v>
      </c>
      <c r="U16" s="73">
        <f>COUNTIF(T14,B14)+COUNTIF(T14,D14)+COUNTIF(T14,F14)+COUNTIF(T14,H14)+COUNTIF(T14,J14)+COUNTIF(T14,L14)+COUNTIF(T14,N14)</f>
        <v>0</v>
      </c>
      <c r="V16" s="62">
        <f t="shared" si="53"/>
        <v>0</v>
      </c>
      <c r="W16" s="62"/>
      <c r="X16" s="74" t="s">
        <v>38</v>
      </c>
      <c r="Y16" s="7"/>
      <c r="Z16" s="7"/>
      <c r="AA16" s="7"/>
      <c r="AB16" s="13"/>
      <c r="AC16" s="13"/>
      <c r="AD16" s="13"/>
    </row>
    <row r="17" s="21" customFormat="1" ht="14.25">
      <c r="A17" s="81" t="s">
        <v>43</v>
      </c>
      <c r="B17" s="66"/>
      <c r="C17" s="66"/>
      <c r="D17" s="251"/>
      <c r="E17" s="83"/>
      <c r="F17" s="87"/>
      <c r="G17" s="87"/>
      <c r="H17" s="262"/>
      <c r="I17" s="83"/>
      <c r="J17" s="87"/>
      <c r="K17" s="87"/>
      <c r="L17" s="87"/>
      <c r="M17" s="87"/>
      <c r="N17" s="87"/>
      <c r="O17" s="87"/>
      <c r="P17" s="68">
        <f t="shared" si="50"/>
        <v>0</v>
      </c>
      <c r="Q17" s="69">
        <f>R10-P17</f>
        <v>168</v>
      </c>
      <c r="R17" s="288" t="s">
        <v>43</v>
      </c>
      <c r="S17" s="149" t="s">
        <v>12</v>
      </c>
      <c r="T17" s="262" t="s">
        <v>11</v>
      </c>
      <c r="U17" s="73">
        <f>COUNTIF(T17,B17)+COUNTIF(T17,D17)+COUNTIF(T17,F17)+COUNTIF(T17,H17)+COUNTIF(T17,J17)+COUNTIF(T17,L17)+COUNTIF(T17,N17)</f>
        <v>0</v>
      </c>
      <c r="V17" s="227">
        <f t="shared" si="53"/>
        <v>0</v>
      </c>
      <c r="W17" s="62"/>
      <c r="X17" s="74" t="s">
        <v>44</v>
      </c>
      <c r="Y17" s="7"/>
      <c r="Z17" s="7"/>
      <c r="AA17" s="7"/>
      <c r="AB17" s="13"/>
      <c r="AC17" s="13"/>
      <c r="AD17" s="13"/>
    </row>
    <row r="18" s="21" customFormat="1" ht="14.25">
      <c r="A18" s="81" t="s">
        <v>45</v>
      </c>
      <c r="B18" s="66"/>
      <c r="C18" s="66"/>
      <c r="D18" s="77"/>
      <c r="E18" s="83"/>
      <c r="F18" s="77"/>
      <c r="G18" s="83"/>
      <c r="H18" s="87"/>
      <c r="I18" s="87"/>
      <c r="J18" s="87"/>
      <c r="K18" s="87"/>
      <c r="L18" s="87"/>
      <c r="M18" s="87"/>
      <c r="N18" s="87"/>
      <c r="O18" s="87"/>
      <c r="P18" s="68">
        <f t="shared" si="50"/>
        <v>0</v>
      </c>
      <c r="Q18" s="69">
        <f>R10-P18</f>
        <v>168</v>
      </c>
      <c r="R18" s="288" t="str">
        <f t="shared" si="51"/>
        <v>Пузырь</v>
      </c>
      <c r="S18" s="76" t="s">
        <v>10</v>
      </c>
      <c r="T18" s="77" t="s">
        <v>9</v>
      </c>
      <c r="U18" s="73">
        <f t="shared" si="52"/>
        <v>0</v>
      </c>
      <c r="V18" s="62">
        <f t="shared" si="53"/>
        <v>0</v>
      </c>
      <c r="W18" s="62"/>
      <c r="X18" s="74" t="s">
        <v>34</v>
      </c>
      <c r="Y18" s="7"/>
      <c r="Z18" s="7"/>
      <c r="AA18" s="7"/>
      <c r="AB18" s="13"/>
      <c r="AC18" s="13"/>
      <c r="AD18" s="13"/>
    </row>
    <row r="19" s="21" customFormat="1" ht="14.25">
      <c r="A19" s="81" t="s">
        <v>46</v>
      </c>
      <c r="B19" s="123"/>
      <c r="C19" s="123"/>
      <c r="D19" s="123"/>
      <c r="E19" s="123"/>
      <c r="F19" s="123"/>
      <c r="G19" s="123"/>
      <c r="H19" s="87"/>
      <c r="I19" s="87"/>
      <c r="J19" s="87"/>
      <c r="K19" s="87"/>
      <c r="L19" s="87"/>
      <c r="M19" s="87"/>
      <c r="N19" s="87"/>
      <c r="O19" s="87"/>
      <c r="P19" s="68">
        <f t="shared" si="50"/>
        <v>0</v>
      </c>
      <c r="Q19" s="69">
        <f>R10-P19</f>
        <v>168</v>
      </c>
      <c r="R19" s="288" t="str">
        <f t="shared" si="51"/>
        <v>Голышев</v>
      </c>
      <c r="S19" s="76" t="s">
        <v>10</v>
      </c>
      <c r="T19" s="77" t="s">
        <v>9</v>
      </c>
      <c r="U19" s="73">
        <f t="shared" si="52"/>
        <v>0</v>
      </c>
      <c r="V19" s="62">
        <f t="shared" si="53"/>
        <v>0</v>
      </c>
      <c r="W19" s="62"/>
      <c r="X19" s="74" t="s">
        <v>34</v>
      </c>
      <c r="Y19" s="7"/>
      <c r="Z19" s="7"/>
      <c r="AA19" s="7"/>
      <c r="AB19" s="13"/>
      <c r="AC19" s="13"/>
      <c r="AD19" s="13"/>
    </row>
    <row r="20" s="21" customFormat="1" ht="14.25">
      <c r="A20" s="81" t="s">
        <v>47</v>
      </c>
      <c r="B20" s="123"/>
      <c r="C20" s="123"/>
      <c r="D20" s="123"/>
      <c r="E20" s="123"/>
      <c r="F20" s="132"/>
      <c r="G20" s="132"/>
      <c r="H20" s="123"/>
      <c r="I20" s="123"/>
      <c r="J20" s="87"/>
      <c r="K20" s="87"/>
      <c r="L20" s="87"/>
      <c r="M20" s="87"/>
      <c r="N20" s="87"/>
      <c r="O20" s="87"/>
      <c r="P20" s="68">
        <f t="shared" si="50"/>
        <v>0</v>
      </c>
      <c r="Q20" s="69">
        <f>R10-P20</f>
        <v>168</v>
      </c>
      <c r="R20" s="288" t="str">
        <f t="shared" si="51"/>
        <v>Торубара</v>
      </c>
      <c r="S20" s="76" t="s">
        <v>10</v>
      </c>
      <c r="T20" s="77" t="s">
        <v>9</v>
      </c>
      <c r="U20" s="73">
        <f t="shared" si="52"/>
        <v>0</v>
      </c>
      <c r="V20" s="62">
        <f t="shared" si="53"/>
        <v>0</v>
      </c>
      <c r="W20" s="62"/>
      <c r="X20" s="74" t="s">
        <v>34</v>
      </c>
      <c r="Y20" s="7"/>
      <c r="Z20" s="7"/>
      <c r="AA20" s="7"/>
      <c r="AB20" s="13"/>
      <c r="AC20" s="13"/>
      <c r="AD20" s="13"/>
    </row>
    <row r="21" s="21" customFormat="1" ht="14.25">
      <c r="A21" s="81" t="s">
        <v>48</v>
      </c>
      <c r="B21" s="71"/>
      <c r="C21" s="78"/>
      <c r="D21" s="268"/>
      <c r="E21" s="78"/>
      <c r="F21" s="66"/>
      <c r="G21" s="66"/>
      <c r="H21" s="87"/>
      <c r="I21" s="66"/>
      <c r="J21" s="87"/>
      <c r="K21" s="87"/>
      <c r="L21" s="87"/>
      <c r="M21" s="87"/>
      <c r="N21" s="87"/>
      <c r="O21" s="87"/>
      <c r="P21" s="68">
        <f t="shared" si="50"/>
        <v>0</v>
      </c>
      <c r="Q21" s="69">
        <f>R10-P21</f>
        <v>168</v>
      </c>
      <c r="R21" s="288" t="str">
        <f t="shared" si="51"/>
        <v>Стрыгин</v>
      </c>
      <c r="S21" s="71" t="s">
        <v>8</v>
      </c>
      <c r="T21" s="72" t="s">
        <v>7</v>
      </c>
      <c r="U21" s="73">
        <f>COUNTIF(T21,B21)+COUNTIF(T21,D21)+COUNTIF(T21,F21)+COUNTIF(T21,#REF!)+COUNTIF(T21,J21)+COUNTIF(T21,L21)+COUNTIF(T21,N21)</f>
        <v>0</v>
      </c>
      <c r="V21" s="62">
        <f>COUNTIF(S21,B21)+COUNTIF(S21,D21)+COUNTIF(S21,F21)+COUNTIF(S21,#REF!)+COUNTIF(S21,J21)+COUNTIF(S21,L21)+COUNTIF(S21,N21)</f>
        <v>0</v>
      </c>
      <c r="W21" s="62"/>
      <c r="X21" s="74" t="s">
        <v>49</v>
      </c>
      <c r="Y21" s="7"/>
      <c r="Z21" s="7"/>
      <c r="AA21" s="7"/>
      <c r="AB21" s="13"/>
      <c r="AC21" s="13"/>
      <c r="AD21" s="13"/>
    </row>
    <row r="22" s="21" customFormat="1" ht="14.25">
      <c r="A22" s="81" t="s">
        <v>50</v>
      </c>
      <c r="B22" s="66"/>
      <c r="C22" s="66"/>
      <c r="D22" s="72"/>
      <c r="E22" s="112"/>
      <c r="F22" s="291"/>
      <c r="G22" s="291"/>
      <c r="I22" s="87"/>
      <c r="J22" s="87"/>
      <c r="K22" s="87"/>
      <c r="L22" s="87"/>
      <c r="M22" s="87"/>
      <c r="N22" s="87"/>
      <c r="O22" s="87"/>
      <c r="P22" s="68">
        <f t="shared" si="50"/>
        <v>0</v>
      </c>
      <c r="Q22" s="69">
        <f>R10-P22</f>
        <v>168</v>
      </c>
      <c r="R22" s="288" t="str">
        <f t="shared" si="51"/>
        <v>Фрик</v>
      </c>
      <c r="S22" s="71" t="s">
        <v>12</v>
      </c>
      <c r="T22" s="72" t="s">
        <v>11</v>
      </c>
      <c r="U22" s="73">
        <f>COUNTIF(T22,B22)+COUNTIF(T22,D22)+COUNTIF(T22,F22)+COUNTIF(T22,H21)+COUNTIF(T22,J22)+COUNTIF(T22,L22)+COUNTIF(T22,N22)</f>
        <v>0</v>
      </c>
      <c r="V22" s="62">
        <f>COUNTIF(S22,B22)+COUNTIF(S22,D22)+COUNTIF(S22,F22)+COUNTIF(S22,H21)+COUNTIF(S22,J22)+COUNTIF(S22,L22)+COUNTIF(S22,N22)</f>
        <v>0</v>
      </c>
      <c r="W22" s="62"/>
      <c r="X22" s="74" t="s">
        <v>44</v>
      </c>
      <c r="Y22" s="7"/>
      <c r="Z22" s="7"/>
      <c r="AA22" s="7"/>
      <c r="AB22" s="13"/>
      <c r="AC22" s="13"/>
      <c r="AD22" s="13"/>
    </row>
    <row r="23" s="21" customFormat="1" ht="14.25">
      <c r="A23" s="88" t="s">
        <v>51</v>
      </c>
      <c r="B23" s="292"/>
      <c r="C23" s="174"/>
      <c r="D23" s="87"/>
      <c r="E23" s="293"/>
      <c r="F23" s="294"/>
      <c r="G23" s="295"/>
      <c r="H23" s="294"/>
      <c r="I23" s="89"/>
      <c r="J23" s="87"/>
      <c r="K23" s="87"/>
      <c r="L23" s="87"/>
      <c r="M23" s="87"/>
      <c r="N23" s="87"/>
      <c r="O23" s="87"/>
      <c r="P23" s="68">
        <f t="shared" si="50"/>
        <v>0</v>
      </c>
      <c r="Q23" s="69">
        <f>R10-P23</f>
        <v>168</v>
      </c>
      <c r="R23" s="288" t="str">
        <f t="shared" si="51"/>
        <v>Истрашкин</v>
      </c>
      <c r="S23" s="71" t="s">
        <v>10</v>
      </c>
      <c r="T23" s="72" t="s">
        <v>9</v>
      </c>
      <c r="U23" s="73">
        <f t="shared" si="52"/>
        <v>0</v>
      </c>
      <c r="V23" s="62">
        <f t="shared" si="53"/>
        <v>0</v>
      </c>
      <c r="W23" s="62"/>
      <c r="X23" s="74" t="s">
        <v>34</v>
      </c>
      <c r="Y23" s="7"/>
      <c r="Z23" s="7"/>
      <c r="AA23" s="7"/>
      <c r="AB23" s="13"/>
      <c r="AC23" s="13"/>
      <c r="AD23" s="13"/>
    </row>
    <row r="24" s="21" customFormat="1" ht="14.25">
      <c r="A24" s="92"/>
      <c r="B24" s="53">
        <v>46230</v>
      </c>
      <c r="C24" s="53"/>
      <c r="D24" s="53">
        <v>46231</v>
      </c>
      <c r="E24" s="53"/>
      <c r="F24" s="296">
        <v>46232</v>
      </c>
      <c r="G24" s="296"/>
      <c r="H24" s="296">
        <v>46233</v>
      </c>
      <c r="I24" s="53"/>
      <c r="J24" s="53">
        <v>46234</v>
      </c>
      <c r="K24" s="53"/>
      <c r="L24" s="53">
        <v>46235</v>
      </c>
      <c r="M24" s="53"/>
      <c r="N24" s="53">
        <v>46236</v>
      </c>
      <c r="O24" s="53"/>
      <c r="P24" s="68"/>
      <c r="Q24" s="67"/>
      <c r="R24" s="297"/>
      <c r="S24" s="138"/>
      <c r="T24" s="138"/>
      <c r="U24" s="60" t="s">
        <v>27</v>
      </c>
      <c r="V24" s="61" t="s">
        <v>28</v>
      </c>
      <c r="W24" s="62" t="s">
        <v>29</v>
      </c>
      <c r="X24" s="7"/>
      <c r="Y24" s="7"/>
      <c r="Z24" s="7"/>
      <c r="AA24" s="7"/>
      <c r="AB24" s="13"/>
      <c r="AC24" s="13"/>
      <c r="AD24" s="13"/>
    </row>
    <row r="25" ht="14.25">
      <c r="A25" s="162"/>
      <c r="B25" s="298"/>
      <c r="C25" s="298"/>
      <c r="D25" s="298"/>
      <c r="E25" s="298"/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163"/>
      <c r="Q25" s="164"/>
      <c r="R25" s="165"/>
      <c r="S25" s="165"/>
      <c r="T25" s="165"/>
      <c r="U25" s="100"/>
      <c r="V25" s="100"/>
      <c r="W25" s="100"/>
      <c r="X25" s="7"/>
      <c r="Y25" s="7"/>
      <c r="Z25" s="7"/>
      <c r="AA25" s="7"/>
      <c r="AB25" s="13"/>
      <c r="AC25" s="13"/>
      <c r="AD25" s="13"/>
    </row>
    <row r="26" ht="14.25">
      <c r="A26" s="165"/>
      <c r="B26" s="167" t="s">
        <v>17</v>
      </c>
      <c r="C26" s="167"/>
      <c r="D26" s="167" t="s">
        <v>18</v>
      </c>
      <c r="E26" s="167"/>
      <c r="F26" s="167" t="s">
        <v>19</v>
      </c>
      <c r="G26" s="167"/>
      <c r="H26" s="167" t="s">
        <v>20</v>
      </c>
      <c r="I26" s="167"/>
      <c r="J26" s="168" t="s">
        <v>21</v>
      </c>
      <c r="K26" s="168"/>
      <c r="L26" s="167" t="s">
        <v>22</v>
      </c>
      <c r="M26" s="167"/>
      <c r="N26" s="167" t="s">
        <v>23</v>
      </c>
      <c r="O26" s="167"/>
      <c r="P26" s="234" t="s">
        <v>24</v>
      </c>
      <c r="Q26" s="235"/>
      <c r="R26" s="165"/>
      <c r="S26" s="165"/>
      <c r="T26" s="165"/>
      <c r="U26" s="100"/>
      <c r="V26" s="100"/>
      <c r="W26" s="100"/>
      <c r="X26" s="51"/>
      <c r="Y26" s="7"/>
      <c r="Z26" s="7"/>
      <c r="AA26" s="7"/>
      <c r="AB26" s="13"/>
      <c r="AC26" s="13"/>
      <c r="AD26" s="13"/>
    </row>
    <row r="27" ht="14.25">
      <c r="A27" s="165"/>
      <c r="B27" s="210">
        <v>46237</v>
      </c>
      <c r="C27" s="211"/>
      <c r="D27" s="210">
        <v>46238</v>
      </c>
      <c r="E27" s="211"/>
      <c r="F27" s="210">
        <v>46239</v>
      </c>
      <c r="G27" s="211"/>
      <c r="H27" s="210">
        <v>46240</v>
      </c>
      <c r="I27" s="211"/>
      <c r="J27" s="210">
        <v>46241</v>
      </c>
      <c r="K27" s="211"/>
      <c r="L27" s="210">
        <v>46242</v>
      </c>
      <c r="M27" s="210"/>
      <c r="N27" s="210">
        <v>46243</v>
      </c>
      <c r="O27" s="212"/>
      <c r="P27" s="236" t="s">
        <v>25</v>
      </c>
      <c r="Q27" s="237" t="s">
        <v>26</v>
      </c>
      <c r="R27" s="238"/>
      <c r="S27" s="239"/>
      <c r="T27" s="239"/>
      <c r="U27" s="15" t="s">
        <v>27</v>
      </c>
      <c r="V27" s="106" t="s">
        <v>28</v>
      </c>
      <c r="W27" s="100" t="s">
        <v>29</v>
      </c>
      <c r="X27" s="63" t="s">
        <v>30</v>
      </c>
      <c r="Y27" s="7"/>
      <c r="Z27" s="7"/>
      <c r="AA27" s="7"/>
      <c r="AB27" s="13"/>
      <c r="AC27" s="13"/>
      <c r="AD27" s="13"/>
    </row>
    <row r="28" ht="14.25">
      <c r="A28" s="217" t="s">
        <v>35</v>
      </c>
      <c r="B28" s="65" t="s">
        <v>32</v>
      </c>
      <c r="C28" s="65" t="s">
        <v>33</v>
      </c>
      <c r="D28" s="65" t="s">
        <v>32</v>
      </c>
      <c r="E28" s="65" t="s">
        <v>33</v>
      </c>
      <c r="F28" s="65" t="s">
        <v>32</v>
      </c>
      <c r="G28" s="65" t="s">
        <v>33</v>
      </c>
      <c r="H28" s="65" t="s">
        <v>32</v>
      </c>
      <c r="I28" s="65" t="s">
        <v>33</v>
      </c>
      <c r="J28" s="65" t="s">
        <v>32</v>
      </c>
      <c r="K28" s="65" t="s">
        <v>33</v>
      </c>
      <c r="L28" s="66"/>
      <c r="M28" s="66"/>
      <c r="N28" s="66"/>
      <c r="O28" s="66"/>
      <c r="P28" s="218">
        <f t="shared" si="50"/>
        <v>40</v>
      </c>
      <c r="Q28" s="62">
        <f>Q12-P28</f>
        <v>88</v>
      </c>
      <c r="R28" s="219" t="str">
        <f t="shared" si="51"/>
        <v>Рычков</v>
      </c>
      <c r="S28" s="76" t="s">
        <v>10</v>
      </c>
      <c r="T28" s="77" t="s">
        <v>9</v>
      </c>
      <c r="U28" s="73">
        <f t="shared" si="52"/>
        <v>0</v>
      </c>
      <c r="V28" s="62">
        <f t="shared" si="53"/>
        <v>0</v>
      </c>
      <c r="W28" s="62"/>
      <c r="X28" s="74" t="s">
        <v>34</v>
      </c>
      <c r="Y28" s="7"/>
      <c r="Z28" s="7"/>
      <c r="AA28" s="7"/>
      <c r="AB28" s="13"/>
      <c r="AC28" s="13"/>
      <c r="AD28" s="13"/>
    </row>
    <row r="29" ht="14.25">
      <c r="A29" s="203" t="s">
        <v>39</v>
      </c>
      <c r="B29" s="65" t="s">
        <v>32</v>
      </c>
      <c r="C29" s="65" t="s">
        <v>33</v>
      </c>
      <c r="D29" s="65" t="s">
        <v>32</v>
      </c>
      <c r="E29" s="65" t="s">
        <v>33</v>
      </c>
      <c r="F29" s="65" t="s">
        <v>32</v>
      </c>
      <c r="G29" s="65" t="s">
        <v>33</v>
      </c>
      <c r="H29" s="65" t="s">
        <v>32</v>
      </c>
      <c r="I29" s="65" t="s">
        <v>33</v>
      </c>
      <c r="J29" s="65" t="s">
        <v>32</v>
      </c>
      <c r="K29" s="65" t="s">
        <v>33</v>
      </c>
      <c r="L29" s="66"/>
      <c r="M29" s="66"/>
      <c r="N29" s="66"/>
      <c r="O29" s="66"/>
      <c r="P29" s="218">
        <f t="shared" si="50"/>
        <v>40</v>
      </c>
      <c r="Q29" s="62">
        <f t="shared" ref="Q29:Q33" si="54">Q14-P29</f>
        <v>88</v>
      </c>
      <c r="R29" s="219" t="str">
        <f t="shared" si="51"/>
        <v>Игумнов</v>
      </c>
      <c r="S29" s="76" t="s">
        <v>10</v>
      </c>
      <c r="T29" s="77" t="s">
        <v>9</v>
      </c>
      <c r="U29" s="73">
        <f t="shared" si="52"/>
        <v>0</v>
      </c>
      <c r="V29" s="62">
        <f t="shared" si="53"/>
        <v>0</v>
      </c>
      <c r="W29" s="62"/>
      <c r="X29" s="79" t="s">
        <v>34</v>
      </c>
      <c r="Y29" s="7"/>
      <c r="Z29" s="80"/>
      <c r="AA29" s="80"/>
      <c r="AB29" s="13"/>
      <c r="AC29" s="13"/>
      <c r="AD29" s="13"/>
    </row>
    <row r="30" ht="14.25">
      <c r="A30" s="203" t="s">
        <v>40</v>
      </c>
      <c r="B30" s="65" t="s">
        <v>32</v>
      </c>
      <c r="C30" s="65" t="s">
        <v>33</v>
      </c>
      <c r="D30" s="65" t="s">
        <v>32</v>
      </c>
      <c r="E30" s="65" t="s">
        <v>33</v>
      </c>
      <c r="F30" s="65" t="s">
        <v>32</v>
      </c>
      <c r="G30" s="65" t="s">
        <v>33</v>
      </c>
      <c r="H30" s="65" t="s">
        <v>32</v>
      </c>
      <c r="I30" s="65" t="s">
        <v>33</v>
      </c>
      <c r="J30" s="255" t="s">
        <v>32</v>
      </c>
      <c r="K30" s="255" t="s">
        <v>33</v>
      </c>
      <c r="L30" s="256"/>
      <c r="M30" s="256"/>
      <c r="N30" s="256"/>
      <c r="O30" s="256"/>
      <c r="P30" s="218">
        <f t="shared" si="50"/>
        <v>40</v>
      </c>
      <c r="Q30" s="62">
        <f t="shared" si="54"/>
        <v>88</v>
      </c>
      <c r="R30" s="219" t="str">
        <f t="shared" si="51"/>
        <v>Душин</v>
      </c>
      <c r="S30" s="76" t="s">
        <v>10</v>
      </c>
      <c r="T30" s="77" t="s">
        <v>9</v>
      </c>
      <c r="U30" s="73">
        <f t="shared" si="52"/>
        <v>0</v>
      </c>
      <c r="V30" s="62">
        <f t="shared" si="53"/>
        <v>0</v>
      </c>
      <c r="W30" s="62"/>
      <c r="X30" s="74" t="s">
        <v>38</v>
      </c>
      <c r="Y30" s="80"/>
      <c r="Z30" s="80"/>
      <c r="AA30" s="80"/>
      <c r="AB30" s="13"/>
      <c r="AC30" s="13"/>
      <c r="AD30" s="13"/>
    </row>
    <row r="31" ht="14.25">
      <c r="A31" s="271" t="s">
        <v>42</v>
      </c>
      <c r="B31" s="65" t="s">
        <v>54</v>
      </c>
      <c r="C31" s="65" t="s">
        <v>33</v>
      </c>
      <c r="D31" s="65" t="s">
        <v>54</v>
      </c>
      <c r="E31" s="65" t="s">
        <v>33</v>
      </c>
      <c r="F31" s="65" t="s">
        <v>54</v>
      </c>
      <c r="G31" s="65" t="s">
        <v>33</v>
      </c>
      <c r="H31" s="65" t="s">
        <v>54</v>
      </c>
      <c r="I31" s="65" t="s">
        <v>33</v>
      </c>
      <c r="J31" s="65" t="s">
        <v>54</v>
      </c>
      <c r="K31" s="65" t="s">
        <v>33</v>
      </c>
      <c r="L31" s="66"/>
      <c r="M31" s="66"/>
      <c r="N31" s="66"/>
      <c r="O31" s="66"/>
      <c r="P31" s="220">
        <f t="shared" si="50"/>
        <v>40</v>
      </c>
      <c r="Q31" s="221">
        <f t="shared" si="54"/>
        <v>88</v>
      </c>
      <c r="R31" s="222" t="str">
        <f t="shared" si="51"/>
        <v>Юращик</v>
      </c>
      <c r="S31" s="76" t="s">
        <v>10</v>
      </c>
      <c r="T31" s="77" t="s">
        <v>9</v>
      </c>
      <c r="U31" s="240">
        <f t="shared" si="52"/>
        <v>0</v>
      </c>
      <c r="V31" s="221">
        <f t="shared" si="53"/>
        <v>0</v>
      </c>
      <c r="W31" s="221"/>
      <c r="X31" s="299" t="s">
        <v>38</v>
      </c>
      <c r="Y31" s="80"/>
      <c r="Z31" s="80"/>
      <c r="AA31" s="80"/>
      <c r="AB31" s="13"/>
      <c r="AC31" s="13"/>
      <c r="AD31" s="13"/>
    </row>
    <row r="32" ht="14.25">
      <c r="A32" s="203" t="s">
        <v>31</v>
      </c>
      <c r="B32" s="65" t="s">
        <v>32</v>
      </c>
      <c r="C32" s="65" t="s">
        <v>33</v>
      </c>
      <c r="D32" s="65" t="s">
        <v>32</v>
      </c>
      <c r="E32" s="65" t="s">
        <v>33</v>
      </c>
      <c r="F32" s="198" t="s">
        <v>32</v>
      </c>
      <c r="G32" s="65" t="s">
        <v>33</v>
      </c>
      <c r="H32" s="65" t="s">
        <v>32</v>
      </c>
      <c r="I32" s="65" t="s">
        <v>33</v>
      </c>
      <c r="J32" s="65" t="s">
        <v>32</v>
      </c>
      <c r="K32" s="65" t="s">
        <v>33</v>
      </c>
      <c r="L32" s="66"/>
      <c r="M32" s="66"/>
      <c r="N32" s="66"/>
      <c r="O32" s="66"/>
      <c r="P32" s="218">
        <f t="shared" si="50"/>
        <v>40</v>
      </c>
      <c r="Q32" s="62">
        <f t="shared" si="54"/>
        <v>128</v>
      </c>
      <c r="R32" s="219" t="str">
        <f t="shared" si="51"/>
        <v>Нетронин</v>
      </c>
      <c r="S32" s="76" t="s">
        <v>10</v>
      </c>
      <c r="T32" s="300" t="s">
        <v>9</v>
      </c>
      <c r="U32" s="73">
        <f t="shared" si="52"/>
        <v>0</v>
      </c>
      <c r="V32" s="62">
        <f t="shared" si="53"/>
        <v>0</v>
      </c>
      <c r="W32" s="62"/>
      <c r="X32" s="74" t="s">
        <v>38</v>
      </c>
      <c r="Y32" s="7"/>
      <c r="Z32" s="7"/>
      <c r="AA32" s="7"/>
      <c r="AB32" s="13"/>
      <c r="AC32" s="13"/>
      <c r="AD32" s="13"/>
    </row>
    <row r="33" ht="14.25">
      <c r="A33" s="301" t="s">
        <v>43</v>
      </c>
      <c r="B33" s="72"/>
      <c r="C33" s="112"/>
      <c r="D33" s="87"/>
      <c r="E33" s="87"/>
      <c r="F33" s="87"/>
      <c r="G33" s="87"/>
      <c r="H33" s="67"/>
      <c r="I33" s="261"/>
      <c r="J33" s="82"/>
      <c r="K33" s="302"/>
      <c r="L33" s="71"/>
      <c r="M33" s="89"/>
      <c r="N33" s="71"/>
      <c r="O33" s="89"/>
      <c r="P33" s="303">
        <f t="shared" ref="P33:P34" si="55">C33+O18+G33+I33+K33+M33+O33</f>
        <v>0</v>
      </c>
      <c r="Q33" s="304">
        <f t="shared" si="54"/>
        <v>168</v>
      </c>
      <c r="R33" s="305" t="s">
        <v>43</v>
      </c>
      <c r="S33" s="268" t="s">
        <v>12</v>
      </c>
      <c r="T33" s="72" t="s">
        <v>11</v>
      </c>
      <c r="U33" s="304">
        <f t="shared" ref="U33:U34" si="56">COUNTIF(T33,B33)+COUNTIF(T33,N18)+COUNTIF(T33,F33)+COUNTIF(T33,H33)+COUNTIF(T33,J33)+COUNTIF(T33,L33)+COUNTIF(T33,N33)</f>
        <v>0</v>
      </c>
      <c r="V33" s="304">
        <f t="shared" ref="V33:V34" si="57">COUNTIF(S33,B33)+COUNTIF(S33,N18)+COUNTIF(S33,F33)+COUNTIF(S33,H33)+COUNTIF(S33,J33)+COUNTIF(S33,L33)+COUNTIF(S33,N33)</f>
        <v>0</v>
      </c>
      <c r="W33" s="304"/>
      <c r="X33" s="306" t="s">
        <v>44</v>
      </c>
      <c r="Y33" s="80"/>
      <c r="Z33" s="80"/>
      <c r="AA33" s="80"/>
      <c r="AB33" s="13"/>
      <c r="AC33" s="13"/>
      <c r="AD33" s="13"/>
    </row>
    <row r="34" ht="14.25">
      <c r="A34" s="204" t="s">
        <v>45</v>
      </c>
      <c r="B34" s="82"/>
      <c r="C34" s="82"/>
      <c r="D34" s="87"/>
      <c r="E34" s="87"/>
      <c r="F34" s="292"/>
      <c r="G34" s="307"/>
      <c r="H34" s="123"/>
      <c r="I34" s="123"/>
      <c r="J34" s="132"/>
      <c r="K34" s="132"/>
      <c r="L34" s="122"/>
      <c r="M34" s="122"/>
      <c r="N34" s="122"/>
      <c r="O34" s="122"/>
      <c r="P34" s="228">
        <f t="shared" si="55"/>
        <v>0</v>
      </c>
      <c r="Q34" s="229">
        <f>Q18-P34</f>
        <v>168</v>
      </c>
      <c r="R34" s="230" t="str">
        <f t="shared" si="51"/>
        <v>Пузырь</v>
      </c>
      <c r="S34" s="76" t="s">
        <v>10</v>
      </c>
      <c r="T34" s="77" t="s">
        <v>9</v>
      </c>
      <c r="U34" s="244">
        <f t="shared" si="56"/>
        <v>0</v>
      </c>
      <c r="V34" s="229">
        <f t="shared" si="57"/>
        <v>0</v>
      </c>
      <c r="W34" s="229"/>
      <c r="X34" s="308" t="s">
        <v>34</v>
      </c>
      <c r="Y34" s="80"/>
      <c r="Z34" s="7"/>
      <c r="AA34" s="7"/>
      <c r="AB34" s="13"/>
      <c r="AC34" s="13"/>
      <c r="AD34" s="13"/>
    </row>
    <row r="35" ht="14.25">
      <c r="A35" s="205" t="s">
        <v>46</v>
      </c>
      <c r="B35" s="292"/>
      <c r="C35" s="112"/>
      <c r="D35" s="66"/>
      <c r="E35" s="66"/>
      <c r="F35" s="66"/>
      <c r="G35" s="66"/>
      <c r="H35" s="268"/>
      <c r="I35" s="78"/>
      <c r="J35" s="268"/>
      <c r="K35" s="76"/>
      <c r="L35" s="67"/>
      <c r="M35" s="67"/>
      <c r="N35" s="67"/>
      <c r="O35" s="67"/>
      <c r="P35" s="218">
        <f t="shared" si="50"/>
        <v>0</v>
      </c>
      <c r="Q35" s="62">
        <f t="shared" ref="Q35:Q39" si="58">Q20-P35</f>
        <v>168</v>
      </c>
      <c r="R35" s="219" t="str">
        <f t="shared" si="51"/>
        <v>Голышев</v>
      </c>
      <c r="S35" s="76" t="s">
        <v>10</v>
      </c>
      <c r="T35" s="77" t="s">
        <v>9</v>
      </c>
      <c r="U35" s="73">
        <f t="shared" si="52"/>
        <v>0</v>
      </c>
      <c r="V35" s="62">
        <f t="shared" si="53"/>
        <v>0</v>
      </c>
      <c r="W35" s="62"/>
      <c r="X35" s="74" t="s">
        <v>34</v>
      </c>
      <c r="Y35" s="80"/>
      <c r="Z35" s="7"/>
      <c r="AA35" s="7"/>
      <c r="AB35" s="13"/>
      <c r="AC35" s="13"/>
      <c r="AD35" s="13"/>
    </row>
    <row r="36" ht="14.25">
      <c r="A36" s="205" t="s">
        <v>47</v>
      </c>
      <c r="B36" s="66"/>
      <c r="C36" s="66"/>
      <c r="D36" s="292"/>
      <c r="E36" s="83"/>
      <c r="F36" s="77"/>
      <c r="G36" s="112"/>
      <c r="H36" s="87"/>
      <c r="I36" s="87"/>
      <c r="J36" s="67"/>
      <c r="K36" s="67"/>
      <c r="L36" s="292"/>
      <c r="M36" s="83"/>
      <c r="N36" s="77"/>
      <c r="O36" s="112"/>
      <c r="P36" s="218">
        <f t="shared" si="50"/>
        <v>0</v>
      </c>
      <c r="Q36" s="62">
        <f t="shared" si="58"/>
        <v>168</v>
      </c>
      <c r="R36" s="219" t="str">
        <f t="shared" si="51"/>
        <v>Торубара</v>
      </c>
      <c r="S36" s="76" t="s">
        <v>10</v>
      </c>
      <c r="T36" s="77" t="s">
        <v>9</v>
      </c>
      <c r="U36" s="73">
        <f>COUNTIF(T36,B36)+COUNTIF(T36,F36)+COUNTIF(T36,D36)+COUNTIF(T36,#REF!)+COUNTIF(T36,J36)+COUNTIF(T36,L36)+COUNTIF(T36,N36)</f>
        <v>0</v>
      </c>
      <c r="V36" s="62">
        <f>COUNTIF(S36,B36)+COUNTIF(S36,F36)+COUNTIF(S36,D36)+COUNTIF(S36,#REF!)+COUNTIF(S36,J36)+COUNTIF(S36,L36)+COUNTIF(S36,N36)</f>
        <v>0</v>
      </c>
      <c r="W36" s="62"/>
      <c r="X36" s="74" t="s">
        <v>34</v>
      </c>
      <c r="Y36" s="7"/>
      <c r="Z36" s="7"/>
      <c r="AA36" s="7"/>
      <c r="AB36" s="13"/>
      <c r="AC36" s="13"/>
      <c r="AD36" s="13"/>
    </row>
    <row r="37" ht="14.25">
      <c r="A37" s="205" t="s">
        <v>48</v>
      </c>
      <c r="B37" s="82"/>
      <c r="C37" s="82"/>
      <c r="D37" s="71"/>
      <c r="E37" s="243"/>
      <c r="F37" s="268"/>
      <c r="G37" s="78"/>
      <c r="H37" s="66"/>
      <c r="I37" s="66"/>
      <c r="J37" s="66"/>
      <c r="K37" s="66"/>
      <c r="L37" s="72"/>
      <c r="M37" s="156"/>
      <c r="N37" s="262"/>
      <c r="O37" s="156"/>
      <c r="P37" s="218">
        <f t="shared" si="50"/>
        <v>0</v>
      </c>
      <c r="Q37" s="62">
        <f t="shared" si="58"/>
        <v>168</v>
      </c>
      <c r="R37" s="219" t="str">
        <f t="shared" si="51"/>
        <v>Стрыгин</v>
      </c>
      <c r="S37" s="71" t="s">
        <v>8</v>
      </c>
      <c r="T37" s="72" t="s">
        <v>7</v>
      </c>
      <c r="U37" s="73">
        <f t="shared" si="52"/>
        <v>0</v>
      </c>
      <c r="V37" s="62">
        <f t="shared" si="53"/>
        <v>0</v>
      </c>
      <c r="W37" s="62"/>
      <c r="X37" s="74" t="s">
        <v>49</v>
      </c>
      <c r="Y37" s="7"/>
      <c r="Z37" s="7"/>
      <c r="AA37" s="7"/>
      <c r="AB37" s="13"/>
      <c r="AC37" s="13"/>
      <c r="AD37" s="13"/>
    </row>
    <row r="38" ht="14.25">
      <c r="A38" s="205" t="s">
        <v>50</v>
      </c>
      <c r="B38" s="71"/>
      <c r="C38" s="76"/>
      <c r="D38" s="67"/>
      <c r="E38" s="67"/>
      <c r="F38" s="66"/>
      <c r="G38" s="66"/>
      <c r="H38" s="262"/>
      <c r="I38" s="83"/>
      <c r="J38" s="83"/>
      <c r="K38" s="83"/>
      <c r="L38" s="66"/>
      <c r="M38" s="66"/>
      <c r="N38" s="66"/>
      <c r="O38" s="66"/>
      <c r="P38" s="218">
        <f t="shared" si="50"/>
        <v>0</v>
      </c>
      <c r="Q38" s="62">
        <f t="shared" si="58"/>
        <v>168</v>
      </c>
      <c r="R38" s="219" t="str">
        <f t="shared" si="51"/>
        <v>Фрик</v>
      </c>
      <c r="S38" s="71" t="s">
        <v>12</v>
      </c>
      <c r="T38" s="72" t="s">
        <v>11</v>
      </c>
      <c r="U38" s="73">
        <f t="shared" si="52"/>
        <v>0</v>
      </c>
      <c r="V38" s="62">
        <f t="shared" si="53"/>
        <v>0</v>
      </c>
      <c r="W38" s="62"/>
      <c r="X38" s="74" t="s">
        <v>44</v>
      </c>
      <c r="Y38" s="7"/>
      <c r="Z38" s="7"/>
      <c r="AA38" s="7"/>
      <c r="AB38" s="13"/>
      <c r="AC38" s="13"/>
      <c r="AD38" s="13"/>
    </row>
    <row r="39" ht="14.25">
      <c r="A39" s="206" t="s">
        <v>51</v>
      </c>
      <c r="B39" s="77"/>
      <c r="C39" s="307"/>
      <c r="D39" s="87"/>
      <c r="E39" s="87"/>
      <c r="F39" s="268"/>
      <c r="G39" s="243"/>
      <c r="H39" s="264"/>
      <c r="I39" s="89"/>
      <c r="J39" s="66"/>
      <c r="K39" s="66"/>
      <c r="L39" s="268"/>
      <c r="M39" s="76"/>
      <c r="N39" s="264"/>
      <c r="O39" s="173"/>
      <c r="P39" s="218">
        <f t="shared" si="50"/>
        <v>0</v>
      </c>
      <c r="Q39" s="62">
        <f t="shared" si="58"/>
        <v>0</v>
      </c>
      <c r="R39" s="219" t="str">
        <f t="shared" si="51"/>
        <v>Истрашкин</v>
      </c>
      <c r="S39" s="71" t="s">
        <v>10</v>
      </c>
      <c r="T39" s="72" t="s">
        <v>9</v>
      </c>
      <c r="U39" s="73">
        <f t="shared" si="52"/>
        <v>0</v>
      </c>
      <c r="V39" s="62">
        <f t="shared" si="53"/>
        <v>0</v>
      </c>
      <c r="W39" s="62"/>
      <c r="X39" s="74" t="s">
        <v>34</v>
      </c>
      <c r="Y39" s="7"/>
      <c r="Z39" s="7"/>
      <c r="AA39" s="7"/>
      <c r="AB39" s="13"/>
      <c r="AC39" s="13"/>
      <c r="AD39" s="13"/>
    </row>
    <row r="40" ht="14.25">
      <c r="A40" s="245"/>
      <c r="B40" s="210">
        <v>46237</v>
      </c>
      <c r="C40" s="211"/>
      <c r="D40" s="210">
        <v>46238</v>
      </c>
      <c r="E40" s="211"/>
      <c r="F40" s="210">
        <v>46239</v>
      </c>
      <c r="G40" s="211"/>
      <c r="H40" s="210">
        <v>46240</v>
      </c>
      <c r="I40" s="211"/>
      <c r="J40" s="210">
        <v>46241</v>
      </c>
      <c r="K40" s="211"/>
      <c r="L40" s="210">
        <v>46242</v>
      </c>
      <c r="M40" s="210"/>
      <c r="N40" s="210">
        <v>46243</v>
      </c>
      <c r="O40" s="212"/>
      <c r="P40" s="246"/>
      <c r="Q40" s="247"/>
      <c r="R40" s="245"/>
      <c r="S40" s="178"/>
      <c r="T40" s="178"/>
      <c r="U40" s="100"/>
      <c r="V40" s="100"/>
      <c r="W40" s="100"/>
      <c r="X40" s="7"/>
      <c r="Y40" s="7"/>
      <c r="Z40" s="7"/>
      <c r="AA40" s="7"/>
      <c r="AB40" s="13"/>
      <c r="AC40" s="13"/>
      <c r="AD40" s="13"/>
    </row>
    <row r="41" ht="14.25">
      <c r="A41" s="162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4"/>
      <c r="R41" s="165"/>
      <c r="S41" s="165"/>
      <c r="T41" s="165"/>
      <c r="U41" s="100"/>
      <c r="V41" s="100"/>
      <c r="W41" s="100"/>
      <c r="X41" s="51"/>
      <c r="Y41" s="7"/>
      <c r="Z41" s="7"/>
      <c r="AA41" s="7"/>
      <c r="AB41" s="13"/>
      <c r="AC41" s="13"/>
      <c r="AD41" s="13"/>
    </row>
    <row r="42" ht="14.25">
      <c r="A42" s="143"/>
      <c r="B42" s="43" t="s">
        <v>17</v>
      </c>
      <c r="C42" s="142"/>
      <c r="D42" s="43" t="s">
        <v>18</v>
      </c>
      <c r="E42" s="142"/>
      <c r="F42" s="43" t="s">
        <v>19</v>
      </c>
      <c r="G42" s="43"/>
      <c r="H42" s="43" t="s">
        <v>20</v>
      </c>
      <c r="I42" s="142"/>
      <c r="J42" s="43" t="s">
        <v>21</v>
      </c>
      <c r="K42" s="43"/>
      <c r="L42" s="43" t="s">
        <v>22</v>
      </c>
      <c r="M42" s="43"/>
      <c r="N42" s="43" t="s">
        <v>23</v>
      </c>
      <c r="O42" s="43"/>
      <c r="P42" s="208" t="s">
        <v>24</v>
      </c>
      <c r="Q42" s="209"/>
      <c r="R42" s="143"/>
      <c r="S42" s="143"/>
      <c r="T42" s="143"/>
      <c r="U42" s="62"/>
      <c r="V42" s="62"/>
      <c r="W42" s="62"/>
      <c r="X42" s="63"/>
      <c r="Y42" s="7"/>
      <c r="Z42" s="7"/>
      <c r="AA42" s="7"/>
      <c r="AB42" s="13"/>
      <c r="AC42" s="13"/>
      <c r="AD42" s="13"/>
    </row>
    <row r="43" ht="14.25">
      <c r="A43" s="248"/>
      <c r="B43" s="53">
        <v>46244</v>
      </c>
      <c r="C43" s="53"/>
      <c r="D43" s="53">
        <v>46245</v>
      </c>
      <c r="E43" s="53"/>
      <c r="F43" s="53">
        <v>46246</v>
      </c>
      <c r="G43" s="53"/>
      <c r="H43" s="53">
        <v>46247</v>
      </c>
      <c r="I43" s="53"/>
      <c r="J43" s="53">
        <v>46248</v>
      </c>
      <c r="K43" s="53"/>
      <c r="L43" s="53">
        <v>46249</v>
      </c>
      <c r="M43" s="53"/>
      <c r="N43" s="53">
        <v>46250</v>
      </c>
      <c r="O43" s="54"/>
      <c r="P43" s="309" t="s">
        <v>25</v>
      </c>
      <c r="Q43" s="214" t="s">
        <v>26</v>
      </c>
      <c r="R43" s="249"/>
      <c r="S43" s="147"/>
      <c r="T43" s="147"/>
      <c r="U43" s="60" t="s">
        <v>27</v>
      </c>
      <c r="V43" s="61" t="s">
        <v>28</v>
      </c>
      <c r="W43" s="62" t="s">
        <v>29</v>
      </c>
      <c r="X43" s="63" t="s">
        <v>30</v>
      </c>
      <c r="Y43" s="7"/>
      <c r="Z43" s="7"/>
      <c r="AA43" s="7"/>
      <c r="AB43" s="13"/>
      <c r="AC43" s="13"/>
      <c r="AD43" s="13"/>
    </row>
    <row r="44" ht="14.25">
      <c r="A44" s="217" t="s">
        <v>35</v>
      </c>
      <c r="B44" s="65" t="s">
        <v>32</v>
      </c>
      <c r="C44" s="65" t="s">
        <v>33</v>
      </c>
      <c r="D44" s="65" t="s">
        <v>32</v>
      </c>
      <c r="E44" s="65" t="s">
        <v>33</v>
      </c>
      <c r="F44" s="65" t="s">
        <v>32</v>
      </c>
      <c r="G44" s="65" t="s">
        <v>33</v>
      </c>
      <c r="H44" s="65" t="s">
        <v>32</v>
      </c>
      <c r="I44" s="65" t="s">
        <v>33</v>
      </c>
      <c r="J44" s="65" t="s">
        <v>32</v>
      </c>
      <c r="K44" s="65" t="s">
        <v>33</v>
      </c>
      <c r="L44" s="66"/>
      <c r="M44" s="66"/>
      <c r="N44" s="66"/>
      <c r="O44" s="66"/>
      <c r="P44" s="218">
        <f t="shared" si="50"/>
        <v>40</v>
      </c>
      <c r="Q44" s="62">
        <f t="shared" ref="Q44:Q103" si="59">Q28-P44</f>
        <v>48</v>
      </c>
      <c r="R44" s="219" t="str">
        <f t="shared" si="51"/>
        <v>Рычков</v>
      </c>
      <c r="S44" s="76" t="s">
        <v>10</v>
      </c>
      <c r="T44" s="77" t="s">
        <v>9</v>
      </c>
      <c r="U44" s="73">
        <f t="shared" si="52"/>
        <v>0</v>
      </c>
      <c r="V44" s="62">
        <f t="shared" si="53"/>
        <v>0</v>
      </c>
      <c r="W44" s="62"/>
      <c r="X44" s="74" t="s">
        <v>34</v>
      </c>
      <c r="Y44" s="7"/>
      <c r="Z44" s="7"/>
      <c r="AA44" s="7"/>
      <c r="AB44" s="13"/>
      <c r="AC44" s="13"/>
      <c r="AD44" s="13"/>
    </row>
    <row r="45" ht="14.25">
      <c r="A45" s="203" t="s">
        <v>39</v>
      </c>
      <c r="B45" s="65" t="s">
        <v>32</v>
      </c>
      <c r="C45" s="65" t="s">
        <v>33</v>
      </c>
      <c r="D45" s="65" t="s">
        <v>32</v>
      </c>
      <c r="E45" s="65" t="s">
        <v>33</v>
      </c>
      <c r="F45" s="65" t="s">
        <v>32</v>
      </c>
      <c r="G45" s="65" t="s">
        <v>33</v>
      </c>
      <c r="H45" s="65" t="s">
        <v>32</v>
      </c>
      <c r="I45" s="65" t="s">
        <v>33</v>
      </c>
      <c r="J45" s="65" t="s">
        <v>32</v>
      </c>
      <c r="K45" s="65" t="s">
        <v>33</v>
      </c>
      <c r="L45" s="66"/>
      <c r="M45" s="66"/>
      <c r="N45" s="66"/>
      <c r="O45" s="66"/>
      <c r="P45" s="218">
        <f t="shared" si="50"/>
        <v>40</v>
      </c>
      <c r="Q45" s="62">
        <f t="shared" si="59"/>
        <v>48</v>
      </c>
      <c r="R45" s="219" t="str">
        <f t="shared" si="51"/>
        <v>Игумнов</v>
      </c>
      <c r="S45" s="76" t="s">
        <v>10</v>
      </c>
      <c r="T45" s="77" t="s">
        <v>9</v>
      </c>
      <c r="U45" s="73">
        <f t="shared" si="52"/>
        <v>0</v>
      </c>
      <c r="V45" s="62">
        <f t="shared" si="53"/>
        <v>0</v>
      </c>
      <c r="W45" s="62"/>
      <c r="X45" s="79" t="s">
        <v>34</v>
      </c>
      <c r="Y45" s="7"/>
      <c r="Z45" s="7"/>
      <c r="AA45" s="7"/>
      <c r="AB45" s="13"/>
      <c r="AC45" s="13"/>
      <c r="AD45" s="13"/>
    </row>
    <row r="46" ht="14.25">
      <c r="A46" s="203" t="s">
        <v>40</v>
      </c>
      <c r="B46" s="255" t="s">
        <v>32</v>
      </c>
      <c r="C46" s="255" t="s">
        <v>33</v>
      </c>
      <c r="D46" s="255" t="s">
        <v>32</v>
      </c>
      <c r="E46" s="255" t="s">
        <v>33</v>
      </c>
      <c r="F46" s="255" t="s">
        <v>32</v>
      </c>
      <c r="G46" s="255" t="s">
        <v>33</v>
      </c>
      <c r="H46" s="255" t="s">
        <v>32</v>
      </c>
      <c r="I46" s="255" t="s">
        <v>33</v>
      </c>
      <c r="J46" s="65" t="s">
        <v>32</v>
      </c>
      <c r="K46" s="65" t="s">
        <v>33</v>
      </c>
      <c r="L46" s="66"/>
      <c r="M46" s="66"/>
      <c r="N46" s="66"/>
      <c r="O46" s="66"/>
      <c r="P46" s="218">
        <f t="shared" si="50"/>
        <v>40</v>
      </c>
      <c r="Q46" s="62">
        <f t="shared" si="59"/>
        <v>48</v>
      </c>
      <c r="R46" s="219" t="str">
        <f t="shared" si="51"/>
        <v>Душин</v>
      </c>
      <c r="S46" s="76" t="s">
        <v>10</v>
      </c>
      <c r="T46" s="77" t="s">
        <v>9</v>
      </c>
      <c r="U46" s="73">
        <f t="shared" si="52"/>
        <v>0</v>
      </c>
      <c r="V46" s="62">
        <f t="shared" si="53"/>
        <v>0</v>
      </c>
      <c r="W46" s="62"/>
      <c r="X46" s="74" t="s">
        <v>38</v>
      </c>
      <c r="Y46" s="7"/>
      <c r="Z46" s="7"/>
      <c r="AA46" s="7"/>
      <c r="AB46" s="13"/>
      <c r="AC46" s="13"/>
      <c r="AD46" s="13"/>
    </row>
    <row r="47" ht="14.25">
      <c r="A47" s="271" t="s">
        <v>42</v>
      </c>
      <c r="B47" s="65" t="s">
        <v>54</v>
      </c>
      <c r="C47" s="65" t="s">
        <v>33</v>
      </c>
      <c r="D47" s="65" t="s">
        <v>54</v>
      </c>
      <c r="E47" s="65" t="s">
        <v>33</v>
      </c>
      <c r="F47" s="65" t="s">
        <v>54</v>
      </c>
      <c r="G47" s="65" t="s">
        <v>33</v>
      </c>
      <c r="H47" s="65" t="s">
        <v>54</v>
      </c>
      <c r="I47" s="65" t="s">
        <v>33</v>
      </c>
      <c r="J47" s="65" t="s">
        <v>54</v>
      </c>
      <c r="K47" s="65" t="s">
        <v>33</v>
      </c>
      <c r="L47" s="66"/>
      <c r="M47" s="66"/>
      <c r="N47" s="66"/>
      <c r="O47" s="66"/>
      <c r="P47" s="220">
        <f t="shared" si="50"/>
        <v>40</v>
      </c>
      <c r="Q47" s="221">
        <f t="shared" si="59"/>
        <v>48</v>
      </c>
      <c r="R47" s="222" t="str">
        <f t="shared" si="51"/>
        <v>Юращик</v>
      </c>
      <c r="S47" s="76" t="s">
        <v>10</v>
      </c>
      <c r="T47" s="77" t="s">
        <v>9</v>
      </c>
      <c r="U47" s="240"/>
      <c r="V47" s="221"/>
      <c r="W47" s="221"/>
      <c r="X47" s="299" t="s">
        <v>38</v>
      </c>
      <c r="Y47" s="7"/>
      <c r="Z47" s="7"/>
      <c r="AA47" s="7"/>
      <c r="AB47" s="13"/>
      <c r="AC47" s="13"/>
      <c r="AD47" s="13"/>
    </row>
    <row r="48" ht="14.25">
      <c r="A48" s="203" t="s">
        <v>31</v>
      </c>
      <c r="B48" s="122"/>
      <c r="C48" s="122"/>
      <c r="D48" s="310"/>
      <c r="E48" s="122"/>
      <c r="F48" s="310"/>
      <c r="G48" s="122"/>
      <c r="H48" s="310"/>
      <c r="I48" s="122"/>
      <c r="J48" s="310"/>
      <c r="K48" s="122"/>
      <c r="L48" s="310"/>
      <c r="M48" s="122"/>
      <c r="N48" s="310"/>
      <c r="O48" s="122"/>
      <c r="P48" s="218">
        <f t="shared" si="50"/>
        <v>0</v>
      </c>
      <c r="Q48" s="62">
        <f t="shared" si="59"/>
        <v>128</v>
      </c>
      <c r="R48" s="219" t="str">
        <f t="shared" si="51"/>
        <v>Нетронин</v>
      </c>
      <c r="S48" s="76" t="s">
        <v>10</v>
      </c>
      <c r="T48" s="300" t="s">
        <v>9</v>
      </c>
      <c r="U48" s="73">
        <f t="shared" si="52"/>
        <v>0</v>
      </c>
      <c r="V48" s="62">
        <f t="shared" si="53"/>
        <v>0</v>
      </c>
      <c r="W48" s="62"/>
      <c r="X48" s="74" t="s">
        <v>38</v>
      </c>
      <c r="Y48" s="7"/>
      <c r="Z48" s="7"/>
      <c r="AA48" s="7"/>
      <c r="AB48" s="13"/>
      <c r="AC48" s="13"/>
      <c r="AD48" s="13"/>
    </row>
    <row r="49" ht="14.25">
      <c r="A49" s="301" t="s">
        <v>43</v>
      </c>
      <c r="B49" s="66"/>
      <c r="C49" s="273"/>
      <c r="D49" s="66"/>
      <c r="E49" s="273"/>
      <c r="F49" s="72"/>
      <c r="G49" s="251"/>
      <c r="H49" s="72"/>
      <c r="I49" s="251"/>
      <c r="J49" s="67"/>
      <c r="K49" s="261"/>
      <c r="L49" s="82"/>
      <c r="M49" s="302"/>
      <c r="N49" s="83"/>
      <c r="O49" s="112"/>
      <c r="P49" s="303">
        <f t="shared" si="50"/>
        <v>0</v>
      </c>
      <c r="Q49" s="304">
        <f t="shared" si="59"/>
        <v>168</v>
      </c>
      <c r="R49" s="305" t="s">
        <v>43</v>
      </c>
      <c r="S49" s="268" t="s">
        <v>12</v>
      </c>
      <c r="T49" s="72" t="s">
        <v>11</v>
      </c>
      <c r="U49" s="304">
        <f t="shared" si="52"/>
        <v>0</v>
      </c>
      <c r="V49" s="304">
        <f t="shared" si="53"/>
        <v>0</v>
      </c>
      <c r="W49" s="304"/>
      <c r="X49" s="306" t="s">
        <v>44</v>
      </c>
      <c r="Y49" s="80"/>
      <c r="Z49" s="80"/>
      <c r="AA49" s="80"/>
      <c r="AB49" s="13"/>
      <c r="AC49" s="13"/>
      <c r="AD49" s="13"/>
    </row>
    <row r="50" ht="14.25">
      <c r="A50" s="274" t="s">
        <v>45</v>
      </c>
      <c r="B50" s="122"/>
      <c r="C50" s="122"/>
      <c r="D50" s="311"/>
      <c r="E50" s="122"/>
      <c r="F50" s="311"/>
      <c r="G50" s="122"/>
      <c r="H50" s="311"/>
      <c r="I50" s="122"/>
      <c r="J50" s="311"/>
      <c r="K50" s="122"/>
      <c r="L50" s="311"/>
      <c r="M50" s="122"/>
      <c r="N50" s="311"/>
      <c r="O50" s="122"/>
      <c r="P50" s="228">
        <f t="shared" si="50"/>
        <v>0</v>
      </c>
      <c r="Q50" s="229">
        <f t="shared" si="59"/>
        <v>168</v>
      </c>
      <c r="R50" s="230" t="str">
        <f t="shared" si="51"/>
        <v>Пузырь</v>
      </c>
      <c r="S50" s="76" t="s">
        <v>10</v>
      </c>
      <c r="T50" s="77" t="s">
        <v>9</v>
      </c>
      <c r="U50" s="244">
        <f t="shared" si="52"/>
        <v>0</v>
      </c>
      <c r="V50" s="229">
        <f t="shared" si="53"/>
        <v>0</v>
      </c>
      <c r="W50" s="229"/>
      <c r="X50" s="308" t="s">
        <v>34</v>
      </c>
      <c r="Y50" s="7"/>
      <c r="Z50" s="7"/>
      <c r="AA50" s="7"/>
      <c r="AB50" s="13"/>
      <c r="AC50" s="13"/>
      <c r="AD50" s="13"/>
    </row>
    <row r="51" ht="14.25">
      <c r="A51" s="250" t="s">
        <v>46</v>
      </c>
      <c r="B51" s="83"/>
      <c r="C51" s="83"/>
      <c r="D51" s="77"/>
      <c r="E51" s="77"/>
      <c r="F51" s="66"/>
      <c r="G51" s="66"/>
      <c r="H51" s="66"/>
      <c r="I51" s="66"/>
      <c r="J51" s="71"/>
      <c r="K51" s="78"/>
      <c r="L51" s="71"/>
      <c r="M51" s="76"/>
      <c r="N51" s="67"/>
      <c r="O51" s="67"/>
      <c r="P51" s="218">
        <f t="shared" si="50"/>
        <v>0</v>
      </c>
      <c r="Q51" s="62">
        <f t="shared" si="59"/>
        <v>168</v>
      </c>
      <c r="R51" s="219" t="str">
        <f t="shared" si="51"/>
        <v>Голышев</v>
      </c>
      <c r="S51" s="76" t="s">
        <v>10</v>
      </c>
      <c r="T51" s="77" t="s">
        <v>9</v>
      </c>
      <c r="U51" s="73">
        <f t="shared" si="52"/>
        <v>0</v>
      </c>
      <c r="V51" s="62">
        <f t="shared" si="53"/>
        <v>0</v>
      </c>
      <c r="W51" s="62"/>
      <c r="X51" s="74" t="s">
        <v>34</v>
      </c>
      <c r="Y51" s="7"/>
      <c r="Z51" s="7"/>
      <c r="AA51" s="7"/>
      <c r="AB51" s="13"/>
      <c r="AC51" s="13"/>
      <c r="AD51" s="13"/>
    </row>
    <row r="52" ht="14.25">
      <c r="A52" s="250" t="s">
        <v>47</v>
      </c>
      <c r="B52" s="67"/>
      <c r="C52" s="67"/>
      <c r="D52" s="82"/>
      <c r="E52" s="82"/>
      <c r="F52" s="268"/>
      <c r="G52" s="78"/>
      <c r="H52" s="268"/>
      <c r="I52" s="78"/>
      <c r="J52" s="67"/>
      <c r="K52" s="67"/>
      <c r="L52" s="66"/>
      <c r="M52" s="66"/>
      <c r="N52" s="66"/>
      <c r="O52" s="66"/>
      <c r="P52" s="218">
        <f t="shared" si="50"/>
        <v>0</v>
      </c>
      <c r="Q52" s="62">
        <f t="shared" si="59"/>
        <v>168</v>
      </c>
      <c r="R52" s="219" t="str">
        <f t="shared" si="51"/>
        <v>Торубара</v>
      </c>
      <c r="S52" s="76" t="s">
        <v>10</v>
      </c>
      <c r="T52" s="77" t="s">
        <v>9</v>
      </c>
      <c r="U52" s="73">
        <f t="shared" si="52"/>
        <v>0</v>
      </c>
      <c r="V52" s="62">
        <f t="shared" si="53"/>
        <v>0</v>
      </c>
      <c r="W52" s="62"/>
      <c r="X52" s="74" t="s">
        <v>34</v>
      </c>
      <c r="Y52" s="7"/>
      <c r="Z52" s="7"/>
      <c r="AA52" s="7"/>
      <c r="AB52" s="13"/>
      <c r="AC52" s="13"/>
      <c r="AD52" s="13"/>
    </row>
    <row r="53" ht="14.25">
      <c r="A53" s="250" t="s">
        <v>48</v>
      </c>
      <c r="B53" s="196"/>
      <c r="C53" s="196"/>
      <c r="D53" s="196"/>
      <c r="E53" s="196"/>
      <c r="F53" s="120"/>
      <c r="G53" s="120"/>
      <c r="H53" s="196"/>
      <c r="I53" s="196"/>
      <c r="J53" s="196"/>
      <c r="K53" s="196"/>
      <c r="L53" s="196"/>
      <c r="M53" s="196"/>
      <c r="N53" s="196"/>
      <c r="O53" s="196"/>
      <c r="P53" s="218">
        <f t="shared" si="50"/>
        <v>0</v>
      </c>
      <c r="Q53" s="62">
        <f t="shared" si="59"/>
        <v>168</v>
      </c>
      <c r="R53" s="219" t="str">
        <f t="shared" si="51"/>
        <v>Стрыгин</v>
      </c>
      <c r="S53" s="71" t="s">
        <v>8</v>
      </c>
      <c r="T53" s="72" t="s">
        <v>7</v>
      </c>
      <c r="U53" s="73">
        <f t="shared" si="52"/>
        <v>0</v>
      </c>
      <c r="V53" s="62">
        <f t="shared" si="53"/>
        <v>0</v>
      </c>
      <c r="W53" s="62"/>
      <c r="X53" s="74" t="s">
        <v>49</v>
      </c>
      <c r="Y53" s="7"/>
      <c r="Z53" s="7"/>
      <c r="AA53" s="7"/>
      <c r="AB53" s="13"/>
      <c r="AC53" s="13"/>
      <c r="AD53" s="13"/>
    </row>
    <row r="54" ht="14.25">
      <c r="A54" s="250" t="s">
        <v>50</v>
      </c>
      <c r="B54" s="71"/>
      <c r="C54" s="78"/>
      <c r="D54" s="268"/>
      <c r="E54" s="76"/>
      <c r="F54" s="67"/>
      <c r="G54" s="67"/>
      <c r="H54" s="66"/>
      <c r="I54" s="66"/>
      <c r="J54" s="83"/>
      <c r="K54" s="83"/>
      <c r="L54" s="262"/>
      <c r="M54" s="83"/>
      <c r="N54" s="66"/>
      <c r="O54" s="66"/>
      <c r="P54" s="218">
        <f t="shared" si="50"/>
        <v>0</v>
      </c>
      <c r="Q54" s="62">
        <f t="shared" si="59"/>
        <v>168</v>
      </c>
      <c r="R54" s="219" t="str">
        <f t="shared" si="51"/>
        <v>Фрик</v>
      </c>
      <c r="S54" s="71" t="s">
        <v>12</v>
      </c>
      <c r="T54" s="72" t="s">
        <v>11</v>
      </c>
      <c r="U54" s="73">
        <f t="shared" si="52"/>
        <v>0</v>
      </c>
      <c r="V54" s="62">
        <f t="shared" si="53"/>
        <v>0</v>
      </c>
      <c r="W54" s="62"/>
      <c r="X54" s="74" t="s">
        <v>44</v>
      </c>
      <c r="Y54" s="7"/>
      <c r="Z54" s="7"/>
      <c r="AA54" s="7"/>
      <c r="AB54" s="13"/>
      <c r="AC54" s="13"/>
      <c r="AD54" s="13"/>
    </row>
    <row r="55" ht="14.25">
      <c r="A55" s="252" t="s">
        <v>51</v>
      </c>
      <c r="B55" s="67"/>
      <c r="C55" s="66"/>
      <c r="D55" s="67"/>
      <c r="E55" s="66"/>
      <c r="F55" s="268"/>
      <c r="G55" s="76"/>
      <c r="H55" s="268"/>
      <c r="I55" s="78"/>
      <c r="J55" s="66"/>
      <c r="K55" s="66"/>
      <c r="L55" s="66"/>
      <c r="M55" s="66"/>
      <c r="N55" s="268"/>
      <c r="O55" s="76"/>
      <c r="P55" s="218">
        <f t="shared" si="50"/>
        <v>0</v>
      </c>
      <c r="Q55" s="62">
        <f t="shared" si="59"/>
        <v>0</v>
      </c>
      <c r="R55" s="219" t="str">
        <f t="shared" si="51"/>
        <v>Истрашкин</v>
      </c>
      <c r="S55" s="71" t="s">
        <v>10</v>
      </c>
      <c r="T55" s="72" t="s">
        <v>9</v>
      </c>
      <c r="U55" s="73">
        <f t="shared" si="52"/>
        <v>0</v>
      </c>
      <c r="V55" s="62">
        <f t="shared" si="53"/>
        <v>0</v>
      </c>
      <c r="W55" s="62"/>
      <c r="X55" s="74" t="s">
        <v>34</v>
      </c>
      <c r="Y55" s="7"/>
      <c r="Z55" s="7"/>
      <c r="AA55" s="7"/>
      <c r="AB55" s="13"/>
      <c r="AC55" s="13"/>
      <c r="AD55" s="13"/>
    </row>
    <row r="56" ht="14.25">
      <c r="A56" s="284"/>
      <c r="B56" s="53">
        <v>46244</v>
      </c>
      <c r="C56" s="53"/>
      <c r="D56" s="53">
        <v>46245</v>
      </c>
      <c r="E56" s="53"/>
      <c r="F56" s="53">
        <v>46246</v>
      </c>
      <c r="G56" s="53"/>
      <c r="H56" s="53">
        <v>46247</v>
      </c>
      <c r="I56" s="53"/>
      <c r="J56" s="53">
        <v>46248</v>
      </c>
      <c r="K56" s="53"/>
      <c r="L56" s="53">
        <v>46249</v>
      </c>
      <c r="M56" s="53"/>
      <c r="N56" s="53">
        <v>46250</v>
      </c>
      <c r="O56" s="54"/>
      <c r="P56" s="285"/>
      <c r="Q56" s="254"/>
      <c r="R56" s="207"/>
      <c r="S56" s="138"/>
      <c r="T56" s="138"/>
      <c r="U56" s="60" t="s">
        <v>27</v>
      </c>
      <c r="V56" s="61" t="s">
        <v>28</v>
      </c>
      <c r="W56" s="62" t="s">
        <v>29</v>
      </c>
      <c r="X56" s="7"/>
      <c r="Y56" s="7"/>
      <c r="Z56" s="7"/>
      <c r="AA56" s="7"/>
      <c r="AB56" s="13"/>
      <c r="AC56" s="13"/>
      <c r="AD56" s="13"/>
    </row>
    <row r="57" ht="14.25">
      <c r="A57" s="165"/>
      <c r="B57" s="312"/>
      <c r="C57" s="312"/>
      <c r="D57" s="312"/>
      <c r="E57" s="312"/>
      <c r="F57" s="312"/>
      <c r="G57" s="312"/>
      <c r="H57" s="312"/>
      <c r="I57" s="312"/>
      <c r="J57" s="312"/>
      <c r="K57" s="312"/>
      <c r="L57" s="312"/>
      <c r="M57" s="312"/>
      <c r="N57" s="312"/>
      <c r="O57" s="312"/>
      <c r="P57" s="165"/>
      <c r="Q57" s="165"/>
      <c r="R57" s="193"/>
      <c r="S57" s="127"/>
      <c r="T57" s="127"/>
      <c r="U57" s="127"/>
      <c r="V57" s="127"/>
      <c r="W57" s="128"/>
      <c r="X57" s="7"/>
      <c r="Y57" s="7"/>
      <c r="Z57" s="7"/>
      <c r="AA57" s="7"/>
      <c r="AB57" s="13"/>
      <c r="AC57" s="13"/>
      <c r="AD57" s="13"/>
    </row>
    <row r="58" ht="14.25">
      <c r="A58" s="248"/>
      <c r="B58" s="56" t="s">
        <v>17</v>
      </c>
      <c r="C58" s="116"/>
      <c r="D58" s="56" t="s">
        <v>18</v>
      </c>
      <c r="E58" s="116"/>
      <c r="F58" s="56" t="s">
        <v>19</v>
      </c>
      <c r="G58" s="56"/>
      <c r="H58" s="56" t="s">
        <v>20</v>
      </c>
      <c r="I58" s="116"/>
      <c r="J58" s="129" t="s">
        <v>21</v>
      </c>
      <c r="K58" s="129"/>
      <c r="L58" s="56" t="s">
        <v>22</v>
      </c>
      <c r="M58" s="56"/>
      <c r="N58" s="56" t="s">
        <v>23</v>
      </c>
      <c r="O58" s="56"/>
      <c r="P58" s="313" t="s">
        <v>24</v>
      </c>
      <c r="Q58" s="209"/>
      <c r="R58" s="143"/>
      <c r="S58" s="143"/>
      <c r="T58" s="143"/>
      <c r="U58" s="62"/>
      <c r="V58" s="62"/>
      <c r="W58" s="62"/>
      <c r="X58" s="51"/>
      <c r="Y58" s="7"/>
      <c r="Z58" s="7"/>
      <c r="AA58" s="7"/>
      <c r="AB58" s="13"/>
      <c r="AC58" s="13"/>
      <c r="AD58" s="13"/>
    </row>
    <row r="59" ht="14.25">
      <c r="A59" s="248"/>
      <c r="B59" s="53">
        <v>46251</v>
      </c>
      <c r="C59" s="53"/>
      <c r="D59" s="53">
        <v>46252</v>
      </c>
      <c r="E59" s="53"/>
      <c r="F59" s="53">
        <v>46253</v>
      </c>
      <c r="G59" s="53"/>
      <c r="H59" s="53">
        <v>46254</v>
      </c>
      <c r="I59" s="53"/>
      <c r="J59" s="53">
        <v>46255</v>
      </c>
      <c r="K59" s="53"/>
      <c r="L59" s="53">
        <v>46256</v>
      </c>
      <c r="M59" s="53"/>
      <c r="N59" s="53">
        <v>46257</v>
      </c>
      <c r="O59" s="54"/>
      <c r="P59" s="309" t="s">
        <v>25</v>
      </c>
      <c r="Q59" s="214" t="s">
        <v>26</v>
      </c>
      <c r="R59" s="249"/>
      <c r="S59" s="147"/>
      <c r="T59" s="147"/>
      <c r="U59" s="60" t="s">
        <v>27</v>
      </c>
      <c r="V59" s="61" t="s">
        <v>28</v>
      </c>
      <c r="W59" s="62" t="s">
        <v>29</v>
      </c>
      <c r="X59" s="63" t="s">
        <v>30</v>
      </c>
      <c r="Y59" s="7"/>
      <c r="Z59" s="7"/>
      <c r="AA59" s="7"/>
      <c r="AB59" s="13"/>
      <c r="AC59" s="13"/>
      <c r="AD59" s="13"/>
    </row>
    <row r="60" ht="14.25">
      <c r="A60" s="217" t="s">
        <v>35</v>
      </c>
      <c r="B60" s="65" t="s">
        <v>32</v>
      </c>
      <c r="C60" s="65" t="s">
        <v>33</v>
      </c>
      <c r="D60" s="65" t="s">
        <v>32</v>
      </c>
      <c r="E60" s="65" t="s">
        <v>33</v>
      </c>
      <c r="F60" s="65" t="s">
        <v>32</v>
      </c>
      <c r="G60" s="65" t="s">
        <v>33</v>
      </c>
      <c r="H60" s="65" t="s">
        <v>32</v>
      </c>
      <c r="I60" s="65" t="s">
        <v>33</v>
      </c>
      <c r="J60" s="65" t="s">
        <v>32</v>
      </c>
      <c r="K60" s="65" t="s">
        <v>33</v>
      </c>
      <c r="L60" s="66"/>
      <c r="M60" s="66"/>
      <c r="N60" s="66"/>
      <c r="O60" s="66"/>
      <c r="P60" s="218">
        <f t="shared" si="50"/>
        <v>40</v>
      </c>
      <c r="Q60" s="62">
        <f t="shared" si="59"/>
        <v>8</v>
      </c>
      <c r="R60" s="219" t="str">
        <f t="shared" si="51"/>
        <v>Рычков</v>
      </c>
      <c r="S60" s="76" t="s">
        <v>10</v>
      </c>
      <c r="T60" s="77" t="s">
        <v>9</v>
      </c>
      <c r="U60" s="73">
        <f t="shared" si="52"/>
        <v>0</v>
      </c>
      <c r="V60" s="62">
        <f t="shared" si="53"/>
        <v>0</v>
      </c>
      <c r="W60" s="62"/>
      <c r="X60" s="74" t="s">
        <v>34</v>
      </c>
      <c r="Y60" s="7"/>
      <c r="Z60" s="7"/>
      <c r="AA60" s="7"/>
      <c r="AB60" s="13"/>
      <c r="AC60" s="13"/>
      <c r="AD60" s="13"/>
    </row>
    <row r="61" ht="14.25">
      <c r="A61" s="203" t="s">
        <v>39</v>
      </c>
      <c r="B61" s="65" t="s">
        <v>32</v>
      </c>
      <c r="C61" s="65" t="s">
        <v>33</v>
      </c>
      <c r="D61" s="65" t="s">
        <v>32</v>
      </c>
      <c r="E61" s="65" t="s">
        <v>33</v>
      </c>
      <c r="F61" s="65" t="s">
        <v>32</v>
      </c>
      <c r="G61" s="65" t="s">
        <v>33</v>
      </c>
      <c r="H61" s="65" t="s">
        <v>32</v>
      </c>
      <c r="I61" s="65" t="s">
        <v>33</v>
      </c>
      <c r="J61" s="65" t="s">
        <v>32</v>
      </c>
      <c r="K61" s="65" t="s">
        <v>33</v>
      </c>
      <c r="L61" s="66"/>
      <c r="M61" s="66"/>
      <c r="N61" s="66"/>
      <c r="O61" s="66"/>
      <c r="P61" s="218">
        <f t="shared" si="50"/>
        <v>40</v>
      </c>
      <c r="Q61" s="62">
        <f t="shared" si="59"/>
        <v>8</v>
      </c>
      <c r="R61" s="219" t="str">
        <f t="shared" si="51"/>
        <v>Игумнов</v>
      </c>
      <c r="S61" s="76" t="s">
        <v>10</v>
      </c>
      <c r="T61" s="77" t="s">
        <v>9</v>
      </c>
      <c r="U61" s="73">
        <f t="shared" si="52"/>
        <v>0</v>
      </c>
      <c r="V61" s="62">
        <f t="shared" si="53"/>
        <v>0</v>
      </c>
      <c r="W61" s="62"/>
      <c r="X61" s="79" t="s">
        <v>34</v>
      </c>
      <c r="Y61" s="7"/>
      <c r="Z61" s="7"/>
      <c r="AA61" s="7"/>
      <c r="AB61" s="13"/>
      <c r="AC61" s="13"/>
      <c r="AD61" s="13"/>
    </row>
    <row r="62" ht="14.25">
      <c r="A62" s="203" t="s">
        <v>40</v>
      </c>
      <c r="B62" s="65" t="s">
        <v>32</v>
      </c>
      <c r="C62" s="65" t="s">
        <v>33</v>
      </c>
      <c r="D62" s="65" t="s">
        <v>32</v>
      </c>
      <c r="E62" s="65" t="s">
        <v>33</v>
      </c>
      <c r="F62" s="65" t="s">
        <v>32</v>
      </c>
      <c r="G62" s="65" t="s">
        <v>33</v>
      </c>
      <c r="H62" s="65" t="s">
        <v>32</v>
      </c>
      <c r="I62" s="65" t="s">
        <v>33</v>
      </c>
      <c r="J62" s="65" t="s">
        <v>32</v>
      </c>
      <c r="K62" s="65" t="s">
        <v>33</v>
      </c>
      <c r="L62" s="66"/>
      <c r="M62" s="66"/>
      <c r="N62" s="66"/>
      <c r="O62" s="66"/>
      <c r="P62" s="218">
        <f t="shared" si="50"/>
        <v>40</v>
      </c>
      <c r="Q62" s="62">
        <f t="shared" si="59"/>
        <v>8</v>
      </c>
      <c r="R62" s="219" t="str">
        <f t="shared" si="51"/>
        <v>Душин</v>
      </c>
      <c r="S62" s="76" t="s">
        <v>10</v>
      </c>
      <c r="T62" s="77" t="s">
        <v>9</v>
      </c>
      <c r="U62" s="73">
        <f t="shared" si="52"/>
        <v>0</v>
      </c>
      <c r="V62" s="62">
        <f>COUNTIF(U62,C62)+COUNTIF(U62,E62)+COUNTIF(U62,G62)+COUNTIF(U62,I62)+COUNTIF(U62,K62)+COUNTIF(U62,M62)+COUNTIF(U62,O62)</f>
        <v>2</v>
      </c>
      <c r="W62" s="62"/>
      <c r="X62" s="74" t="s">
        <v>38</v>
      </c>
      <c r="Y62" s="7"/>
      <c r="Z62" s="7"/>
      <c r="AA62" s="7"/>
      <c r="AB62" s="13"/>
      <c r="AC62" s="13"/>
      <c r="AD62" s="13"/>
    </row>
    <row r="63" ht="14.25">
      <c r="A63" s="271" t="s">
        <v>42</v>
      </c>
      <c r="B63" s="65" t="s">
        <v>54</v>
      </c>
      <c r="C63" s="65" t="s">
        <v>33</v>
      </c>
      <c r="D63" s="65" t="s">
        <v>54</v>
      </c>
      <c r="E63" s="65" t="s">
        <v>33</v>
      </c>
      <c r="F63" s="65" t="s">
        <v>54</v>
      </c>
      <c r="G63" s="65" t="s">
        <v>33</v>
      </c>
      <c r="H63" s="65" t="s">
        <v>54</v>
      </c>
      <c r="I63" s="65" t="s">
        <v>33</v>
      </c>
      <c r="J63" s="65" t="s">
        <v>54</v>
      </c>
      <c r="K63" s="65" t="s">
        <v>33</v>
      </c>
      <c r="L63" s="66"/>
      <c r="M63" s="66"/>
      <c r="N63" s="66"/>
      <c r="O63" s="66"/>
      <c r="P63" s="220">
        <f t="shared" si="50"/>
        <v>40</v>
      </c>
      <c r="Q63" s="221">
        <f t="shared" si="59"/>
        <v>8</v>
      </c>
      <c r="R63" s="222" t="str">
        <f t="shared" si="51"/>
        <v>Юращик</v>
      </c>
      <c r="S63" s="76" t="s">
        <v>10</v>
      </c>
      <c r="T63" s="77" t="s">
        <v>9</v>
      </c>
      <c r="U63" s="240"/>
      <c r="V63" s="221"/>
      <c r="W63" s="221"/>
      <c r="X63" s="299" t="s">
        <v>38</v>
      </c>
      <c r="Y63" s="7"/>
      <c r="Z63" s="7"/>
      <c r="AA63" s="7"/>
      <c r="AB63" s="13"/>
      <c r="AC63" s="13"/>
      <c r="AD63" s="13"/>
    </row>
    <row r="64" ht="14.25">
      <c r="A64" s="203" t="s">
        <v>31</v>
      </c>
      <c r="B64" s="122"/>
      <c r="C64" s="122"/>
      <c r="D64" s="310"/>
      <c r="E64" s="122"/>
      <c r="F64" s="310"/>
      <c r="G64" s="122"/>
      <c r="H64" s="310"/>
      <c r="I64" s="122"/>
      <c r="J64" s="310"/>
      <c r="K64" s="122"/>
      <c r="L64" s="310"/>
      <c r="M64" s="122"/>
      <c r="N64" s="310"/>
      <c r="O64" s="122"/>
      <c r="P64" s="218">
        <f t="shared" si="50"/>
        <v>0</v>
      </c>
      <c r="Q64" s="62">
        <f t="shared" si="59"/>
        <v>128</v>
      </c>
      <c r="R64" s="219" t="str">
        <f t="shared" si="51"/>
        <v>Нетронин</v>
      </c>
      <c r="S64" s="76" t="s">
        <v>10</v>
      </c>
      <c r="T64" s="300" t="s">
        <v>9</v>
      </c>
      <c r="U64" s="73">
        <f t="shared" si="52"/>
        <v>0</v>
      </c>
      <c r="V64" s="62">
        <f t="shared" ref="V64:V86" si="60">COUNTIF(S64,B64)+COUNTIF(S64,D64)+COUNTIF(S64,F64)+COUNTIF(S64,H64)+COUNTIF(S64,J64)+COUNTIF(S64,L64)+COUNTIF(S64,N64)</f>
        <v>0</v>
      </c>
      <c r="W64" s="62"/>
      <c r="X64" s="74" t="s">
        <v>38</v>
      </c>
      <c r="Y64" s="7"/>
      <c r="Z64" s="7"/>
      <c r="AA64" s="7"/>
      <c r="AB64" s="13"/>
      <c r="AC64" s="13"/>
      <c r="AD64" s="13"/>
    </row>
    <row r="65" ht="14.4">
      <c r="A65" s="301" t="s">
        <v>43</v>
      </c>
      <c r="B65" s="72"/>
      <c r="C65" s="112"/>
      <c r="D65" s="66"/>
      <c r="E65" s="273"/>
      <c r="F65" s="82"/>
      <c r="G65" s="302"/>
      <c r="H65" s="72"/>
      <c r="I65" s="307"/>
      <c r="J65" s="72"/>
      <c r="K65" s="112"/>
      <c r="L65" s="67"/>
      <c r="M65" s="273"/>
      <c r="N65" s="66"/>
      <c r="O65" s="273"/>
      <c r="P65" s="303">
        <f t="shared" si="50"/>
        <v>0</v>
      </c>
      <c r="Q65" s="304">
        <f t="shared" si="59"/>
        <v>168</v>
      </c>
      <c r="R65" s="305" t="s">
        <v>43</v>
      </c>
      <c r="S65" s="268" t="s">
        <v>12</v>
      </c>
      <c r="T65" s="72" t="s">
        <v>11</v>
      </c>
      <c r="U65" s="304">
        <f t="shared" si="52"/>
        <v>0</v>
      </c>
      <c r="V65" s="304">
        <f t="shared" si="60"/>
        <v>0</v>
      </c>
      <c r="W65" s="304"/>
      <c r="X65" s="306" t="s">
        <v>44</v>
      </c>
      <c r="Y65" s="80"/>
      <c r="Z65" s="80"/>
      <c r="AA65" s="80"/>
      <c r="AB65" s="13"/>
      <c r="AC65" s="13"/>
      <c r="AD65" s="13"/>
    </row>
    <row r="66" ht="14.4">
      <c r="A66" s="204" t="s">
        <v>45</v>
      </c>
      <c r="B66" s="122"/>
      <c r="C66" s="122"/>
      <c r="D66" s="122"/>
      <c r="E66" s="122"/>
      <c r="F66" s="132"/>
      <c r="G66" s="132"/>
      <c r="H66" s="196"/>
      <c r="I66" s="196"/>
      <c r="J66" s="183"/>
      <c r="K66" s="120"/>
      <c r="L66" s="195"/>
      <c r="M66" s="66"/>
      <c r="N66" s="66"/>
      <c r="O66" s="66"/>
      <c r="P66" s="228">
        <f t="shared" si="50"/>
        <v>0</v>
      </c>
      <c r="Q66" s="229">
        <f t="shared" si="59"/>
        <v>168</v>
      </c>
      <c r="R66" s="230" t="str">
        <f t="shared" si="51"/>
        <v>Пузырь</v>
      </c>
      <c r="S66" s="76" t="s">
        <v>10</v>
      </c>
      <c r="T66" s="77" t="s">
        <v>9</v>
      </c>
      <c r="U66" s="244">
        <f t="shared" si="52"/>
        <v>0</v>
      </c>
      <c r="V66" s="229">
        <f t="shared" si="60"/>
        <v>0</v>
      </c>
      <c r="W66" s="229"/>
      <c r="X66" s="308" t="s">
        <v>34</v>
      </c>
      <c r="Y66" s="7"/>
      <c r="Z66" s="7"/>
      <c r="AA66" s="7"/>
      <c r="AB66" s="13"/>
      <c r="AC66" s="13"/>
      <c r="AD66" s="13"/>
    </row>
    <row r="67" ht="14.4">
      <c r="A67" s="205" t="s">
        <v>46</v>
      </c>
      <c r="B67" s="67"/>
      <c r="C67" s="67"/>
      <c r="D67" s="77"/>
      <c r="E67" s="251"/>
      <c r="F67" s="77"/>
      <c r="G67" s="77"/>
      <c r="H67" s="66"/>
      <c r="I67" s="66"/>
      <c r="J67" s="66"/>
      <c r="K67" s="66"/>
      <c r="L67" s="268"/>
      <c r="M67" s="76"/>
      <c r="N67" s="268"/>
      <c r="O67" s="76"/>
      <c r="P67" s="218">
        <f t="shared" si="50"/>
        <v>0</v>
      </c>
      <c r="Q67" s="62">
        <f t="shared" si="59"/>
        <v>168</v>
      </c>
      <c r="R67" s="219" t="str">
        <f t="shared" si="51"/>
        <v>Голышев</v>
      </c>
      <c r="S67" s="76" t="s">
        <v>10</v>
      </c>
      <c r="T67" s="77" t="s">
        <v>9</v>
      </c>
      <c r="U67" s="73">
        <f t="shared" si="52"/>
        <v>0</v>
      </c>
      <c r="V67" s="62">
        <f t="shared" si="60"/>
        <v>0</v>
      </c>
      <c r="W67" s="62"/>
      <c r="X67" s="74" t="s">
        <v>34</v>
      </c>
      <c r="Y67" s="7"/>
      <c r="Z67" s="7"/>
      <c r="AA67" s="7"/>
      <c r="AB67" s="13"/>
      <c r="AC67" s="13"/>
      <c r="AD67" s="13"/>
    </row>
    <row r="68" ht="14.4">
      <c r="A68" s="205" t="s">
        <v>47</v>
      </c>
      <c r="B68" s="87"/>
      <c r="C68" s="87"/>
      <c r="D68" s="268"/>
      <c r="E68" s="78"/>
      <c r="F68" s="82"/>
      <c r="G68" s="82"/>
      <c r="H68" s="268"/>
      <c r="I68" s="78"/>
      <c r="J68" s="268"/>
      <c r="K68" s="243"/>
      <c r="L68" s="67"/>
      <c r="M68" s="66"/>
      <c r="N68" s="67"/>
      <c r="O68" s="66"/>
      <c r="P68" s="218">
        <f t="shared" si="50"/>
        <v>0</v>
      </c>
      <c r="Q68" s="62">
        <f t="shared" si="59"/>
        <v>168</v>
      </c>
      <c r="R68" s="219" t="str">
        <f t="shared" si="51"/>
        <v>Торубара</v>
      </c>
      <c r="S68" s="76" t="s">
        <v>10</v>
      </c>
      <c r="T68" s="77" t="s">
        <v>9</v>
      </c>
      <c r="U68" s="73">
        <f t="shared" si="52"/>
        <v>0</v>
      </c>
      <c r="V68" s="62">
        <f t="shared" si="60"/>
        <v>0</v>
      </c>
      <c r="W68" s="62"/>
      <c r="X68" s="74" t="s">
        <v>34</v>
      </c>
      <c r="Y68" s="7"/>
      <c r="Z68" s="7"/>
      <c r="AA68" s="7"/>
      <c r="AB68" s="13"/>
      <c r="AC68" s="13"/>
      <c r="AD68" s="13"/>
    </row>
    <row r="69" ht="14.4">
      <c r="A69" s="205" t="s">
        <v>48</v>
      </c>
      <c r="B69" s="71"/>
      <c r="C69" s="78"/>
      <c r="D69" s="82"/>
      <c r="E69" s="82"/>
      <c r="F69" s="66"/>
      <c r="G69" s="66"/>
      <c r="H69" s="66"/>
      <c r="I69" s="66"/>
      <c r="J69" s="87"/>
      <c r="K69" s="87"/>
      <c r="L69" s="262"/>
      <c r="M69" s="83"/>
      <c r="N69" s="66"/>
      <c r="O69" s="66"/>
      <c r="P69" s="218">
        <f t="shared" si="50"/>
        <v>0</v>
      </c>
      <c r="Q69" s="62">
        <f t="shared" si="59"/>
        <v>168</v>
      </c>
      <c r="R69" s="219" t="str">
        <f t="shared" si="51"/>
        <v>Стрыгин</v>
      </c>
      <c r="S69" s="71" t="s">
        <v>8</v>
      </c>
      <c r="T69" s="72" t="s">
        <v>7</v>
      </c>
      <c r="U69" s="73">
        <f t="shared" si="52"/>
        <v>0</v>
      </c>
      <c r="V69" s="62">
        <f t="shared" si="60"/>
        <v>0</v>
      </c>
      <c r="W69" s="62"/>
      <c r="X69" s="74" t="s">
        <v>49</v>
      </c>
      <c r="Y69" s="7"/>
      <c r="Z69" s="7"/>
      <c r="AA69" s="7"/>
      <c r="AB69" s="13"/>
      <c r="AC69" s="13"/>
      <c r="AD69" s="13"/>
    </row>
    <row r="70" ht="14.4">
      <c r="A70" s="205" t="s">
        <v>50</v>
      </c>
      <c r="B70" s="196"/>
      <c r="C70" s="196"/>
      <c r="D70" s="120"/>
      <c r="E70" s="120"/>
      <c r="F70" s="183"/>
      <c r="G70" s="183"/>
      <c r="H70" s="183"/>
      <c r="I70" s="183"/>
      <c r="J70" s="196"/>
      <c r="K70" s="196"/>
      <c r="L70" s="196"/>
      <c r="M70" s="196"/>
      <c r="N70" s="120"/>
      <c r="O70" s="120"/>
      <c r="P70" s="218">
        <f t="shared" si="50"/>
        <v>0</v>
      </c>
      <c r="Q70" s="62">
        <f t="shared" si="59"/>
        <v>168</v>
      </c>
      <c r="R70" s="219" t="str">
        <f t="shared" si="51"/>
        <v>Фрик</v>
      </c>
      <c r="S70" s="71" t="s">
        <v>12</v>
      </c>
      <c r="T70" s="72" t="s">
        <v>11</v>
      </c>
      <c r="U70" s="73">
        <f t="shared" si="52"/>
        <v>0</v>
      </c>
      <c r="V70" s="62">
        <f t="shared" si="60"/>
        <v>0</v>
      </c>
      <c r="W70" s="62"/>
      <c r="X70" s="74" t="s">
        <v>44</v>
      </c>
      <c r="Y70" s="7"/>
      <c r="Z70" s="7"/>
      <c r="AA70" s="7"/>
      <c r="AB70" s="13"/>
      <c r="AC70" s="13"/>
      <c r="AD70" s="13"/>
    </row>
    <row r="71" ht="14.4">
      <c r="A71" s="206" t="s">
        <v>51</v>
      </c>
      <c r="B71" s="66"/>
      <c r="C71" s="66"/>
      <c r="D71" s="67"/>
      <c r="E71" s="66"/>
      <c r="F71" s="268"/>
      <c r="G71" s="78"/>
      <c r="H71" s="87"/>
      <c r="I71" s="87"/>
      <c r="J71" s="87"/>
      <c r="K71" s="87"/>
      <c r="L71" s="66"/>
      <c r="M71" s="66"/>
      <c r="N71" s="292"/>
      <c r="O71" s="112"/>
      <c r="P71" s="218">
        <f t="shared" si="50"/>
        <v>0</v>
      </c>
      <c r="Q71" s="62">
        <f t="shared" si="59"/>
        <v>0</v>
      </c>
      <c r="R71" s="219" t="str">
        <f t="shared" si="51"/>
        <v>Истрашкин</v>
      </c>
      <c r="S71" s="71" t="s">
        <v>10</v>
      </c>
      <c r="T71" s="72" t="s">
        <v>9</v>
      </c>
      <c r="U71" s="73">
        <f>COUNTIF(T71,B71)+COUNTIF(T71,D71)+COUNTIF(T71,#REF!)+COUNTIF(T71,H71)+COUNTIF(T71,F71)+COUNTIF(T71,L71)+COUNTIF(T71,#REF!)</f>
        <v>0</v>
      </c>
      <c r="V71" s="62">
        <f>COUNTIF(S71,B71)+COUNTIF(S71,D71)+COUNTIF(S71,#REF!)+COUNTIF(S71,H71)+COUNTIF(S71,F71)+COUNTIF(S71,L71)+COUNTIF(S71,#REF!)</f>
        <v>0</v>
      </c>
      <c r="W71" s="62"/>
      <c r="X71" s="74" t="s">
        <v>34</v>
      </c>
      <c r="Y71" s="7"/>
      <c r="Z71" s="7"/>
      <c r="AA71" s="7"/>
      <c r="AB71" s="13"/>
      <c r="AC71" s="13"/>
      <c r="AD71" s="13"/>
    </row>
    <row r="72" ht="14.4">
      <c r="A72" s="284"/>
      <c r="B72" s="53">
        <v>46251</v>
      </c>
      <c r="C72" s="53"/>
      <c r="D72" s="53">
        <v>46252</v>
      </c>
      <c r="E72" s="53"/>
      <c r="F72" s="53">
        <v>46253</v>
      </c>
      <c r="G72" s="53"/>
      <c r="H72" s="53">
        <v>46254</v>
      </c>
      <c r="I72" s="53"/>
      <c r="J72" s="53">
        <v>46255</v>
      </c>
      <c r="K72" s="53"/>
      <c r="L72" s="53">
        <v>46256</v>
      </c>
      <c r="M72" s="53"/>
      <c r="N72" s="53">
        <v>46257</v>
      </c>
      <c r="O72" s="54"/>
      <c r="P72" s="285"/>
      <c r="Q72" s="254"/>
      <c r="R72" s="207"/>
      <c r="S72" s="138"/>
      <c r="T72" s="138"/>
      <c r="U72" s="60" t="s">
        <v>27</v>
      </c>
      <c r="V72" s="61" t="s">
        <v>28</v>
      </c>
      <c r="W72" s="62" t="s">
        <v>29</v>
      </c>
      <c r="X72" s="7"/>
      <c r="Y72" s="7"/>
      <c r="Z72" s="7"/>
      <c r="AA72" s="7"/>
      <c r="AB72" s="13"/>
      <c r="AC72" s="13"/>
      <c r="AD72" s="13"/>
    </row>
    <row r="73" ht="14.4">
      <c r="A73" s="139"/>
      <c r="B73" s="314"/>
      <c r="C73" s="314"/>
      <c r="D73" s="314"/>
      <c r="E73" s="314"/>
      <c r="F73" s="314"/>
      <c r="G73" s="314"/>
      <c r="H73" s="314"/>
      <c r="I73" s="314"/>
      <c r="J73" s="314"/>
      <c r="K73" s="314"/>
      <c r="L73" s="314"/>
      <c r="M73" s="314"/>
      <c r="N73" s="314"/>
      <c r="O73" s="314"/>
      <c r="P73" s="139"/>
      <c r="Q73" s="127"/>
      <c r="R73" s="139"/>
      <c r="S73" s="139"/>
      <c r="T73" s="139"/>
      <c r="U73" s="127"/>
      <c r="V73" s="127"/>
      <c r="W73" s="128"/>
      <c r="X73" s="7"/>
      <c r="Y73" s="7"/>
      <c r="Z73" s="7"/>
      <c r="AA73" s="7"/>
      <c r="AB73" s="13"/>
      <c r="AC73" s="13"/>
      <c r="AD73" s="13"/>
    </row>
    <row r="74" ht="14.4">
      <c r="A74" s="248"/>
      <c r="B74" s="56" t="s">
        <v>17</v>
      </c>
      <c r="C74" s="116"/>
      <c r="D74" s="56" t="s">
        <v>18</v>
      </c>
      <c r="E74" s="116"/>
      <c r="F74" s="56" t="s">
        <v>19</v>
      </c>
      <c r="G74" s="56"/>
      <c r="H74" s="56" t="s">
        <v>20</v>
      </c>
      <c r="I74" s="116"/>
      <c r="J74" s="129" t="s">
        <v>21</v>
      </c>
      <c r="K74" s="129"/>
      <c r="L74" s="56" t="s">
        <v>22</v>
      </c>
      <c r="M74" s="56"/>
      <c r="N74" s="56" t="s">
        <v>23</v>
      </c>
      <c r="O74" s="56"/>
      <c r="P74" s="313" t="s">
        <v>24</v>
      </c>
      <c r="Q74" s="209"/>
      <c r="R74" s="143"/>
      <c r="S74" s="143"/>
      <c r="T74" s="143"/>
      <c r="U74" s="62"/>
      <c r="V74" s="62"/>
      <c r="W74" s="62"/>
      <c r="X74" s="51"/>
      <c r="Y74" s="7"/>
      <c r="Z74" s="7"/>
      <c r="AA74" s="7"/>
      <c r="AB74" s="13"/>
      <c r="AC74" s="13"/>
      <c r="AD74" s="13"/>
    </row>
    <row r="75" ht="14.4">
      <c r="A75" s="248"/>
      <c r="B75" s="53">
        <v>46258</v>
      </c>
      <c r="C75" s="53"/>
      <c r="D75" s="53">
        <v>46259</v>
      </c>
      <c r="E75" s="53"/>
      <c r="F75" s="53">
        <v>46260</v>
      </c>
      <c r="G75" s="53"/>
      <c r="H75" s="53">
        <v>46261</v>
      </c>
      <c r="I75" s="53"/>
      <c r="J75" s="53">
        <v>46262</v>
      </c>
      <c r="K75" s="53"/>
      <c r="L75" s="53">
        <v>46263</v>
      </c>
      <c r="M75" s="53"/>
      <c r="N75" s="53">
        <v>46264</v>
      </c>
      <c r="O75" s="54"/>
      <c r="P75" s="309" t="s">
        <v>25</v>
      </c>
      <c r="Q75" s="214" t="s">
        <v>26</v>
      </c>
      <c r="R75" s="249"/>
      <c r="S75" s="147"/>
      <c r="T75" s="147"/>
      <c r="U75" s="60" t="s">
        <v>27</v>
      </c>
      <c r="V75" s="61" t="s">
        <v>28</v>
      </c>
      <c r="W75" s="62" t="s">
        <v>29</v>
      </c>
      <c r="X75" s="63" t="s">
        <v>30</v>
      </c>
      <c r="Y75" s="7"/>
      <c r="Z75" s="7"/>
      <c r="AA75" s="7"/>
      <c r="AB75" s="13"/>
      <c r="AC75" s="13"/>
      <c r="AD75" s="13"/>
    </row>
    <row r="76" ht="14.4">
      <c r="A76" s="203" t="s">
        <v>35</v>
      </c>
      <c r="B76" s="65" t="s">
        <v>32</v>
      </c>
      <c r="C76" s="65" t="s">
        <v>33</v>
      </c>
      <c r="D76" s="65" t="s">
        <v>32</v>
      </c>
      <c r="E76" s="65" t="s">
        <v>33</v>
      </c>
      <c r="F76" s="65" t="s">
        <v>32</v>
      </c>
      <c r="G76" s="65" t="s">
        <v>33</v>
      </c>
      <c r="H76" s="65" t="s">
        <v>32</v>
      </c>
      <c r="I76" s="65" t="s">
        <v>33</v>
      </c>
      <c r="J76" s="65" t="s">
        <v>32</v>
      </c>
      <c r="K76" s="65" t="s">
        <v>33</v>
      </c>
      <c r="L76" s="66"/>
      <c r="M76" s="66"/>
      <c r="N76" s="66"/>
      <c r="O76" s="66"/>
      <c r="P76" s="218">
        <f t="shared" ref="P76:P86" si="61">C76+E76+G76+I76+K76+M76+O76</f>
        <v>40</v>
      </c>
      <c r="Q76" s="62">
        <f t="shared" si="59"/>
        <v>-32</v>
      </c>
      <c r="R76" s="219" t="str">
        <f t="shared" ref="R76:R103" si="62">A76</f>
        <v>Рычков</v>
      </c>
      <c r="S76" s="76" t="s">
        <v>10</v>
      </c>
      <c r="T76" s="77" t="s">
        <v>9</v>
      </c>
      <c r="U76" s="73">
        <f t="shared" ref="U76:U86" si="63">COUNTIF(T76,B76)+COUNTIF(T76,D76)+COUNTIF(T76,F76)+COUNTIF(T76,H76)+COUNTIF(T76,J76)+COUNTIF(T76,L76)+COUNTIF(T76,N76)</f>
        <v>0</v>
      </c>
      <c r="V76" s="62">
        <f t="shared" si="60"/>
        <v>0</v>
      </c>
      <c r="W76" s="62"/>
      <c r="X76" s="74" t="s">
        <v>34</v>
      </c>
      <c r="Y76" s="7"/>
      <c r="Z76" s="7"/>
      <c r="AA76" s="7"/>
      <c r="AB76" s="13"/>
      <c r="AC76" s="13"/>
      <c r="AD76" s="13"/>
    </row>
    <row r="77" ht="14.4">
      <c r="A77" s="203" t="s">
        <v>39</v>
      </c>
      <c r="B77" s="122"/>
      <c r="C77" s="122" t="s">
        <v>33</v>
      </c>
      <c r="D77" s="122"/>
      <c r="E77" s="122" t="s">
        <v>33</v>
      </c>
      <c r="F77" s="122"/>
      <c r="G77" s="122" t="s">
        <v>33</v>
      </c>
      <c r="H77" s="122"/>
      <c r="I77" s="122" t="s">
        <v>33</v>
      </c>
      <c r="J77" s="122"/>
      <c r="K77" s="122" t="s">
        <v>33</v>
      </c>
      <c r="L77" s="122"/>
      <c r="M77" s="122"/>
      <c r="N77" s="122"/>
      <c r="O77" s="122"/>
      <c r="P77" s="218">
        <f t="shared" si="61"/>
        <v>40</v>
      </c>
      <c r="Q77" s="62">
        <f t="shared" si="59"/>
        <v>-32</v>
      </c>
      <c r="R77" s="219" t="str">
        <f t="shared" si="62"/>
        <v>Игумнов</v>
      </c>
      <c r="S77" s="76" t="s">
        <v>10</v>
      </c>
      <c r="T77" s="77" t="s">
        <v>9</v>
      </c>
      <c r="U77" s="73">
        <f t="shared" si="63"/>
        <v>0</v>
      </c>
      <c r="V77" s="62">
        <f t="shared" si="60"/>
        <v>0</v>
      </c>
      <c r="W77" s="62"/>
      <c r="X77" s="79" t="s">
        <v>34</v>
      </c>
      <c r="Y77" s="7"/>
      <c r="Z77" s="7"/>
      <c r="AA77" s="7"/>
      <c r="AB77" s="13"/>
      <c r="AC77" s="13"/>
      <c r="AD77" s="13"/>
    </row>
    <row r="78" ht="14.4">
      <c r="A78" s="203" t="s">
        <v>40</v>
      </c>
      <c r="B78" s="65" t="s">
        <v>32</v>
      </c>
      <c r="C78" s="65" t="s">
        <v>33</v>
      </c>
      <c r="D78" s="65" t="s">
        <v>32</v>
      </c>
      <c r="E78" s="65" t="s">
        <v>33</v>
      </c>
      <c r="F78" s="65" t="s">
        <v>32</v>
      </c>
      <c r="G78" s="65" t="s">
        <v>33</v>
      </c>
      <c r="H78" s="65" t="s">
        <v>32</v>
      </c>
      <c r="I78" s="65" t="s">
        <v>33</v>
      </c>
      <c r="J78" s="65" t="s">
        <v>32</v>
      </c>
      <c r="K78" s="65" t="s">
        <v>33</v>
      </c>
      <c r="L78" s="66"/>
      <c r="M78" s="66"/>
      <c r="N78" s="66"/>
      <c r="O78" s="66"/>
      <c r="P78" s="218">
        <f t="shared" si="61"/>
        <v>40</v>
      </c>
      <c r="Q78" s="62">
        <f t="shared" si="59"/>
        <v>-32</v>
      </c>
      <c r="R78" s="219" t="str">
        <f t="shared" si="62"/>
        <v>Душин</v>
      </c>
      <c r="S78" s="76" t="s">
        <v>10</v>
      </c>
      <c r="T78" s="77" t="s">
        <v>9</v>
      </c>
      <c r="U78" s="73">
        <f t="shared" si="63"/>
        <v>0</v>
      </c>
      <c r="V78" s="62">
        <f t="shared" si="60"/>
        <v>0</v>
      </c>
      <c r="W78" s="62"/>
      <c r="X78" s="74" t="s">
        <v>38</v>
      </c>
      <c r="Y78" s="7"/>
      <c r="Z78" s="7"/>
      <c r="AA78" s="7"/>
      <c r="AB78" s="13"/>
      <c r="AC78" s="13"/>
      <c r="AD78" s="13"/>
    </row>
    <row r="79" ht="14.4">
      <c r="A79" s="271" t="s">
        <v>42</v>
      </c>
      <c r="B79" s="65" t="s">
        <v>54</v>
      </c>
      <c r="C79" s="65" t="s">
        <v>33</v>
      </c>
      <c r="D79" s="65" t="s">
        <v>54</v>
      </c>
      <c r="E79" s="65" t="s">
        <v>33</v>
      </c>
      <c r="F79" s="65" t="s">
        <v>54</v>
      </c>
      <c r="G79" s="65" t="s">
        <v>33</v>
      </c>
      <c r="H79" s="65" t="s">
        <v>54</v>
      </c>
      <c r="I79" s="65" t="s">
        <v>33</v>
      </c>
      <c r="J79" s="65" t="s">
        <v>54</v>
      </c>
      <c r="K79" s="65" t="s">
        <v>33</v>
      </c>
      <c r="L79" s="66"/>
      <c r="M79" s="66"/>
      <c r="N79" s="66"/>
      <c r="O79" s="66"/>
      <c r="P79" s="220">
        <f t="shared" si="61"/>
        <v>40</v>
      </c>
      <c r="Q79" s="221">
        <f t="shared" si="59"/>
        <v>-32</v>
      </c>
      <c r="R79" s="222" t="str">
        <f t="shared" si="62"/>
        <v>Юращик</v>
      </c>
      <c r="S79" s="76" t="s">
        <v>10</v>
      </c>
      <c r="T79" s="77" t="s">
        <v>9</v>
      </c>
      <c r="U79" s="240"/>
      <c r="V79" s="221"/>
      <c r="W79" s="221"/>
      <c r="X79" s="299" t="s">
        <v>38</v>
      </c>
      <c r="Y79" s="7"/>
      <c r="Z79" s="7"/>
      <c r="AA79" s="7"/>
      <c r="AB79" s="13"/>
      <c r="AC79" s="13"/>
      <c r="AD79" s="13"/>
    </row>
    <row r="80" ht="14.4">
      <c r="A80" s="203" t="s">
        <v>31</v>
      </c>
      <c r="B80" s="148" t="s">
        <v>32</v>
      </c>
      <c r="C80" s="148" t="s">
        <v>33</v>
      </c>
      <c r="D80" s="148" t="s">
        <v>32</v>
      </c>
      <c r="E80" s="148" t="s">
        <v>33</v>
      </c>
      <c r="F80" s="148" t="s">
        <v>32</v>
      </c>
      <c r="G80" s="148" t="s">
        <v>33</v>
      </c>
      <c r="H80" s="148" t="s">
        <v>32</v>
      </c>
      <c r="I80" s="148" t="s">
        <v>33</v>
      </c>
      <c r="J80" s="148" t="s">
        <v>32</v>
      </c>
      <c r="K80" s="148" t="s">
        <v>33</v>
      </c>
      <c r="L80" s="315"/>
      <c r="M80" s="108"/>
      <c r="N80" s="108"/>
      <c r="O80" s="108"/>
      <c r="P80" s="218">
        <f t="shared" si="61"/>
        <v>40</v>
      </c>
      <c r="Q80" s="62">
        <f t="shared" si="59"/>
        <v>88</v>
      </c>
      <c r="R80" s="219" t="str">
        <f t="shared" si="62"/>
        <v>Нетронин</v>
      </c>
      <c r="S80" s="76" t="s">
        <v>10</v>
      </c>
      <c r="T80" s="251" t="s">
        <v>9</v>
      </c>
      <c r="U80" s="73">
        <f>COUNTIF(T80,B80)+COUNTIF(T80,D80)+COUNTIF(T80,F80)+COUNTIF(T80,H80)+COUNTIF(T80,J80)+COUNTIF(T80,N79)+COUNTIF(T80,N80)</f>
        <v>0</v>
      </c>
      <c r="V80" s="62">
        <f>COUNTIF(S80,B80)+COUNTIF(S80,D80)+COUNTIF(S80,F80)+COUNTIF(S80,H80)+COUNTIF(S80,J80)+COUNTIF(S80,N79)+COUNTIF(S80,N80)</f>
        <v>0</v>
      </c>
      <c r="W80" s="62"/>
      <c r="X80" s="74" t="s">
        <v>38</v>
      </c>
      <c r="Y80" s="7"/>
      <c r="Z80" s="7"/>
      <c r="AA80" s="7"/>
      <c r="AB80" s="13"/>
      <c r="AC80" s="13"/>
      <c r="AD80" s="13"/>
    </row>
    <row r="81" ht="14.4">
      <c r="A81" s="301" t="s">
        <v>43</v>
      </c>
      <c r="B81" s="87"/>
      <c r="C81" s="87"/>
      <c r="D81" s="72"/>
      <c r="E81" s="112"/>
      <c r="F81" s="72"/>
      <c r="G81" s="112"/>
      <c r="H81" s="66"/>
      <c r="I81" s="66"/>
      <c r="J81" s="87"/>
      <c r="K81" s="87"/>
      <c r="L81" s="87"/>
      <c r="M81" s="87"/>
      <c r="N81" s="71"/>
      <c r="O81" s="265"/>
      <c r="P81" s="220">
        <f t="shared" si="61"/>
        <v>0</v>
      </c>
      <c r="Q81" s="304">
        <f t="shared" si="59"/>
        <v>168</v>
      </c>
      <c r="R81" s="305" t="s">
        <v>43</v>
      </c>
      <c r="S81" s="268" t="s">
        <v>12</v>
      </c>
      <c r="T81" s="72" t="s">
        <v>11</v>
      </c>
      <c r="U81" s="304">
        <f>COUNTIF(T81,F81)+COUNTIF(T81,D81)+COUNTIF(T81,#REF!)+COUNTIF(T81,H81)+COUNTIF(T81,N81)+COUNTIF(T81,L81)+COUNTIF(T81,#REF!)</f>
        <v>0</v>
      </c>
      <c r="V81" s="304">
        <f>COUNTIF(S81,F81)+COUNTIF(S81,D81)+COUNTIF(S81,#REF!)+COUNTIF(S81,H81)+COUNTIF(S81,N81)+COUNTIF(S81,L81)+COUNTIF(S81,#REF!)</f>
        <v>0</v>
      </c>
      <c r="W81" s="304"/>
      <c r="X81" s="306" t="s">
        <v>44</v>
      </c>
      <c r="Y81" s="80"/>
      <c r="Z81" s="80"/>
      <c r="AA81" s="80"/>
      <c r="AB81" s="13"/>
      <c r="AC81" s="13"/>
      <c r="AD81" s="13"/>
    </row>
    <row r="82" ht="14.4">
      <c r="A82" s="204" t="s">
        <v>45</v>
      </c>
      <c r="B82" s="292"/>
      <c r="C82" s="112"/>
      <c r="D82" s="87"/>
      <c r="E82" s="87"/>
      <c r="F82" s="66"/>
      <c r="G82" s="66"/>
      <c r="H82" s="66"/>
      <c r="I82" s="66"/>
      <c r="J82" s="268"/>
      <c r="K82" s="243"/>
      <c r="L82" s="268"/>
      <c r="M82" s="78"/>
      <c r="N82" s="66"/>
      <c r="O82" s="66"/>
      <c r="P82" s="228">
        <f t="shared" si="61"/>
        <v>0</v>
      </c>
      <c r="Q82" s="229">
        <f t="shared" si="59"/>
        <v>168</v>
      </c>
      <c r="R82" s="230" t="str">
        <f t="shared" si="62"/>
        <v>Пузырь</v>
      </c>
      <c r="S82" s="76" t="s">
        <v>10</v>
      </c>
      <c r="T82" s="77" t="s">
        <v>9</v>
      </c>
      <c r="U82" s="244">
        <f t="shared" si="63"/>
        <v>0</v>
      </c>
      <c r="V82" s="229">
        <f t="shared" si="60"/>
        <v>0</v>
      </c>
      <c r="W82" s="229"/>
      <c r="X82" s="308" t="s">
        <v>34</v>
      </c>
      <c r="Y82" s="7"/>
      <c r="Z82" s="7"/>
      <c r="AA82" s="7"/>
      <c r="AB82" s="13"/>
      <c r="AC82" s="13"/>
      <c r="AD82" s="13"/>
    </row>
    <row r="83" ht="14.4">
      <c r="A83" s="205" t="s">
        <v>46</v>
      </c>
      <c r="B83" s="67"/>
      <c r="C83" s="67"/>
      <c r="D83" s="67"/>
      <c r="E83" s="67"/>
      <c r="F83" s="76"/>
      <c r="G83" s="76"/>
      <c r="H83" s="76"/>
      <c r="I83" s="76"/>
      <c r="J83" s="66"/>
      <c r="K83" s="66"/>
      <c r="L83" s="82"/>
      <c r="M83" s="82"/>
      <c r="N83" s="268"/>
      <c r="O83" s="78"/>
      <c r="P83" s="218">
        <f t="shared" si="61"/>
        <v>0</v>
      </c>
      <c r="Q83" s="62">
        <f t="shared" si="59"/>
        <v>168</v>
      </c>
      <c r="R83" s="219" t="str">
        <f t="shared" si="62"/>
        <v>Голышев</v>
      </c>
      <c r="S83" s="76" t="s">
        <v>10</v>
      </c>
      <c r="T83" s="77" t="s">
        <v>9</v>
      </c>
      <c r="U83" s="73">
        <f t="shared" si="63"/>
        <v>0</v>
      </c>
      <c r="V83" s="62">
        <f t="shared" si="60"/>
        <v>0</v>
      </c>
      <c r="W83" s="62"/>
      <c r="X83" s="74" t="s">
        <v>34</v>
      </c>
      <c r="Y83" s="7"/>
      <c r="Z83" s="7"/>
      <c r="AA83" s="7"/>
      <c r="AB83" s="13"/>
      <c r="AC83" s="13"/>
      <c r="AD83" s="13"/>
    </row>
    <row r="84" ht="14.4">
      <c r="A84" s="205" t="s">
        <v>47</v>
      </c>
      <c r="B84" s="111"/>
      <c r="C84" s="111"/>
      <c r="D84" s="316"/>
      <c r="E84" s="257"/>
      <c r="F84" s="109"/>
      <c r="G84" s="109"/>
      <c r="H84" s="150"/>
      <c r="I84" s="150"/>
      <c r="J84" s="150"/>
      <c r="K84" s="150"/>
      <c r="L84" s="111"/>
      <c r="M84" s="111"/>
      <c r="N84" s="66"/>
      <c r="O84" s="66"/>
      <c r="P84" s="218">
        <f t="shared" si="61"/>
        <v>0</v>
      </c>
      <c r="Q84" s="62">
        <f t="shared" si="59"/>
        <v>168</v>
      </c>
      <c r="R84" s="219" t="str">
        <f t="shared" si="62"/>
        <v>Торубара</v>
      </c>
      <c r="S84" s="76" t="s">
        <v>10</v>
      </c>
      <c r="T84" s="77" t="s">
        <v>9</v>
      </c>
      <c r="U84" s="73">
        <f t="shared" si="63"/>
        <v>0</v>
      </c>
      <c r="V84" s="62">
        <f t="shared" si="60"/>
        <v>0</v>
      </c>
      <c r="W84" s="62"/>
      <c r="X84" s="74" t="s">
        <v>34</v>
      </c>
      <c r="Y84" s="7"/>
      <c r="Z84" s="7"/>
      <c r="AA84" s="7"/>
      <c r="AB84" s="13"/>
      <c r="AC84" s="13"/>
      <c r="AD84" s="13"/>
    </row>
    <row r="85" ht="14.4">
      <c r="A85" s="205" t="s">
        <v>48</v>
      </c>
      <c r="B85" s="71"/>
      <c r="C85" s="78"/>
      <c r="D85" s="66"/>
      <c r="E85" s="66"/>
      <c r="F85" s="66"/>
      <c r="G85" s="66"/>
      <c r="H85" s="262"/>
      <c r="I85" s="83"/>
      <c r="J85" s="82"/>
      <c r="K85" s="82"/>
      <c r="L85" s="87"/>
      <c r="M85" s="87"/>
      <c r="N85" s="262"/>
      <c r="O85" s="83"/>
      <c r="P85" s="218">
        <f t="shared" si="61"/>
        <v>0</v>
      </c>
      <c r="Q85" s="62">
        <f t="shared" si="59"/>
        <v>168</v>
      </c>
      <c r="R85" s="219" t="str">
        <f t="shared" si="62"/>
        <v>Стрыгин</v>
      </c>
      <c r="S85" s="71" t="s">
        <v>8</v>
      </c>
      <c r="T85" s="72" t="s">
        <v>7</v>
      </c>
      <c r="U85" s="73">
        <f>COUNTIF(T85,B85)+COUNTIF(T85,D85)+COUNTIF(T85,F85)+COUNTIF(T85,#REF!)+COUNTIF(T85,J85)+COUNTIF(T85,H85)+COUNTIF(T85,N85)</f>
        <v>0</v>
      </c>
      <c r="V85" s="62">
        <f>COUNTIF(S85,B85)+COUNTIF(S85,D85)+COUNTIF(S85,F85)+COUNTIF(S85,#REF!)+COUNTIF(S85,J85)+COUNTIF(S85,H85)+COUNTIF(S85,N85)</f>
        <v>0</v>
      </c>
      <c r="W85" s="62"/>
      <c r="X85" s="74" t="s">
        <v>49</v>
      </c>
      <c r="Y85" s="7"/>
      <c r="Z85" s="7"/>
      <c r="AA85" s="7"/>
      <c r="AB85" s="13"/>
      <c r="AC85" s="13"/>
      <c r="AD85" s="13"/>
    </row>
    <row r="86" ht="14.4">
      <c r="A86" s="205" t="s">
        <v>50</v>
      </c>
      <c r="B86" s="120"/>
      <c r="C86" s="120"/>
      <c r="D86" s="120"/>
      <c r="E86" s="120"/>
      <c r="F86" s="196"/>
      <c r="G86" s="196"/>
      <c r="H86" s="120"/>
      <c r="I86" s="120"/>
      <c r="J86" s="120"/>
      <c r="K86" s="120"/>
      <c r="L86" s="196"/>
      <c r="M86" s="196"/>
      <c r="N86" s="196"/>
      <c r="O86" s="196"/>
      <c r="P86" s="218">
        <f t="shared" si="61"/>
        <v>0</v>
      </c>
      <c r="Q86" s="62">
        <f t="shared" si="59"/>
        <v>168</v>
      </c>
      <c r="R86" s="219" t="str">
        <f t="shared" si="62"/>
        <v>Фрик</v>
      </c>
      <c r="S86" s="71" t="s">
        <v>12</v>
      </c>
      <c r="T86" s="72" t="s">
        <v>11</v>
      </c>
      <c r="U86" s="73">
        <f t="shared" si="63"/>
        <v>0</v>
      </c>
      <c r="V86" s="62">
        <f t="shared" si="60"/>
        <v>0</v>
      </c>
      <c r="W86" s="62"/>
      <c r="X86" s="74" t="s">
        <v>44</v>
      </c>
      <c r="Y86" s="7"/>
      <c r="Z86" s="7"/>
      <c r="AA86" s="7"/>
      <c r="AB86" s="13"/>
      <c r="AC86" s="13"/>
      <c r="AD86" s="13"/>
    </row>
    <row r="87" ht="14.4">
      <c r="A87" s="206" t="s">
        <v>51</v>
      </c>
      <c r="B87" s="87"/>
      <c r="C87" s="87"/>
      <c r="F87" s="67"/>
      <c r="G87" s="67"/>
      <c r="H87" s="67"/>
      <c r="I87" s="67"/>
      <c r="J87" s="292"/>
      <c r="K87" s="83"/>
      <c r="L87" s="251"/>
      <c r="M87" s="307"/>
      <c r="N87" s="82"/>
      <c r="O87" s="82"/>
      <c r="P87" s="218">
        <f>C87+O71+G87+I87+K87+M87+O87</f>
        <v>0</v>
      </c>
      <c r="Q87" s="62">
        <f t="shared" si="59"/>
        <v>0</v>
      </c>
      <c r="R87" s="219" t="str">
        <f t="shared" si="62"/>
        <v>Истрашкин</v>
      </c>
      <c r="S87" s="71" t="s">
        <v>10</v>
      </c>
      <c r="T87" s="72" t="s">
        <v>9</v>
      </c>
      <c r="U87" s="73">
        <f>COUNTIF(T87,B87)+COUNTIF(T87,N71)+COUNTIF(T87,F87)+COUNTIF(T87,H87)+COUNTIF(T87,J87)+COUNTIF(T87,L87)+COUNTIF(T87,N87)</f>
        <v>0</v>
      </c>
      <c r="V87" s="62">
        <f>COUNTIF(S87,B87)+COUNTIF(S87,N71)+COUNTIF(S87,F87)+COUNTIF(S87,H87)+COUNTIF(S87,J87)+COUNTIF(S87,L87)+COUNTIF(S87,N87)</f>
        <v>0</v>
      </c>
      <c r="W87" s="62"/>
      <c r="X87" s="74" t="s">
        <v>34</v>
      </c>
      <c r="Y87" s="7"/>
      <c r="Z87" s="7"/>
      <c r="AA87" s="7"/>
      <c r="AB87" s="13"/>
      <c r="AC87" s="13"/>
      <c r="AD87" s="13"/>
    </row>
    <row r="88" ht="14.4">
      <c r="A88" s="284"/>
      <c r="B88" s="53">
        <v>46258</v>
      </c>
      <c r="C88" s="53"/>
      <c r="D88" s="53">
        <v>46259</v>
      </c>
      <c r="E88" s="53"/>
      <c r="F88" s="53">
        <v>46260</v>
      </c>
      <c r="G88" s="53"/>
      <c r="H88" s="53">
        <v>46261</v>
      </c>
      <c r="I88" s="53"/>
      <c r="J88" s="53">
        <v>46262</v>
      </c>
      <c r="K88" s="53"/>
      <c r="L88" s="53">
        <v>46263</v>
      </c>
      <c r="M88" s="53"/>
      <c r="N88" s="53">
        <v>46264</v>
      </c>
      <c r="O88" s="54"/>
      <c r="P88" s="285"/>
      <c r="Q88" s="254"/>
      <c r="R88" s="207"/>
      <c r="S88" s="138"/>
      <c r="T88" s="138"/>
      <c r="U88" s="60" t="s">
        <v>27</v>
      </c>
      <c r="V88" s="61" t="s">
        <v>28</v>
      </c>
      <c r="W88" s="62" t="s">
        <v>29</v>
      </c>
      <c r="X88" s="7"/>
      <c r="Y88" s="7"/>
      <c r="Z88" s="7"/>
      <c r="AA88" s="7"/>
      <c r="AB88" s="13"/>
      <c r="AC88" s="13"/>
      <c r="AD88" s="13"/>
    </row>
    <row r="89" ht="14.4">
      <c r="A89" s="139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39"/>
      <c r="Q89" s="127"/>
      <c r="R89" s="139"/>
      <c r="S89" s="139"/>
      <c r="T89" s="139"/>
      <c r="U89" s="127"/>
      <c r="V89" s="127"/>
      <c r="W89" s="128"/>
      <c r="X89" s="7"/>
      <c r="Y89" s="7"/>
      <c r="Z89" s="7"/>
      <c r="AA89" s="7"/>
      <c r="AB89" s="13"/>
      <c r="AC89" s="13"/>
      <c r="AD89" s="13"/>
    </row>
    <row r="90" s="21" customFormat="1" ht="14.4">
      <c r="A90" s="248"/>
      <c r="B90" s="56" t="s">
        <v>17</v>
      </c>
      <c r="C90" s="116"/>
      <c r="D90" s="56" t="s">
        <v>18</v>
      </c>
      <c r="E90" s="116"/>
      <c r="F90" s="56" t="s">
        <v>19</v>
      </c>
      <c r="G90" s="56"/>
      <c r="H90" s="56" t="s">
        <v>20</v>
      </c>
      <c r="I90" s="116"/>
      <c r="J90" s="129" t="s">
        <v>21</v>
      </c>
      <c r="K90" s="129"/>
      <c r="L90" s="56" t="s">
        <v>22</v>
      </c>
      <c r="M90" s="56"/>
      <c r="N90" s="56" t="s">
        <v>23</v>
      </c>
      <c r="O90" s="56"/>
      <c r="P90" s="313" t="s">
        <v>24</v>
      </c>
      <c r="Q90" s="209"/>
      <c r="R90" s="143"/>
      <c r="S90" s="143"/>
      <c r="T90" s="143"/>
      <c r="U90" s="62"/>
      <c r="V90" s="62"/>
      <c r="W90" s="62"/>
      <c r="X90" s="51"/>
      <c r="Y90" s="7"/>
      <c r="Z90" s="7"/>
      <c r="AA90" s="7"/>
      <c r="AB90" s="13"/>
      <c r="AC90" s="13"/>
      <c r="AD90" s="13"/>
    </row>
    <row r="91" s="21" customFormat="1" ht="14.4">
      <c r="A91" s="248"/>
      <c r="B91" s="53">
        <v>46265</v>
      </c>
      <c r="C91" s="53"/>
      <c r="D91" s="53">
        <v>46266</v>
      </c>
      <c r="E91" s="53"/>
      <c r="F91" s="53">
        <v>46267</v>
      </c>
      <c r="G91" s="53"/>
      <c r="H91" s="53">
        <v>46268</v>
      </c>
      <c r="I91" s="53"/>
      <c r="J91" s="53">
        <v>46269</v>
      </c>
      <c r="K91" s="53"/>
      <c r="L91" s="53">
        <v>46270</v>
      </c>
      <c r="M91" s="53"/>
      <c r="N91" s="53">
        <v>46271</v>
      </c>
      <c r="O91" s="54"/>
      <c r="P91" s="309" t="s">
        <v>25</v>
      </c>
      <c r="Q91" s="214" t="s">
        <v>26</v>
      </c>
      <c r="R91" s="249"/>
      <c r="S91" s="147"/>
      <c r="T91" s="147"/>
      <c r="U91" s="60" t="s">
        <v>27</v>
      </c>
      <c r="V91" s="61" t="s">
        <v>28</v>
      </c>
      <c r="W91" s="62" t="s">
        <v>29</v>
      </c>
      <c r="X91" s="63" t="s">
        <v>30</v>
      </c>
      <c r="Y91" s="7"/>
      <c r="Z91" s="7"/>
      <c r="AA91" s="7"/>
      <c r="AB91" s="13"/>
      <c r="AC91" s="13"/>
      <c r="AD91" s="13"/>
    </row>
    <row r="92" s="21" customFormat="1" ht="14.4">
      <c r="A92" s="203" t="s">
        <v>35</v>
      </c>
      <c r="B92" s="65" t="s">
        <v>32</v>
      </c>
      <c r="C92" s="65" t="s">
        <v>33</v>
      </c>
      <c r="D92" s="65"/>
      <c r="E92" s="65"/>
      <c r="F92" s="65"/>
      <c r="G92" s="65"/>
      <c r="H92" s="65"/>
      <c r="I92" s="65"/>
      <c r="J92" s="65"/>
      <c r="K92" s="65"/>
      <c r="L92" s="66"/>
      <c r="M92" s="66"/>
      <c r="N92" s="66"/>
      <c r="O92" s="66"/>
      <c r="P92" s="218">
        <f t="shared" ref="P92:P102" si="64">C92+E92+G92+I92+K92+M92+O92</f>
        <v>8</v>
      </c>
      <c r="Q92" s="304">
        <f t="shared" si="59"/>
        <v>-40</v>
      </c>
      <c r="R92" s="219" t="str">
        <f t="shared" si="62"/>
        <v>Рычков</v>
      </c>
      <c r="S92" s="76" t="s">
        <v>10</v>
      </c>
      <c r="T92" s="77" t="s">
        <v>9</v>
      </c>
      <c r="U92" s="73">
        <f t="shared" ref="U92:U94" si="65">COUNTIF(T92,B92)+COUNTIF(T92,D92)+COUNTIF(T92,F92)+COUNTIF(T92,H92)+COUNTIF(T92,J92)+COUNTIF(T92,L92)+COUNTIF(T92,N92)</f>
        <v>0</v>
      </c>
      <c r="V92" s="62">
        <f t="shared" ref="V92:V94" si="66">COUNTIF(S92,B92)+COUNTIF(S92,D92)+COUNTIF(S92,F92)+COUNTIF(S92,H92)+COUNTIF(S92,J92)+COUNTIF(S92,L92)+COUNTIF(S92,N92)</f>
        <v>0</v>
      </c>
      <c r="W92" s="62"/>
      <c r="X92" s="74" t="s">
        <v>34</v>
      </c>
      <c r="Y92" s="7"/>
      <c r="Z92" s="7"/>
      <c r="AA92" s="7"/>
      <c r="AB92" s="13"/>
      <c r="AC92" s="13"/>
      <c r="AD92" s="13"/>
    </row>
    <row r="93" s="21" customFormat="1" ht="14.4">
      <c r="A93" s="203" t="s">
        <v>39</v>
      </c>
      <c r="B93" s="65"/>
      <c r="C93" s="65" t="s">
        <v>33</v>
      </c>
      <c r="D93" s="65"/>
      <c r="E93" s="65"/>
      <c r="F93" s="65"/>
      <c r="G93" s="65"/>
      <c r="H93" s="65"/>
      <c r="I93" s="65"/>
      <c r="J93" s="65"/>
      <c r="K93" s="65"/>
      <c r="L93" s="120"/>
      <c r="M93" s="120"/>
      <c r="N93" s="120"/>
      <c r="O93" s="120"/>
      <c r="P93" s="218">
        <f t="shared" si="64"/>
        <v>8</v>
      </c>
      <c r="Q93" s="304">
        <f t="shared" si="59"/>
        <v>-40</v>
      </c>
      <c r="R93" s="219" t="str">
        <f t="shared" si="62"/>
        <v>Игумнов</v>
      </c>
      <c r="S93" s="76" t="s">
        <v>10</v>
      </c>
      <c r="T93" s="77" t="s">
        <v>9</v>
      </c>
      <c r="U93" s="73">
        <f t="shared" si="65"/>
        <v>0</v>
      </c>
      <c r="V93" s="62">
        <f t="shared" si="66"/>
        <v>0</v>
      </c>
      <c r="W93" s="62"/>
      <c r="X93" s="79" t="s">
        <v>34</v>
      </c>
      <c r="Y93" s="7"/>
      <c r="Z93" s="7"/>
      <c r="AA93" s="7"/>
      <c r="AB93" s="13"/>
      <c r="AC93" s="13"/>
      <c r="AD93" s="13"/>
    </row>
    <row r="94" s="21" customFormat="1" ht="14.4">
      <c r="A94" s="203" t="s">
        <v>40</v>
      </c>
      <c r="B94" s="65" t="s">
        <v>32</v>
      </c>
      <c r="C94" s="65" t="s">
        <v>33</v>
      </c>
      <c r="D94" s="65"/>
      <c r="E94" s="65"/>
      <c r="F94" s="65"/>
      <c r="G94" s="65"/>
      <c r="H94" s="65"/>
      <c r="I94" s="65"/>
      <c r="J94" s="65"/>
      <c r="K94" s="65"/>
      <c r="L94" s="66"/>
      <c r="M94" s="66"/>
      <c r="N94" s="66"/>
      <c r="O94" s="66"/>
      <c r="P94" s="218">
        <f t="shared" si="64"/>
        <v>8</v>
      </c>
      <c r="Q94" s="304">
        <f t="shared" si="59"/>
        <v>-40</v>
      </c>
      <c r="R94" s="219" t="str">
        <f t="shared" si="62"/>
        <v>Душин</v>
      </c>
      <c r="S94" s="76" t="s">
        <v>10</v>
      </c>
      <c r="T94" s="77" t="s">
        <v>9</v>
      </c>
      <c r="U94" s="73">
        <f t="shared" si="65"/>
        <v>0</v>
      </c>
      <c r="V94" s="62">
        <f t="shared" si="66"/>
        <v>0</v>
      </c>
      <c r="W94" s="62"/>
      <c r="X94" s="74" t="s">
        <v>38</v>
      </c>
      <c r="Y94" s="7"/>
      <c r="Z94" s="7"/>
      <c r="AA94" s="7"/>
      <c r="AB94" s="13"/>
      <c r="AC94" s="13"/>
      <c r="AD94" s="13"/>
    </row>
    <row r="95" s="21" customFormat="1" ht="14.4">
      <c r="A95" s="271" t="s">
        <v>42</v>
      </c>
      <c r="B95" s="65" t="s">
        <v>54</v>
      </c>
      <c r="C95" s="65" t="s">
        <v>33</v>
      </c>
      <c r="D95" s="65"/>
      <c r="E95" s="65"/>
      <c r="F95" s="65"/>
      <c r="G95" s="65"/>
      <c r="H95" s="65"/>
      <c r="I95" s="65"/>
      <c r="J95" s="65"/>
      <c r="K95" s="65"/>
      <c r="L95" s="66"/>
      <c r="M95" s="66"/>
      <c r="N95" s="66"/>
      <c r="O95" s="66"/>
      <c r="P95" s="220">
        <f t="shared" si="64"/>
        <v>8</v>
      </c>
      <c r="Q95" s="304">
        <f t="shared" si="59"/>
        <v>-40</v>
      </c>
      <c r="R95" s="222" t="str">
        <f t="shared" si="62"/>
        <v>Юращик</v>
      </c>
      <c r="S95" s="76" t="s">
        <v>10</v>
      </c>
      <c r="T95" s="77" t="s">
        <v>9</v>
      </c>
      <c r="U95" s="240"/>
      <c r="V95" s="221"/>
      <c r="W95" s="221"/>
      <c r="X95" s="299" t="s">
        <v>38</v>
      </c>
      <c r="Y95" s="7"/>
      <c r="Z95" s="7"/>
      <c r="AA95" s="7"/>
      <c r="AB95" s="13"/>
      <c r="AC95" s="13"/>
      <c r="AD95" s="13"/>
    </row>
    <row r="96" s="21" customFormat="1" ht="14.4">
      <c r="A96" s="203" t="s">
        <v>31</v>
      </c>
      <c r="B96" s="65" t="s">
        <v>32</v>
      </c>
      <c r="C96" s="65" t="s">
        <v>33</v>
      </c>
      <c r="D96" s="65"/>
      <c r="E96" s="65"/>
      <c r="F96" s="65"/>
      <c r="G96" s="65"/>
      <c r="H96" s="65"/>
      <c r="I96" s="65"/>
      <c r="J96" s="65"/>
      <c r="K96" s="65"/>
      <c r="M96" s="66"/>
      <c r="N96" s="66"/>
      <c r="O96" s="66"/>
      <c r="P96" s="218">
        <f t="shared" si="64"/>
        <v>8</v>
      </c>
      <c r="Q96" s="304">
        <f t="shared" si="59"/>
        <v>80</v>
      </c>
      <c r="R96" s="219" t="str">
        <f t="shared" si="62"/>
        <v>Нетронин</v>
      </c>
      <c r="S96" s="76" t="s">
        <v>10</v>
      </c>
      <c r="T96" s="251" t="s">
        <v>9</v>
      </c>
      <c r="U96" s="73">
        <f>COUNTIF(T96,B96)+COUNTIF(T96,D96)+COUNTIF(T96,F96)+COUNTIF(T96,H96)+COUNTIF(T96,J96)+COUNTIF(T96,N95)+COUNTIF(T96,N96)</f>
        <v>0</v>
      </c>
      <c r="V96" s="62">
        <f>COUNTIF(S96,B96)+COUNTIF(S96,D96)+COUNTIF(S96,F96)+COUNTIF(S96,H96)+COUNTIF(S96,J96)+COUNTIF(S96,N95)+COUNTIF(S96,N96)</f>
        <v>0</v>
      </c>
      <c r="W96" s="62"/>
      <c r="X96" s="74" t="s">
        <v>38</v>
      </c>
      <c r="Y96" s="7"/>
      <c r="Z96" s="7"/>
      <c r="AA96" s="7"/>
      <c r="AB96" s="13"/>
      <c r="AC96" s="13"/>
      <c r="AD96" s="13"/>
    </row>
    <row r="97" s="21" customFormat="1" ht="14.4">
      <c r="A97" s="301" t="s">
        <v>43</v>
      </c>
      <c r="B97" s="87"/>
      <c r="C97" s="87"/>
      <c r="D97" s="72"/>
      <c r="E97" s="112"/>
      <c r="F97" s="72"/>
      <c r="G97" s="112"/>
      <c r="H97" s="66"/>
      <c r="I97" s="66"/>
      <c r="J97" s="87"/>
      <c r="K97" s="87"/>
      <c r="L97" s="87"/>
      <c r="M97" s="87"/>
      <c r="N97" s="71"/>
      <c r="O97" s="265"/>
      <c r="P97" s="220">
        <f t="shared" si="64"/>
        <v>0</v>
      </c>
      <c r="Q97" s="304">
        <f t="shared" si="59"/>
        <v>168</v>
      </c>
      <c r="R97" s="305" t="s">
        <v>43</v>
      </c>
      <c r="S97" s="268" t="s">
        <v>12</v>
      </c>
      <c r="T97" s="72" t="s">
        <v>11</v>
      </c>
      <c r="U97" s="304">
        <f>COUNTIF(T97,F97)+COUNTIF(T97,D97)+COUNTIF(T97,#REF!)+COUNTIF(T97,H97)+COUNTIF(T97,N97)+COUNTIF(T97,L97)+COUNTIF(T97,#REF!)</f>
        <v>0</v>
      </c>
      <c r="V97" s="304">
        <f>COUNTIF(S97,F97)+COUNTIF(S97,D97)+COUNTIF(S97,#REF!)+COUNTIF(S97,H97)+COUNTIF(S97,N97)+COUNTIF(S97,L97)+COUNTIF(S97,#REF!)</f>
        <v>0</v>
      </c>
      <c r="W97" s="304"/>
      <c r="X97" s="306" t="s">
        <v>44</v>
      </c>
      <c r="Y97" s="80"/>
      <c r="Z97" s="80"/>
      <c r="AA97" s="80"/>
      <c r="AB97" s="13"/>
      <c r="AC97" s="13"/>
      <c r="AD97" s="13"/>
    </row>
    <row r="98" s="21" customFormat="1" ht="14.4">
      <c r="A98" s="204" t="s">
        <v>45</v>
      </c>
      <c r="B98" s="292"/>
      <c r="C98" s="112"/>
      <c r="D98" s="87"/>
      <c r="E98" s="87"/>
      <c r="F98" s="66"/>
      <c r="G98" s="66"/>
      <c r="H98" s="66"/>
      <c r="I98" s="66"/>
      <c r="J98" s="268"/>
      <c r="K98" s="243"/>
      <c r="L98" s="268"/>
      <c r="M98" s="78"/>
      <c r="N98" s="66"/>
      <c r="O98" s="66"/>
      <c r="P98" s="228">
        <f t="shared" si="64"/>
        <v>0</v>
      </c>
      <c r="Q98" s="229">
        <f t="shared" si="59"/>
        <v>168</v>
      </c>
      <c r="R98" s="230" t="str">
        <f t="shared" si="62"/>
        <v>Пузырь</v>
      </c>
      <c r="S98" s="76" t="s">
        <v>10</v>
      </c>
      <c r="T98" s="77" t="s">
        <v>9</v>
      </c>
      <c r="U98" s="244">
        <f t="shared" ref="U98:U100" si="67">COUNTIF(T98,B98)+COUNTIF(T98,D98)+COUNTIF(T98,F98)+COUNTIF(T98,H98)+COUNTIF(T98,J98)+COUNTIF(T98,L98)+COUNTIF(T98,N98)</f>
        <v>0</v>
      </c>
      <c r="V98" s="229">
        <f t="shared" ref="V98:V100" si="68">COUNTIF(S98,B98)+COUNTIF(S98,D98)+COUNTIF(S98,F98)+COUNTIF(S98,H98)+COUNTIF(S98,J98)+COUNTIF(S98,L98)+COUNTIF(S98,N98)</f>
        <v>0</v>
      </c>
      <c r="W98" s="229"/>
      <c r="X98" s="308" t="s">
        <v>34</v>
      </c>
      <c r="Y98" s="7"/>
      <c r="Z98" s="7"/>
      <c r="AA98" s="7"/>
      <c r="AB98" s="13"/>
      <c r="AC98" s="13"/>
      <c r="AD98" s="13"/>
    </row>
    <row r="99" s="21" customFormat="1" ht="14.4">
      <c r="A99" s="205" t="s">
        <v>46</v>
      </c>
      <c r="B99" s="67"/>
      <c r="C99" s="67"/>
      <c r="D99" s="67"/>
      <c r="E99" s="67"/>
      <c r="F99" s="76"/>
      <c r="G99" s="76"/>
      <c r="H99" s="76"/>
      <c r="I99" s="76"/>
      <c r="J99" s="66"/>
      <c r="K99" s="66"/>
      <c r="L99" s="82"/>
      <c r="M99" s="82"/>
      <c r="N99" s="268"/>
      <c r="O99" s="78"/>
      <c r="P99" s="218">
        <f t="shared" si="64"/>
        <v>0</v>
      </c>
      <c r="Q99" s="62">
        <f t="shared" si="59"/>
        <v>168</v>
      </c>
      <c r="R99" s="219" t="str">
        <f t="shared" si="62"/>
        <v>Голышев</v>
      </c>
      <c r="S99" s="76" t="s">
        <v>10</v>
      </c>
      <c r="T99" s="77" t="s">
        <v>9</v>
      </c>
      <c r="U99" s="73">
        <f t="shared" si="67"/>
        <v>0</v>
      </c>
      <c r="V99" s="62">
        <f t="shared" si="68"/>
        <v>0</v>
      </c>
      <c r="W99" s="62"/>
      <c r="X99" s="74" t="s">
        <v>34</v>
      </c>
      <c r="Y99" s="7"/>
      <c r="Z99" s="7"/>
      <c r="AA99" s="7"/>
      <c r="AB99" s="13"/>
      <c r="AC99" s="13"/>
      <c r="AD99" s="13"/>
    </row>
    <row r="100" s="21" customFormat="1" ht="14.4">
      <c r="A100" s="205" t="s">
        <v>47</v>
      </c>
      <c r="B100" s="67"/>
      <c r="C100" s="67"/>
      <c r="D100" s="268"/>
      <c r="E100" s="76"/>
      <c r="F100" s="82"/>
      <c r="G100" s="82"/>
      <c r="H100" s="87"/>
      <c r="I100" s="87"/>
      <c r="J100" s="87"/>
      <c r="K100" s="87"/>
      <c r="L100" s="67"/>
      <c r="M100" s="67"/>
      <c r="N100" s="66"/>
      <c r="O100" s="66"/>
      <c r="P100" s="218">
        <f t="shared" si="64"/>
        <v>0</v>
      </c>
      <c r="Q100" s="62">
        <f t="shared" si="59"/>
        <v>168</v>
      </c>
      <c r="R100" s="219" t="str">
        <f t="shared" si="62"/>
        <v>Торубара</v>
      </c>
      <c r="S100" s="76" t="s">
        <v>10</v>
      </c>
      <c r="T100" s="77" t="s">
        <v>9</v>
      </c>
      <c r="U100" s="73">
        <f t="shared" si="67"/>
        <v>0</v>
      </c>
      <c r="V100" s="62">
        <f t="shared" si="68"/>
        <v>0</v>
      </c>
      <c r="W100" s="62"/>
      <c r="X100" s="74" t="s">
        <v>34</v>
      </c>
      <c r="Y100" s="7"/>
      <c r="Z100" s="7"/>
      <c r="AA100" s="7"/>
      <c r="AB100" s="13"/>
      <c r="AC100" s="13"/>
      <c r="AD100" s="13"/>
    </row>
    <row r="101" s="21" customFormat="1" ht="14.4">
      <c r="A101" s="205" t="s">
        <v>48</v>
      </c>
      <c r="B101" s="71"/>
      <c r="C101" s="78"/>
      <c r="D101" s="66"/>
      <c r="E101" s="66"/>
      <c r="F101" s="66"/>
      <c r="G101" s="66"/>
      <c r="H101" s="262"/>
      <c r="I101" s="83"/>
      <c r="J101" s="82"/>
      <c r="K101" s="82"/>
      <c r="L101" s="87"/>
      <c r="M101" s="87"/>
      <c r="N101" s="262"/>
      <c r="O101" s="83"/>
      <c r="P101" s="218">
        <f t="shared" si="64"/>
        <v>0</v>
      </c>
      <c r="Q101" s="62">
        <f t="shared" si="59"/>
        <v>168</v>
      </c>
      <c r="R101" s="219" t="str">
        <f t="shared" si="62"/>
        <v>Стрыгин</v>
      </c>
      <c r="S101" s="71" t="s">
        <v>8</v>
      </c>
      <c r="T101" s="72" t="s">
        <v>7</v>
      </c>
      <c r="U101" s="73">
        <f>COUNTIF(T101,B101)+COUNTIF(T101,D101)+COUNTIF(T101,F101)+COUNTIF(T101,#REF!)+COUNTIF(T101,J101)+COUNTIF(T101,H101)+COUNTIF(T101,N101)</f>
        <v>0</v>
      </c>
      <c r="V101" s="62">
        <f>COUNTIF(S101,B101)+COUNTIF(S101,D101)+COUNTIF(S101,F101)+COUNTIF(S101,#REF!)+COUNTIF(S101,J101)+COUNTIF(S101,H101)+COUNTIF(S101,N101)</f>
        <v>0</v>
      </c>
      <c r="W101" s="62"/>
      <c r="X101" s="74" t="s">
        <v>49</v>
      </c>
      <c r="Y101" s="7"/>
      <c r="Z101" s="7"/>
      <c r="AA101" s="7"/>
      <c r="AB101" s="13"/>
      <c r="AC101" s="13"/>
      <c r="AD101" s="13"/>
    </row>
    <row r="102" s="21" customFormat="1" ht="14.4">
      <c r="A102" s="205" t="s">
        <v>50</v>
      </c>
      <c r="B102" s="120"/>
      <c r="C102" s="120"/>
      <c r="D102" s="120"/>
      <c r="E102" s="120"/>
      <c r="F102" s="196"/>
      <c r="G102" s="196"/>
      <c r="H102" s="120"/>
      <c r="I102" s="120"/>
      <c r="J102" s="120"/>
      <c r="K102" s="120"/>
      <c r="L102" s="196"/>
      <c r="M102" s="196"/>
      <c r="N102" s="196"/>
      <c r="O102" s="196"/>
      <c r="P102" s="218">
        <f t="shared" si="64"/>
        <v>0</v>
      </c>
      <c r="Q102" s="62">
        <f t="shared" si="59"/>
        <v>168</v>
      </c>
      <c r="R102" s="219" t="str">
        <f t="shared" si="62"/>
        <v>Фрик</v>
      </c>
      <c r="S102" s="71" t="s">
        <v>12</v>
      </c>
      <c r="T102" s="72" t="s">
        <v>11</v>
      </c>
      <c r="U102" s="73">
        <f>COUNTIF(T102,B102)+COUNTIF(T102,D102)+COUNTIF(T102,F102)+COUNTIF(T102,H102)+COUNTIF(T102,J102)+COUNTIF(T102,L102)+COUNTIF(T102,N102)</f>
        <v>0</v>
      </c>
      <c r="V102" s="62">
        <f>COUNTIF(S102,B102)+COUNTIF(S102,D102)+COUNTIF(S102,F102)+COUNTIF(S102,H102)+COUNTIF(S102,J102)+COUNTIF(S102,L102)+COUNTIF(S102,N102)</f>
        <v>0</v>
      </c>
      <c r="W102" s="62"/>
      <c r="X102" s="74" t="s">
        <v>44</v>
      </c>
      <c r="Y102" s="7"/>
      <c r="Z102" s="7"/>
      <c r="AA102" s="7"/>
      <c r="AB102" s="13"/>
      <c r="AC102" s="13"/>
      <c r="AD102" s="13"/>
    </row>
    <row r="103" s="21" customFormat="1" ht="14.4">
      <c r="A103" s="206" t="s">
        <v>51</v>
      </c>
      <c r="B103" s="87"/>
      <c r="C103" s="87"/>
      <c r="F103" s="67"/>
      <c r="G103" s="67"/>
      <c r="H103" s="67"/>
      <c r="I103" s="67"/>
      <c r="J103" s="292"/>
      <c r="K103" s="83"/>
      <c r="L103" s="251"/>
      <c r="M103" s="307"/>
      <c r="N103" s="82"/>
      <c r="O103" s="82"/>
      <c r="P103" s="218">
        <f>C103+O87+G103+I103+K103+M103+O103</f>
        <v>0</v>
      </c>
      <c r="Q103" s="62">
        <f t="shared" si="59"/>
        <v>0</v>
      </c>
      <c r="R103" s="219" t="str">
        <f t="shared" si="62"/>
        <v>Истрашкин</v>
      </c>
      <c r="S103" s="71" t="s">
        <v>10</v>
      </c>
      <c r="T103" s="72" t="s">
        <v>9</v>
      </c>
      <c r="U103" s="73">
        <f>COUNTIF(T103,B103)+COUNTIF(T103,N87)+COUNTIF(T103,F103)+COUNTIF(T103,H103)+COUNTIF(T103,J103)+COUNTIF(T103,L103)+COUNTIF(T103,N103)</f>
        <v>0</v>
      </c>
      <c r="V103" s="62">
        <f>COUNTIF(S103,B103)+COUNTIF(S103,N87)+COUNTIF(S103,F103)+COUNTIF(S103,H103)+COUNTIF(S103,J103)+COUNTIF(S103,L103)+COUNTIF(S103,N103)</f>
        <v>0</v>
      </c>
      <c r="W103" s="62"/>
      <c r="X103" s="74" t="s">
        <v>34</v>
      </c>
      <c r="Y103" s="7"/>
      <c r="Z103" s="7"/>
      <c r="AA103" s="7"/>
      <c r="AB103" s="13"/>
      <c r="AC103" s="13"/>
      <c r="AD103" s="13"/>
    </row>
    <row r="104" s="21" customFormat="1" ht="14.4">
      <c r="A104" s="284"/>
      <c r="B104" s="53">
        <v>46265</v>
      </c>
      <c r="C104" s="53"/>
      <c r="D104" s="53">
        <v>46266</v>
      </c>
      <c r="E104" s="53"/>
      <c r="F104" s="53">
        <v>46267</v>
      </c>
      <c r="G104" s="53"/>
      <c r="H104" s="53">
        <v>46268</v>
      </c>
      <c r="I104" s="53"/>
      <c r="J104" s="53">
        <v>46269</v>
      </c>
      <c r="K104" s="53"/>
      <c r="L104" s="53">
        <v>46270</v>
      </c>
      <c r="M104" s="53"/>
      <c r="N104" s="53">
        <v>46271</v>
      </c>
      <c r="O104" s="54"/>
      <c r="P104" s="285"/>
      <c r="Q104" s="254"/>
      <c r="R104" s="207"/>
      <c r="S104" s="138"/>
      <c r="T104" s="138"/>
      <c r="U104" s="60" t="s">
        <v>27</v>
      </c>
      <c r="V104" s="61" t="s">
        <v>28</v>
      </c>
      <c r="W104" s="62" t="s">
        <v>29</v>
      </c>
      <c r="X104" s="7"/>
      <c r="Y104" s="7"/>
      <c r="Z104" s="7"/>
      <c r="AA104" s="7"/>
      <c r="AB104" s="13"/>
      <c r="AC104" s="13"/>
      <c r="AD104" s="13"/>
    </row>
    <row r="105" ht="14.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3"/>
      <c r="R105" s="7"/>
      <c r="S105" s="7"/>
      <c r="T105" s="7"/>
      <c r="U105" s="153"/>
      <c r="V105" s="153"/>
      <c r="W105" s="12"/>
      <c r="X105" s="7"/>
      <c r="Y105" s="7"/>
      <c r="Z105" s="7"/>
      <c r="AA105" s="7"/>
      <c r="AB105" s="13"/>
      <c r="AC105" s="13"/>
      <c r="AD105" s="13"/>
    </row>
    <row r="106" ht="14.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 ht="14.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 ht="14.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 ht="14.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7"/>
      <c r="Q644" s="153"/>
      <c r="R644" s="7"/>
      <c r="S644" s="7"/>
      <c r="T644" s="7"/>
      <c r="U644" s="153"/>
      <c r="V644" s="153"/>
      <c r="W644" s="12"/>
      <c r="X644" s="21"/>
      <c r="Y644" s="7"/>
      <c r="Z644" s="7"/>
      <c r="AA644" s="7"/>
      <c r="AB644" s="13"/>
      <c r="AC644" s="13"/>
      <c r="AD644" s="13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154"/>
      <c r="R645" s="21"/>
      <c r="S645" s="21"/>
      <c r="T645" s="21"/>
      <c r="U645" s="154"/>
      <c r="V645" s="154"/>
      <c r="W645" s="154"/>
      <c r="X645" s="21"/>
      <c r="Y645" s="21"/>
      <c r="Z645" s="21"/>
      <c r="AA645" s="21"/>
      <c r="AB645" s="21"/>
      <c r="AC645" s="21"/>
      <c r="AD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154"/>
      <c r="R646" s="21"/>
      <c r="S646" s="21"/>
      <c r="T646" s="21"/>
      <c r="U646" s="154"/>
      <c r="V646" s="154"/>
      <c r="W646" s="154"/>
      <c r="X646" s="21"/>
      <c r="Y646" s="21"/>
      <c r="Z646" s="21"/>
      <c r="AA646" s="21"/>
      <c r="AB646" s="21"/>
      <c r="AC646" s="21"/>
      <c r="AD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154"/>
      <c r="R647" s="21"/>
      <c r="S647" s="21"/>
      <c r="T647" s="21"/>
      <c r="U647" s="154"/>
      <c r="V647" s="154"/>
      <c r="W647" s="154"/>
      <c r="X647" s="21"/>
      <c r="Y647" s="21"/>
      <c r="Z647" s="21"/>
      <c r="AA647" s="21"/>
      <c r="AB647" s="21"/>
      <c r="AC647" s="21"/>
      <c r="AD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154"/>
      <c r="R648" s="21"/>
      <c r="S648" s="21"/>
      <c r="T648" s="21"/>
      <c r="U648" s="154"/>
      <c r="V648" s="154"/>
      <c r="W648" s="154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154"/>
      <c r="R649" s="21"/>
      <c r="S649" s="21"/>
      <c r="T649" s="21"/>
      <c r="U649" s="154"/>
      <c r="V649" s="154"/>
      <c r="W649" s="154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154"/>
      <c r="R650" s="21"/>
      <c r="S650" s="21"/>
      <c r="T650" s="21"/>
      <c r="U650" s="154"/>
      <c r="V650" s="154"/>
      <c r="W650" s="154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154"/>
      <c r="R651" s="21"/>
      <c r="S651" s="21"/>
      <c r="T651" s="21"/>
      <c r="U651" s="154"/>
      <c r="V651" s="154"/>
      <c r="W651" s="154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154"/>
      <c r="R652" s="21"/>
      <c r="S652" s="21"/>
      <c r="T652" s="21"/>
      <c r="U652" s="154"/>
      <c r="V652" s="154"/>
      <c r="W652" s="154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154"/>
      <c r="R653" s="21"/>
      <c r="S653" s="21"/>
      <c r="T653" s="21"/>
      <c r="U653" s="154"/>
      <c r="V653" s="154"/>
      <c r="W653" s="154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154"/>
      <c r="R654" s="21"/>
      <c r="S654" s="21"/>
      <c r="T654" s="21"/>
      <c r="U654" s="154"/>
      <c r="V654" s="154"/>
      <c r="W654" s="154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154"/>
      <c r="R655" s="21"/>
      <c r="S655" s="21"/>
      <c r="T655" s="21"/>
      <c r="U655" s="154"/>
      <c r="V655" s="154"/>
      <c r="W655" s="154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154"/>
      <c r="R656" s="21"/>
      <c r="S656" s="21"/>
      <c r="T656" s="21"/>
      <c r="U656" s="154"/>
      <c r="V656" s="154"/>
      <c r="W656" s="154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154"/>
      <c r="R657" s="21"/>
      <c r="S657" s="21"/>
      <c r="T657" s="21"/>
      <c r="U657" s="154"/>
      <c r="V657" s="154"/>
      <c r="W657" s="154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154"/>
      <c r="R658" s="21"/>
      <c r="S658" s="21"/>
      <c r="T658" s="21"/>
      <c r="U658" s="154"/>
      <c r="V658" s="154"/>
      <c r="W658" s="154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154"/>
      <c r="R659" s="21"/>
      <c r="S659" s="21"/>
      <c r="T659" s="21"/>
      <c r="U659" s="154"/>
      <c r="V659" s="154"/>
      <c r="W659" s="154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154"/>
      <c r="R660" s="21"/>
      <c r="S660" s="21"/>
      <c r="T660" s="21"/>
      <c r="U660" s="154"/>
      <c r="V660" s="154"/>
      <c r="W660" s="154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154"/>
      <c r="R661" s="21"/>
      <c r="S661" s="21"/>
      <c r="T661" s="21"/>
      <c r="U661" s="154"/>
      <c r="V661" s="154"/>
      <c r="W661" s="154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154"/>
      <c r="R662" s="21"/>
      <c r="S662" s="21"/>
      <c r="T662" s="21"/>
      <c r="U662" s="154"/>
      <c r="V662" s="154"/>
      <c r="W662" s="154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154"/>
      <c r="R663" s="21"/>
      <c r="S663" s="21"/>
      <c r="T663" s="21"/>
      <c r="U663" s="154"/>
      <c r="V663" s="154"/>
      <c r="W663" s="154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154"/>
      <c r="R664" s="21"/>
      <c r="S664" s="21"/>
      <c r="T664" s="21"/>
      <c r="U664" s="154"/>
      <c r="V664" s="154"/>
      <c r="W664" s="154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154"/>
      <c r="R665" s="21"/>
      <c r="S665" s="21"/>
      <c r="T665" s="21"/>
      <c r="U665" s="154"/>
      <c r="V665" s="154"/>
      <c r="W665" s="154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54"/>
      <c r="R666" s="21"/>
      <c r="S666" s="21"/>
      <c r="T666" s="21"/>
      <c r="U666" s="154"/>
      <c r="V666" s="154"/>
      <c r="W666" s="154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54"/>
      <c r="R667" s="21"/>
      <c r="S667" s="21"/>
      <c r="T667" s="21"/>
      <c r="U667" s="154"/>
      <c r="V667" s="154"/>
      <c r="W667" s="154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54"/>
      <c r="R668" s="21"/>
      <c r="S668" s="21"/>
      <c r="T668" s="21"/>
      <c r="U668" s="154"/>
      <c r="V668" s="154"/>
      <c r="W668" s="154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54"/>
      <c r="R669" s="21"/>
      <c r="S669" s="21"/>
      <c r="T669" s="21"/>
      <c r="U669" s="154"/>
      <c r="V669" s="154"/>
      <c r="W669" s="154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54"/>
      <c r="R670" s="21"/>
      <c r="S670" s="21"/>
      <c r="T670" s="21"/>
      <c r="U670" s="154"/>
      <c r="V670" s="154"/>
      <c r="W670" s="154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54"/>
      <c r="R671" s="21"/>
      <c r="S671" s="21"/>
      <c r="T671" s="21"/>
      <c r="U671" s="154"/>
      <c r="V671" s="154"/>
      <c r="W671" s="154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54"/>
      <c r="R672" s="21"/>
      <c r="S672" s="21"/>
      <c r="T672" s="21"/>
      <c r="U672" s="154"/>
      <c r="V672" s="154"/>
      <c r="W672" s="154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54"/>
      <c r="R673" s="21"/>
      <c r="S673" s="21"/>
      <c r="T673" s="21"/>
      <c r="U673" s="154"/>
      <c r="V673" s="154"/>
      <c r="W673" s="154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54"/>
      <c r="R674" s="21"/>
      <c r="S674" s="21"/>
      <c r="T674" s="21"/>
      <c r="U674" s="154"/>
      <c r="V674" s="154"/>
      <c r="W674" s="154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54"/>
      <c r="R675" s="21"/>
      <c r="S675" s="21"/>
      <c r="T675" s="21"/>
      <c r="U675" s="154"/>
      <c r="V675" s="154"/>
      <c r="W675" s="154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54"/>
      <c r="R676" s="21"/>
      <c r="S676" s="21"/>
      <c r="T676" s="21"/>
      <c r="U676" s="154"/>
      <c r="V676" s="154"/>
      <c r="W676" s="154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54"/>
      <c r="R677" s="21"/>
      <c r="S677" s="21"/>
      <c r="T677" s="21"/>
      <c r="U677" s="154"/>
      <c r="V677" s="154"/>
      <c r="W677" s="154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54"/>
      <c r="R678" s="21"/>
      <c r="S678" s="21"/>
      <c r="T678" s="21"/>
      <c r="U678" s="154"/>
      <c r="V678" s="154"/>
      <c r="W678" s="154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54"/>
      <c r="R679" s="21"/>
      <c r="S679" s="21"/>
      <c r="T679" s="21"/>
      <c r="U679" s="154"/>
      <c r="V679" s="154"/>
      <c r="W679" s="154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54"/>
      <c r="R680" s="21"/>
      <c r="S680" s="21"/>
      <c r="T680" s="21"/>
      <c r="U680" s="154"/>
      <c r="V680" s="154"/>
      <c r="W680" s="154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54"/>
      <c r="R681" s="21"/>
      <c r="S681" s="21"/>
      <c r="T681" s="21"/>
      <c r="U681" s="154"/>
      <c r="V681" s="154"/>
      <c r="W681" s="154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54"/>
      <c r="R682" s="21"/>
      <c r="S682" s="21"/>
      <c r="T682" s="21"/>
      <c r="U682" s="154"/>
      <c r="V682" s="154"/>
      <c r="W682" s="154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54"/>
      <c r="R683" s="21"/>
      <c r="S683" s="21"/>
      <c r="T683" s="21"/>
      <c r="U683" s="154"/>
      <c r="V683" s="154"/>
      <c r="W683" s="154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54"/>
      <c r="R684" s="21"/>
      <c r="S684" s="21"/>
      <c r="T684" s="21"/>
      <c r="U684" s="154"/>
      <c r="V684" s="154"/>
      <c r="W684" s="154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54"/>
      <c r="R685" s="21"/>
      <c r="S685" s="21"/>
      <c r="T685" s="21"/>
      <c r="U685" s="154"/>
      <c r="V685" s="154"/>
      <c r="W685" s="154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</sheetData>
  <mergeCells count="16">
    <mergeCell ref="F1:J1"/>
    <mergeCell ref="L1:N5"/>
    <mergeCell ref="F2:K5"/>
    <mergeCell ref="N6:P7"/>
    <mergeCell ref="F7:J7"/>
    <mergeCell ref="A9:Q9"/>
    <mergeCell ref="U9:V9"/>
    <mergeCell ref="P10:Q10"/>
    <mergeCell ref="U10:V10"/>
    <mergeCell ref="A25:Q25"/>
    <mergeCell ref="P26:Q26"/>
    <mergeCell ref="A41:Q41"/>
    <mergeCell ref="P42:Q42"/>
    <mergeCell ref="P58:Q58"/>
    <mergeCell ref="P74:Q74"/>
    <mergeCell ref="P90:Q9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2" zoomScale="100" workbookViewId="0">
      <selection activeCell="AA12" activeCellId="0" sqref="AA12"/>
    </sheetView>
  </sheetViews>
  <sheetFormatPr defaultRowHeight="13.5"/>
  <cols>
    <col customWidth="1" min="1" max="1" width="17"/>
    <col customWidth="1" min="2" max="2" width="11"/>
    <col customWidth="1" min="3" max="3" width="5.109375"/>
    <col customWidth="1" min="4" max="4" width="14.44140625"/>
    <col customWidth="1" min="5" max="5" width="5.109375"/>
    <col customWidth="1" min="6" max="6" width="11.88671875"/>
    <col customWidth="1" min="7" max="7" width="5.109375"/>
    <col customWidth="1" min="8" max="8" width="11.5546875"/>
    <col customWidth="1" min="9" max="9" width="5.109375"/>
    <col customWidth="1" min="10" max="10" width="12.33203125"/>
    <col customWidth="1" min="11" max="11" width="5.109375"/>
    <col customWidth="1" min="12" max="12" width="10"/>
    <col customWidth="1" min="13" max="13" width="5.109375"/>
    <col customWidth="1" min="14" max="14" width="10.44140625"/>
    <col customWidth="1" min="15" max="16" width="5.109375"/>
    <col customWidth="1" min="17" max="17" width="6.44140625"/>
    <col customWidth="1" min="18" max="18" width="12.6640625"/>
  </cols>
  <sheetData>
    <row r="1" s="21" customFormat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25">
      <c r="A2" s="14"/>
      <c r="B2" s="15" t="s">
        <v>3</v>
      </c>
      <c r="C2" s="15" t="s">
        <v>4</v>
      </c>
      <c r="D2" s="16" t="s">
        <v>5</v>
      </c>
      <c r="E2" s="16" t="s">
        <v>4</v>
      </c>
      <c r="F2" s="17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25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25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25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25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25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17" t="s">
        <v>14</v>
      </c>
      <c r="B9" s="318"/>
      <c r="C9" s="318"/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318"/>
      <c r="O9" s="318"/>
      <c r="P9" s="318"/>
      <c r="Q9" s="319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s="21" customFormat="1" ht="14.25">
      <c r="A10" s="52"/>
      <c r="B10" s="56" t="s">
        <v>17</v>
      </c>
      <c r="C10" s="116"/>
      <c r="D10" s="56" t="s">
        <v>18</v>
      </c>
      <c r="E10" s="116"/>
      <c r="F10" s="56" t="s">
        <v>19</v>
      </c>
      <c r="G10" s="56"/>
      <c r="H10" s="56" t="s">
        <v>20</v>
      </c>
      <c r="I10" s="116"/>
      <c r="J10" s="129" t="s">
        <v>21</v>
      </c>
      <c r="K10" s="129"/>
      <c r="L10" s="56" t="s">
        <v>22</v>
      </c>
      <c r="M10" s="56"/>
      <c r="N10" s="56" t="s">
        <v>23</v>
      </c>
      <c r="O10" s="56"/>
      <c r="P10" s="56" t="s">
        <v>24</v>
      </c>
      <c r="Q10" s="56"/>
      <c r="R10" s="117">
        <v>184</v>
      </c>
      <c r="S10" s="143"/>
      <c r="T10" s="143"/>
      <c r="U10" s="286">
        <v>184</v>
      </c>
      <c r="V10" s="90"/>
      <c r="W10" s="62"/>
      <c r="X10" s="51"/>
      <c r="Y10" s="7"/>
      <c r="Z10" s="7"/>
      <c r="AA10" s="7"/>
      <c r="AB10" s="13"/>
      <c r="AC10" s="13"/>
      <c r="AD10" s="13"/>
    </row>
    <row r="11" s="21" customFormat="1" ht="14.25">
      <c r="A11" s="52"/>
      <c r="B11" s="53">
        <v>46202</v>
      </c>
      <c r="C11" s="53"/>
      <c r="D11" s="53">
        <v>46203</v>
      </c>
      <c r="E11" s="53"/>
      <c r="F11" s="53">
        <v>46204</v>
      </c>
      <c r="G11" s="53"/>
      <c r="H11" s="53">
        <v>46205</v>
      </c>
      <c r="I11" s="53"/>
      <c r="J11" s="53">
        <v>46206</v>
      </c>
      <c r="K11" s="53"/>
      <c r="L11" s="53">
        <v>46207</v>
      </c>
      <c r="M11" s="53"/>
      <c r="N11" s="53">
        <v>46208</v>
      </c>
      <c r="O11" s="54"/>
      <c r="P11" s="55" t="s">
        <v>25</v>
      </c>
      <c r="Q11" s="56" t="s">
        <v>26</v>
      </c>
      <c r="R11" s="287"/>
      <c r="S11" s="147"/>
      <c r="T11" s="147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s="21" customFormat="1" ht="14.25">
      <c r="A12" s="64" t="s">
        <v>35</v>
      </c>
      <c r="B12" s="65"/>
      <c r="C12" s="65"/>
      <c r="D12" s="65"/>
      <c r="E12" s="65"/>
      <c r="F12" s="65" t="s">
        <v>32</v>
      </c>
      <c r="G12" s="65" t="s">
        <v>33</v>
      </c>
      <c r="H12" s="65" t="s">
        <v>32</v>
      </c>
      <c r="I12" s="65" t="s">
        <v>33</v>
      </c>
      <c r="J12" s="65" t="s">
        <v>32</v>
      </c>
      <c r="K12" s="65" t="s">
        <v>33</v>
      </c>
      <c r="L12" s="66"/>
      <c r="M12" s="66"/>
      <c r="N12" s="66"/>
      <c r="O12" s="66"/>
      <c r="P12" s="68">
        <f t="shared" ref="P12:P75" si="69">C12+E12+G12+I12+K12+M12+O12</f>
        <v>24</v>
      </c>
      <c r="Q12" s="69" t="e">
        <f>#REF!-P12</f>
        <v>#REF!</v>
      </c>
      <c r="R12" s="288" t="str">
        <f t="shared" ref="R12:R75" si="70">A12</f>
        <v>Рычков</v>
      </c>
      <c r="S12" s="76" t="s">
        <v>10</v>
      </c>
      <c r="T12" s="77" t="s">
        <v>9</v>
      </c>
      <c r="U12" s="73">
        <f t="shared" ref="U12:U75" si="71">COUNTIF(T12,B12)+COUNTIF(T12,D12)+COUNTIF(T12,F12)+COUNTIF(T12,H12)+COUNTIF(T12,J12)+COUNTIF(T12,L12)+COUNTIF(T12,N12)</f>
        <v>0</v>
      </c>
      <c r="V12" s="62">
        <f t="shared" ref="V12:V61" si="72">COUNTIF(S12,B12)+COUNTIF(S12,D12)+COUNTIF(S12,F12)+COUNTIF(S12,H12)+COUNTIF(S12,J12)+COUNTIF(S12,L12)+COUNTIF(S12,N12)</f>
        <v>0</v>
      </c>
      <c r="W12" s="62"/>
      <c r="X12" s="74" t="s">
        <v>34</v>
      </c>
      <c r="Y12" s="7"/>
      <c r="Z12" s="7"/>
      <c r="AA12" s="7" t="s">
        <v>60</v>
      </c>
      <c r="AB12" s="13"/>
      <c r="AC12" s="13"/>
      <c r="AD12" s="13"/>
    </row>
    <row r="13" s="21" customFormat="1" ht="14.25">
      <c r="A13" s="64" t="s">
        <v>39</v>
      </c>
      <c r="B13" s="65"/>
      <c r="C13" s="65"/>
      <c r="D13" s="65"/>
      <c r="E13" s="65"/>
      <c r="F13" s="65" t="s">
        <v>32</v>
      </c>
      <c r="G13" s="65" t="s">
        <v>33</v>
      </c>
      <c r="H13" s="65" t="s">
        <v>32</v>
      </c>
      <c r="I13" s="65" t="s">
        <v>33</v>
      </c>
      <c r="J13" s="65" t="s">
        <v>32</v>
      </c>
      <c r="K13" s="65" t="s">
        <v>33</v>
      </c>
      <c r="L13" s="66"/>
      <c r="M13" s="66"/>
      <c r="N13" s="66"/>
      <c r="O13" s="66"/>
      <c r="P13" s="68">
        <f t="shared" si="69"/>
        <v>24</v>
      </c>
      <c r="Q13" s="69" t="e">
        <f>#REF!-P13</f>
        <v>#REF!</v>
      </c>
      <c r="R13" s="288" t="str">
        <f t="shared" si="70"/>
        <v>Игумнов</v>
      </c>
      <c r="S13" s="76" t="s">
        <v>10</v>
      </c>
      <c r="T13" s="77" t="s">
        <v>9</v>
      </c>
      <c r="U13" s="73">
        <f t="shared" si="71"/>
        <v>0</v>
      </c>
      <c r="V13" s="62">
        <f t="shared" si="72"/>
        <v>0</v>
      </c>
      <c r="W13" s="62"/>
      <c r="X13" s="79" t="s">
        <v>34</v>
      </c>
      <c r="Y13" s="7"/>
      <c r="Z13" s="7"/>
      <c r="AA13" s="7"/>
      <c r="AB13" s="13"/>
      <c r="AC13" s="13"/>
      <c r="AD13" s="13"/>
    </row>
    <row r="14" s="21" customFormat="1" ht="14.25">
      <c r="A14" s="64" t="s">
        <v>40</v>
      </c>
      <c r="B14" s="65"/>
      <c r="C14" s="65"/>
      <c r="D14" s="65"/>
      <c r="E14" s="65"/>
      <c r="F14" s="65" t="s">
        <v>32</v>
      </c>
      <c r="G14" s="65" t="s">
        <v>33</v>
      </c>
      <c r="H14" s="65" t="s">
        <v>32</v>
      </c>
      <c r="I14" s="65" t="s">
        <v>33</v>
      </c>
      <c r="J14" s="65" t="s">
        <v>32</v>
      </c>
      <c r="K14" s="65" t="s">
        <v>33</v>
      </c>
      <c r="L14" s="66"/>
      <c r="M14" s="66"/>
      <c r="N14" s="66"/>
      <c r="O14" s="66"/>
      <c r="P14" s="68">
        <f t="shared" si="69"/>
        <v>24</v>
      </c>
      <c r="Q14" s="69" t="e">
        <f>#REF!-P14</f>
        <v>#REF!</v>
      </c>
      <c r="R14" s="288" t="str">
        <f t="shared" si="70"/>
        <v>Душин</v>
      </c>
      <c r="S14" s="76" t="s">
        <v>10</v>
      </c>
      <c r="T14" s="77" t="s">
        <v>9</v>
      </c>
      <c r="U14" s="73">
        <f t="shared" si="71"/>
        <v>0</v>
      </c>
      <c r="V14" s="62">
        <f t="shared" si="72"/>
        <v>0</v>
      </c>
      <c r="W14" s="62"/>
      <c r="X14" s="74" t="s">
        <v>38</v>
      </c>
      <c r="Y14" s="7"/>
      <c r="Z14" s="7"/>
      <c r="AA14" s="7"/>
      <c r="AB14" s="13"/>
      <c r="AC14" s="13"/>
      <c r="AD14" s="13"/>
    </row>
    <row r="15" s="21" customFormat="1" ht="14.25">
      <c r="A15" s="64" t="s">
        <v>42</v>
      </c>
      <c r="B15" s="65"/>
      <c r="C15" s="65"/>
      <c r="D15" s="65"/>
      <c r="E15" s="65"/>
      <c r="F15" s="65" t="s">
        <v>32</v>
      </c>
      <c r="G15" s="65" t="s">
        <v>33</v>
      </c>
      <c r="H15" s="65" t="s">
        <v>32</v>
      </c>
      <c r="I15" s="65" t="s">
        <v>33</v>
      </c>
      <c r="J15" s="65" t="s">
        <v>32</v>
      </c>
      <c r="K15" s="65" t="s">
        <v>33</v>
      </c>
      <c r="L15" s="66"/>
      <c r="M15" s="66"/>
      <c r="N15" s="66"/>
      <c r="O15" s="66"/>
      <c r="P15" s="289">
        <f t="shared" si="69"/>
        <v>24</v>
      </c>
      <c r="Q15" s="320" t="e">
        <f>#REF!-P14</f>
        <v>#REF!</v>
      </c>
      <c r="R15" s="288" t="str">
        <f t="shared" si="70"/>
        <v>Юращик</v>
      </c>
      <c r="S15" s="76" t="s">
        <v>10</v>
      </c>
      <c r="T15" s="77" t="s">
        <v>9</v>
      </c>
      <c r="U15" s="73">
        <f t="shared" si="71"/>
        <v>0</v>
      </c>
      <c r="V15" s="62">
        <f t="shared" si="72"/>
        <v>0</v>
      </c>
      <c r="W15" s="221"/>
      <c r="X15" s="74" t="s">
        <v>38</v>
      </c>
      <c r="Y15" s="7"/>
      <c r="Z15" s="7"/>
      <c r="AA15" s="7"/>
      <c r="AB15" s="13"/>
      <c r="AC15" s="13"/>
      <c r="AD15" s="13"/>
    </row>
    <row r="16" s="21" customFormat="1" ht="14.25">
      <c r="A16" s="64" t="s">
        <v>31</v>
      </c>
      <c r="B16" s="65"/>
      <c r="C16" s="65"/>
      <c r="D16" s="65"/>
      <c r="E16" s="65"/>
      <c r="F16" s="65" t="s">
        <v>32</v>
      </c>
      <c r="G16" s="65" t="s">
        <v>33</v>
      </c>
      <c r="H16" s="65" t="s">
        <v>32</v>
      </c>
      <c r="I16" s="65" t="s">
        <v>33</v>
      </c>
      <c r="J16" s="65" t="s">
        <v>32</v>
      </c>
      <c r="K16" s="65" t="s">
        <v>33</v>
      </c>
      <c r="L16" s="66"/>
      <c r="M16" s="66"/>
      <c r="N16" s="66"/>
      <c r="O16" s="66"/>
      <c r="P16" s="289">
        <f t="shared" si="69"/>
        <v>24</v>
      </c>
      <c r="Q16" s="320" t="e">
        <f>#REF!-P15</f>
        <v>#REF!</v>
      </c>
      <c r="R16" s="321" t="s">
        <v>31</v>
      </c>
      <c r="S16" s="76" t="s">
        <v>10</v>
      </c>
      <c r="T16" s="77" t="s">
        <v>9</v>
      </c>
      <c r="U16" s="73">
        <f t="shared" si="71"/>
        <v>0</v>
      </c>
      <c r="V16" s="286">
        <f t="shared" si="72"/>
        <v>0</v>
      </c>
      <c r="W16" s="69"/>
      <c r="X16" s="242" t="s">
        <v>38</v>
      </c>
      <c r="Y16" s="7"/>
      <c r="Z16" s="7"/>
      <c r="AA16" s="7"/>
      <c r="AB16" s="13"/>
      <c r="AC16" s="13"/>
      <c r="AD16" s="13"/>
    </row>
    <row r="17" s="21" customFormat="1" ht="14.25">
      <c r="A17" s="81" t="s">
        <v>43</v>
      </c>
      <c r="B17" s="87"/>
      <c r="D17" s="87"/>
      <c r="E17" s="87"/>
      <c r="F17" s="87"/>
      <c r="G17" s="87"/>
      <c r="H17" s="87"/>
      <c r="I17" s="87"/>
      <c r="J17" s="225"/>
      <c r="K17" s="225">
        <v>12</v>
      </c>
      <c r="L17" s="78"/>
      <c r="M17" s="78" t="s">
        <v>4</v>
      </c>
      <c r="N17" s="66"/>
      <c r="O17" s="66"/>
      <c r="P17" s="220">
        <f t="shared" si="69"/>
        <v>24</v>
      </c>
      <c r="Q17" s="221">
        <f t="shared" ref="Q17:Q23" si="73">Q1-P17</f>
        <v>-24</v>
      </c>
      <c r="R17" s="322" t="s">
        <v>43</v>
      </c>
      <c r="S17" s="268" t="s">
        <v>12</v>
      </c>
      <c r="T17" s="84" t="s">
        <v>11</v>
      </c>
      <c r="U17" s="227">
        <f t="shared" si="71"/>
        <v>0</v>
      </c>
      <c r="V17" s="323">
        <f t="shared" si="72"/>
        <v>0</v>
      </c>
      <c r="W17" s="69"/>
      <c r="X17" s="242" t="s">
        <v>44</v>
      </c>
      <c r="Y17" s="7"/>
      <c r="Z17" s="7"/>
      <c r="AA17" s="7"/>
      <c r="AB17" s="13"/>
      <c r="AC17" s="13"/>
      <c r="AD17" s="13"/>
    </row>
    <row r="18" s="21" customFormat="1" ht="14.25">
      <c r="A18" s="81" t="s">
        <v>45</v>
      </c>
      <c r="B18" s="324"/>
      <c r="C18" s="325"/>
      <c r="D18" s="325"/>
      <c r="E18" s="325"/>
      <c r="F18" s="66"/>
      <c r="G18" s="66"/>
      <c r="H18" s="66"/>
      <c r="I18" s="66"/>
      <c r="J18" s="243"/>
      <c r="K18" s="243" t="s">
        <v>4</v>
      </c>
      <c r="L18" s="78"/>
      <c r="M18" s="78" t="s">
        <v>4</v>
      </c>
      <c r="N18" s="66"/>
      <c r="O18" s="66"/>
      <c r="P18" s="68">
        <f t="shared" si="69"/>
        <v>24</v>
      </c>
      <c r="Q18" s="69">
        <f t="shared" si="73"/>
        <v>-24</v>
      </c>
      <c r="R18" s="288" t="str">
        <f t="shared" si="70"/>
        <v>Пузырь</v>
      </c>
      <c r="S18" s="76" t="s">
        <v>10</v>
      </c>
      <c r="T18" s="77" t="s">
        <v>9</v>
      </c>
      <c r="U18" s="73">
        <f t="shared" si="71"/>
        <v>0</v>
      </c>
      <c r="V18" s="286">
        <f t="shared" si="72"/>
        <v>0</v>
      </c>
      <c r="W18" s="69"/>
      <c r="X18" s="242" t="s">
        <v>34</v>
      </c>
      <c r="Y18" s="7"/>
      <c r="Z18" s="7"/>
      <c r="AA18" s="7"/>
      <c r="AB18" s="13"/>
      <c r="AC18" s="13"/>
      <c r="AD18" s="13"/>
    </row>
    <row r="19" s="21" customFormat="1" ht="14.25">
      <c r="A19" s="81" t="s">
        <v>46</v>
      </c>
      <c r="B19" s="76"/>
      <c r="C19" s="326"/>
      <c r="D19" s="76"/>
      <c r="E19" s="76"/>
      <c r="F19" s="67"/>
      <c r="G19" s="67"/>
      <c r="H19" s="87"/>
      <c r="I19" s="87"/>
      <c r="J19" s="83"/>
      <c r="K19" s="83" t="s">
        <v>4</v>
      </c>
      <c r="L19" s="156"/>
      <c r="M19" s="156" t="s">
        <v>4</v>
      </c>
      <c r="N19" s="66"/>
      <c r="O19" s="66"/>
      <c r="P19" s="68">
        <f t="shared" si="69"/>
        <v>24</v>
      </c>
      <c r="Q19" s="69">
        <f t="shared" si="73"/>
        <v>-24</v>
      </c>
      <c r="R19" s="288" t="str">
        <f t="shared" si="70"/>
        <v>Голышев</v>
      </c>
      <c r="S19" s="76" t="s">
        <v>10</v>
      </c>
      <c r="T19" s="77" t="s">
        <v>9</v>
      </c>
      <c r="U19" s="73">
        <f t="shared" si="71"/>
        <v>0</v>
      </c>
      <c r="V19" s="62">
        <f t="shared" si="72"/>
        <v>0</v>
      </c>
      <c r="W19" s="229"/>
      <c r="X19" s="74" t="s">
        <v>34</v>
      </c>
      <c r="Y19" s="7"/>
      <c r="Z19" s="7"/>
      <c r="AA19" s="7"/>
      <c r="AB19" s="13"/>
      <c r="AC19" s="13"/>
      <c r="AD19" s="13"/>
    </row>
    <row r="20" s="21" customFormat="1" ht="14.25">
      <c r="A20" s="81" t="s">
        <v>47</v>
      </c>
      <c r="B20" s="77"/>
      <c r="C20" s="112"/>
      <c r="D20" s="67"/>
      <c r="E20" s="67"/>
      <c r="F20" s="82"/>
      <c r="G20" s="82"/>
      <c r="H20" s="67"/>
      <c r="I20" s="67"/>
      <c r="J20" s="83"/>
      <c r="K20" s="83" t="s">
        <v>4</v>
      </c>
      <c r="L20" s="77"/>
      <c r="M20" s="77" t="s">
        <v>4</v>
      </c>
      <c r="N20" s="66"/>
      <c r="O20" s="66"/>
      <c r="P20" s="68">
        <f t="shared" si="69"/>
        <v>24</v>
      </c>
      <c r="Q20" s="69">
        <f t="shared" si="73"/>
        <v>-24</v>
      </c>
      <c r="R20" s="288" t="str">
        <f t="shared" si="70"/>
        <v>Торубара</v>
      </c>
      <c r="S20" s="76" t="s">
        <v>10</v>
      </c>
      <c r="T20" s="77" t="s">
        <v>9</v>
      </c>
      <c r="U20" s="73">
        <f t="shared" si="71"/>
        <v>0</v>
      </c>
      <c r="V20" s="62">
        <f t="shared" si="72"/>
        <v>0</v>
      </c>
      <c r="W20" s="62"/>
      <c r="X20" s="74" t="s">
        <v>34</v>
      </c>
      <c r="Y20" s="7"/>
      <c r="Z20" s="7"/>
      <c r="AA20" s="7"/>
      <c r="AB20" s="13"/>
      <c r="AC20" s="13"/>
      <c r="AD20" s="13"/>
    </row>
    <row r="21" s="21" customFormat="1" ht="14.25">
      <c r="A21" s="81" t="s">
        <v>48</v>
      </c>
      <c r="B21" s="66"/>
      <c r="C21" s="66"/>
      <c r="D21" s="66"/>
      <c r="E21" s="66"/>
      <c r="F21" s="83"/>
      <c r="G21" s="83" t="s">
        <v>4</v>
      </c>
      <c r="H21" s="77"/>
      <c r="I21" s="83" t="s">
        <v>4</v>
      </c>
      <c r="J21" s="82"/>
      <c r="K21" s="82"/>
      <c r="L21" s="66"/>
      <c r="M21" s="66"/>
      <c r="N21" s="78"/>
      <c r="O21" s="78"/>
      <c r="P21" s="68">
        <f t="shared" si="69"/>
        <v>24</v>
      </c>
      <c r="Q21" s="69">
        <f t="shared" si="73"/>
        <v>-24</v>
      </c>
      <c r="R21" s="288" t="str">
        <f t="shared" si="70"/>
        <v>Стрыгин</v>
      </c>
      <c r="S21" s="71" t="s">
        <v>8</v>
      </c>
      <c r="T21" s="72" t="s">
        <v>7</v>
      </c>
      <c r="U21" s="73">
        <f t="shared" si="71"/>
        <v>0</v>
      </c>
      <c r="V21" s="62">
        <f t="shared" si="72"/>
        <v>0</v>
      </c>
      <c r="W21" s="62"/>
      <c r="X21" s="74" t="s">
        <v>49</v>
      </c>
      <c r="Y21" s="7"/>
      <c r="Z21" s="7"/>
      <c r="AA21" s="7"/>
      <c r="AB21" s="13"/>
      <c r="AC21" s="13"/>
      <c r="AD21" s="13"/>
    </row>
    <row r="22" s="21" customFormat="1" ht="14.25">
      <c r="A22" s="81" t="s">
        <v>50</v>
      </c>
      <c r="B22" s="66"/>
      <c r="C22" s="66"/>
      <c r="D22" s="66"/>
      <c r="E22" s="66"/>
      <c r="F22" s="243"/>
      <c r="G22" s="243" t="s">
        <v>4</v>
      </c>
      <c r="H22" s="78"/>
      <c r="I22" s="78" t="s">
        <v>4</v>
      </c>
      <c r="J22" s="66"/>
      <c r="K22" s="66"/>
      <c r="L22" s="82"/>
      <c r="M22" s="82"/>
      <c r="N22" s="156"/>
      <c r="O22" s="156"/>
      <c r="P22" s="68">
        <f t="shared" si="69"/>
        <v>24</v>
      </c>
      <c r="Q22" s="69">
        <f t="shared" si="73"/>
        <v>-24</v>
      </c>
      <c r="R22" s="288" t="str">
        <f t="shared" si="70"/>
        <v>Фрик</v>
      </c>
      <c r="S22" s="71" t="s">
        <v>12</v>
      </c>
      <c r="T22" s="72" t="s">
        <v>11</v>
      </c>
      <c r="U22" s="73">
        <f t="shared" si="71"/>
        <v>0</v>
      </c>
      <c r="V22" s="62">
        <f t="shared" si="72"/>
        <v>0</v>
      </c>
      <c r="W22" s="62"/>
      <c r="X22" s="74" t="s">
        <v>44</v>
      </c>
      <c r="Y22" s="7"/>
      <c r="Z22" s="7"/>
      <c r="AA22" s="7"/>
      <c r="AB22" s="13"/>
      <c r="AC22" s="13"/>
      <c r="AD22" s="13"/>
    </row>
    <row r="23" s="21" customFormat="1" ht="14.25">
      <c r="A23" s="88" t="s">
        <v>51</v>
      </c>
      <c r="B23" s="66"/>
      <c r="C23" s="66"/>
      <c r="D23" s="66"/>
      <c r="E23" s="66"/>
      <c r="F23" s="77"/>
      <c r="G23" s="77" t="s">
        <v>4</v>
      </c>
      <c r="H23" s="77"/>
      <c r="I23" s="77" t="s">
        <v>4</v>
      </c>
      <c r="J23" s="66"/>
      <c r="K23" s="66"/>
      <c r="L23" s="82"/>
      <c r="M23" s="82"/>
      <c r="N23" s="243"/>
      <c r="O23" s="243"/>
      <c r="P23" s="68">
        <f t="shared" si="69"/>
        <v>24</v>
      </c>
      <c r="Q23" s="69">
        <f t="shared" si="73"/>
        <v>-24</v>
      </c>
      <c r="R23" s="288" t="str">
        <f t="shared" si="70"/>
        <v>Истрашкин</v>
      </c>
      <c r="S23" s="71" t="s">
        <v>10</v>
      </c>
      <c r="T23" s="72" t="s">
        <v>9</v>
      </c>
      <c r="U23" s="73">
        <f t="shared" si="71"/>
        <v>0</v>
      </c>
      <c r="V23" s="62">
        <f t="shared" si="72"/>
        <v>0</v>
      </c>
      <c r="W23" s="62"/>
      <c r="X23" s="74" t="s">
        <v>34</v>
      </c>
      <c r="Y23" s="7"/>
      <c r="Z23" s="7"/>
      <c r="AA23" s="7"/>
      <c r="AB23" s="13"/>
      <c r="AC23" s="13"/>
      <c r="AD23" s="13"/>
    </row>
    <row r="24" s="21" customFormat="1" ht="14.25">
      <c r="A24" s="92"/>
      <c r="B24" s="53">
        <v>46202</v>
      </c>
      <c r="C24" s="53"/>
      <c r="D24" s="53">
        <v>46203</v>
      </c>
      <c r="E24" s="53"/>
      <c r="F24" s="53">
        <v>46204</v>
      </c>
      <c r="G24" s="53"/>
      <c r="H24" s="53">
        <v>46205</v>
      </c>
      <c r="I24" s="53"/>
      <c r="J24" s="53">
        <v>46206</v>
      </c>
      <c r="K24" s="53"/>
      <c r="L24" s="53">
        <v>46207</v>
      </c>
      <c r="M24" s="53"/>
      <c r="N24" s="53">
        <v>46208</v>
      </c>
      <c r="O24" s="54"/>
      <c r="P24" s="68"/>
      <c r="Q24" s="67"/>
      <c r="R24" s="297"/>
      <c r="S24" s="138"/>
      <c r="T24" s="138"/>
      <c r="U24" s="60" t="s">
        <v>27</v>
      </c>
      <c r="V24" s="61" t="s">
        <v>28</v>
      </c>
      <c r="W24" s="62" t="s">
        <v>29</v>
      </c>
      <c r="X24" s="7"/>
      <c r="Y24" s="7"/>
      <c r="Z24" s="7"/>
      <c r="AA24" s="7"/>
      <c r="AB24" s="13"/>
      <c r="AC24" s="13"/>
      <c r="AD24" s="13"/>
    </row>
    <row r="25" ht="14.25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9"/>
      <c r="S25" s="165"/>
      <c r="T25" s="165"/>
      <c r="U25" s="100"/>
      <c r="V25" s="100"/>
      <c r="W25" s="100"/>
      <c r="X25" s="7"/>
      <c r="Y25" s="7"/>
      <c r="Z25" s="7"/>
      <c r="AA25" s="7"/>
      <c r="AB25" s="13"/>
      <c r="AC25" s="13"/>
      <c r="AD25" s="13"/>
    </row>
    <row r="26" ht="14.25">
      <c r="A26" s="98"/>
      <c r="B26" s="101" t="s">
        <v>17</v>
      </c>
      <c r="C26" s="101"/>
      <c r="D26" s="101" t="s">
        <v>18</v>
      </c>
      <c r="E26" s="101"/>
      <c r="F26" s="101" t="s">
        <v>19</v>
      </c>
      <c r="G26" s="101"/>
      <c r="H26" s="101" t="s">
        <v>20</v>
      </c>
      <c r="I26" s="101"/>
      <c r="J26" s="102" t="s">
        <v>21</v>
      </c>
      <c r="K26" s="102"/>
      <c r="L26" s="101" t="s">
        <v>22</v>
      </c>
      <c r="M26" s="101"/>
      <c r="N26" s="101" t="s">
        <v>23</v>
      </c>
      <c r="O26" s="101"/>
      <c r="P26" s="101" t="s">
        <v>24</v>
      </c>
      <c r="Q26" s="101"/>
      <c r="R26" s="99"/>
      <c r="S26" s="165"/>
      <c r="T26" s="165"/>
      <c r="U26" s="100"/>
      <c r="V26" s="100"/>
      <c r="W26" s="100"/>
      <c r="X26" s="51"/>
      <c r="Y26" s="7"/>
      <c r="Z26" s="7"/>
      <c r="AA26" s="7"/>
      <c r="AB26" s="13"/>
      <c r="AC26" s="13"/>
      <c r="AD26" s="13"/>
    </row>
    <row r="27" ht="14.25">
      <c r="A27" s="98"/>
      <c r="B27" s="53">
        <v>46209</v>
      </c>
      <c r="C27" s="53"/>
      <c r="D27" s="53">
        <v>46210</v>
      </c>
      <c r="E27" s="53"/>
      <c r="F27" s="53">
        <v>46211</v>
      </c>
      <c r="G27" s="53"/>
      <c r="H27" s="53">
        <v>46212</v>
      </c>
      <c r="I27" s="53"/>
      <c r="J27" s="53">
        <v>46213</v>
      </c>
      <c r="K27" s="53"/>
      <c r="L27" s="53">
        <v>46214</v>
      </c>
      <c r="M27" s="53"/>
      <c r="N27" s="53">
        <v>46215</v>
      </c>
      <c r="O27" s="54"/>
      <c r="P27" s="103" t="s">
        <v>25</v>
      </c>
      <c r="Q27" s="101" t="s">
        <v>26</v>
      </c>
      <c r="R27" s="327"/>
      <c r="S27" s="239"/>
      <c r="T27" s="239"/>
      <c r="U27" s="15" t="s">
        <v>27</v>
      </c>
      <c r="V27" s="106" t="s">
        <v>28</v>
      </c>
      <c r="W27" s="100" t="s">
        <v>29</v>
      </c>
      <c r="X27" s="63" t="s">
        <v>30</v>
      </c>
      <c r="Y27" s="7"/>
      <c r="Z27" s="7"/>
      <c r="AA27" s="7"/>
      <c r="AB27" s="13"/>
      <c r="AC27" s="13"/>
      <c r="AD27" s="13"/>
    </row>
    <row r="28" ht="14.25">
      <c r="A28" s="75" t="s">
        <v>35</v>
      </c>
      <c r="B28" s="65" t="s">
        <v>32</v>
      </c>
      <c r="C28" s="65" t="s">
        <v>33</v>
      </c>
      <c r="D28" s="65" t="s">
        <v>32</v>
      </c>
      <c r="E28" s="65" t="s">
        <v>33</v>
      </c>
      <c r="F28" s="65" t="s">
        <v>32</v>
      </c>
      <c r="G28" s="65" t="s">
        <v>33</v>
      </c>
      <c r="H28" s="65" t="s">
        <v>32</v>
      </c>
      <c r="I28" s="65" t="s">
        <v>33</v>
      </c>
      <c r="J28" s="65" t="s">
        <v>32</v>
      </c>
      <c r="K28" s="65" t="s">
        <v>33</v>
      </c>
      <c r="L28" s="66"/>
      <c r="M28" s="66"/>
      <c r="N28" s="66"/>
      <c r="O28" s="66"/>
      <c r="P28" s="68">
        <f t="shared" si="69"/>
        <v>40</v>
      </c>
      <c r="Q28" s="69" t="e">
        <f t="shared" ref="Q28:Q31" si="74">Q12-P28</f>
        <v>#REF!</v>
      </c>
      <c r="R28" s="288" t="str">
        <f t="shared" si="70"/>
        <v>Рычков</v>
      </c>
      <c r="S28" s="76" t="s">
        <v>10</v>
      </c>
      <c r="T28" s="77" t="s">
        <v>9</v>
      </c>
      <c r="U28" s="73">
        <f t="shared" si="71"/>
        <v>0</v>
      </c>
      <c r="V28" s="62">
        <f t="shared" si="72"/>
        <v>0</v>
      </c>
      <c r="W28" s="62"/>
      <c r="X28" s="74" t="s">
        <v>34</v>
      </c>
      <c r="Y28" s="7"/>
      <c r="Z28" s="7"/>
      <c r="AA28" s="7"/>
      <c r="AB28" s="13"/>
      <c r="AC28" s="13"/>
      <c r="AD28" s="13"/>
    </row>
    <row r="29" ht="14.25">
      <c r="A29" s="64" t="s">
        <v>39</v>
      </c>
      <c r="B29" s="148" t="s">
        <v>32</v>
      </c>
      <c r="C29" s="148" t="s">
        <v>33</v>
      </c>
      <c r="D29" s="148" t="s">
        <v>32</v>
      </c>
      <c r="E29" s="148" t="s">
        <v>33</v>
      </c>
      <c r="F29" s="148" t="s">
        <v>32</v>
      </c>
      <c r="G29" s="148" t="s">
        <v>33</v>
      </c>
      <c r="H29" s="148" t="s">
        <v>32</v>
      </c>
      <c r="I29" s="148" t="s">
        <v>33</v>
      </c>
      <c r="J29" s="148" t="s">
        <v>32</v>
      </c>
      <c r="K29" s="148" t="s">
        <v>33</v>
      </c>
      <c r="L29" s="328"/>
      <c r="M29" s="108"/>
      <c r="N29" s="108"/>
      <c r="O29" s="108"/>
      <c r="P29" s="68">
        <f t="shared" si="69"/>
        <v>40</v>
      </c>
      <c r="Q29" s="69" t="e">
        <f t="shared" si="74"/>
        <v>#REF!</v>
      </c>
      <c r="R29" s="288" t="str">
        <f t="shared" si="70"/>
        <v>Игумнов</v>
      </c>
      <c r="S29" s="76" t="s">
        <v>10</v>
      </c>
      <c r="T29" s="77" t="s">
        <v>9</v>
      </c>
      <c r="U29" s="73">
        <f t="shared" si="71"/>
        <v>0</v>
      </c>
      <c r="V29" s="62">
        <f t="shared" si="72"/>
        <v>0</v>
      </c>
      <c r="W29" s="62"/>
      <c r="X29" s="79" t="s">
        <v>34</v>
      </c>
      <c r="Y29" s="7"/>
      <c r="Z29" s="80"/>
      <c r="AA29" s="80"/>
      <c r="AB29" s="13"/>
      <c r="AC29" s="13"/>
      <c r="AD29" s="13"/>
    </row>
    <row r="30" ht="14.25">
      <c r="A30" s="64" t="s">
        <v>40</v>
      </c>
      <c r="B30" s="65" t="s">
        <v>32</v>
      </c>
      <c r="C30" s="65" t="s">
        <v>33</v>
      </c>
      <c r="D30" s="65" t="s">
        <v>32</v>
      </c>
      <c r="E30" s="65" t="s">
        <v>33</v>
      </c>
      <c r="F30" s="65" t="s">
        <v>32</v>
      </c>
      <c r="G30" s="65" t="s">
        <v>33</v>
      </c>
      <c r="H30" s="65" t="s">
        <v>32</v>
      </c>
      <c r="I30" s="65" t="s">
        <v>33</v>
      </c>
      <c r="J30" s="65" t="s">
        <v>32</v>
      </c>
      <c r="K30" s="65" t="s">
        <v>33</v>
      </c>
      <c r="L30" s="256"/>
      <c r="M30" s="256"/>
      <c r="N30" s="256"/>
      <c r="O30" s="256"/>
      <c r="P30" s="68">
        <f t="shared" si="69"/>
        <v>40</v>
      </c>
      <c r="Q30" s="69" t="e">
        <f t="shared" si="74"/>
        <v>#REF!</v>
      </c>
      <c r="R30" s="288" t="str">
        <f t="shared" si="70"/>
        <v>Душин</v>
      </c>
      <c r="S30" s="76" t="s">
        <v>10</v>
      </c>
      <c r="T30" s="77" t="s">
        <v>9</v>
      </c>
      <c r="U30" s="73">
        <f t="shared" si="71"/>
        <v>0</v>
      </c>
      <c r="V30" s="62">
        <f t="shared" si="72"/>
        <v>0</v>
      </c>
      <c r="W30" s="62"/>
      <c r="X30" s="74" t="s">
        <v>38</v>
      </c>
      <c r="Y30" s="80"/>
      <c r="Z30" s="80"/>
      <c r="AA30" s="80"/>
      <c r="AB30" s="13"/>
      <c r="AC30" s="13"/>
      <c r="AD30" s="13"/>
    </row>
    <row r="31" ht="14.25">
      <c r="A31" s="64" t="s">
        <v>31</v>
      </c>
      <c r="B31" s="148" t="s">
        <v>32</v>
      </c>
      <c r="C31" s="148" t="s">
        <v>33</v>
      </c>
      <c r="D31" s="148" t="s">
        <v>32</v>
      </c>
      <c r="E31" s="148" t="s">
        <v>33</v>
      </c>
      <c r="F31" s="148" t="s">
        <v>32</v>
      </c>
      <c r="G31" s="148" t="s">
        <v>33</v>
      </c>
      <c r="H31" s="148" t="s">
        <v>32</v>
      </c>
      <c r="I31" s="148" t="s">
        <v>33</v>
      </c>
      <c r="J31" s="148" t="s">
        <v>32</v>
      </c>
      <c r="K31" s="148" t="s">
        <v>33</v>
      </c>
      <c r="L31" s="108"/>
      <c r="M31" s="329"/>
      <c r="N31" s="108"/>
      <c r="O31" s="329"/>
      <c r="P31" s="289">
        <f t="shared" si="69"/>
        <v>40</v>
      </c>
      <c r="Q31" s="320" t="e">
        <f t="shared" si="74"/>
        <v>#REF!</v>
      </c>
      <c r="R31" s="290" t="s">
        <v>31</v>
      </c>
      <c r="S31" s="173" t="s">
        <v>58</v>
      </c>
      <c r="T31" s="77" t="s">
        <v>59</v>
      </c>
      <c r="U31" s="227">
        <f t="shared" si="71"/>
        <v>0</v>
      </c>
      <c r="V31" s="62">
        <f t="shared" si="72"/>
        <v>0</v>
      </c>
      <c r="W31" s="227"/>
      <c r="X31" s="74" t="s">
        <v>38</v>
      </c>
      <c r="Y31" s="80"/>
      <c r="Z31" s="80"/>
      <c r="AA31" s="80"/>
      <c r="AB31" s="13"/>
      <c r="AC31" s="13"/>
      <c r="AD31" s="13"/>
    </row>
    <row r="32" ht="14.25">
      <c r="A32" s="64" t="s">
        <v>42</v>
      </c>
      <c r="B32" s="65" t="s">
        <v>32</v>
      </c>
      <c r="C32" s="65" t="s">
        <v>33</v>
      </c>
      <c r="D32" s="65" t="s">
        <v>32</v>
      </c>
      <c r="E32" s="65" t="s">
        <v>33</v>
      </c>
      <c r="F32" s="65" t="s">
        <v>32</v>
      </c>
      <c r="G32" s="65" t="s">
        <v>33</v>
      </c>
      <c r="H32" s="65" t="s">
        <v>32</v>
      </c>
      <c r="I32" s="65" t="s">
        <v>33</v>
      </c>
      <c r="J32" s="65" t="s">
        <v>32</v>
      </c>
      <c r="K32" s="65" t="s">
        <v>33</v>
      </c>
      <c r="L32" s="120"/>
      <c r="M32" s="120"/>
      <c r="N32" s="120"/>
      <c r="O32" s="120"/>
      <c r="P32" s="68">
        <f t="shared" si="69"/>
        <v>40</v>
      </c>
      <c r="Q32" s="69" t="e">
        <f>Q15-P32</f>
        <v>#REF!</v>
      </c>
      <c r="R32" s="288" t="str">
        <f t="shared" si="70"/>
        <v>Юращик</v>
      </c>
      <c r="S32" s="76" t="s">
        <v>10</v>
      </c>
      <c r="T32" s="77" t="s">
        <v>9</v>
      </c>
      <c r="U32" s="73">
        <f t="shared" si="71"/>
        <v>0</v>
      </c>
      <c r="V32" s="221">
        <f t="shared" si="72"/>
        <v>0</v>
      </c>
      <c r="W32" s="62"/>
      <c r="X32" s="74" t="s">
        <v>38</v>
      </c>
      <c r="Y32" s="80"/>
      <c r="Z32" s="80"/>
      <c r="AA32" s="80"/>
      <c r="AB32" s="13"/>
      <c r="AC32" s="13"/>
      <c r="AD32" s="13"/>
    </row>
    <row r="33" ht="14.25">
      <c r="A33" s="81" t="s">
        <v>43</v>
      </c>
      <c r="B33" s="82"/>
      <c r="C33" s="82"/>
      <c r="D33" s="72"/>
      <c r="E33" s="83"/>
      <c r="F33" s="72"/>
      <c r="G33" s="77"/>
      <c r="H33" s="67"/>
      <c r="I33" s="67"/>
      <c r="J33" s="330"/>
      <c r="K33" s="283"/>
      <c r="L33" s="87"/>
      <c r="M33" s="87"/>
      <c r="N33" s="72"/>
      <c r="O33" s="269"/>
      <c r="P33" s="68">
        <f t="shared" si="69"/>
        <v>0</v>
      </c>
      <c r="Q33" s="69">
        <f t="shared" ref="Q33:Q39" si="75">Q18-P33</f>
        <v>-24</v>
      </c>
      <c r="R33" s="288" t="s">
        <v>43</v>
      </c>
      <c r="S33" s="149" t="s">
        <v>12</v>
      </c>
      <c r="T33" s="262" t="s">
        <v>11</v>
      </c>
      <c r="U33" s="331">
        <f t="shared" si="71"/>
        <v>0</v>
      </c>
      <c r="V33" s="69">
        <f t="shared" si="72"/>
        <v>0</v>
      </c>
      <c r="W33" s="90"/>
      <c r="X33" s="74" t="s">
        <v>44</v>
      </c>
      <c r="Y33" s="80"/>
      <c r="Z33" s="80"/>
      <c r="AA33" s="80"/>
      <c r="AB33" s="13"/>
      <c r="AC33" s="13"/>
      <c r="AD33" s="13"/>
    </row>
    <row r="34" ht="14.25">
      <c r="A34" s="81" t="s">
        <v>45</v>
      </c>
      <c r="B34" s="82"/>
      <c r="C34" s="82"/>
      <c r="D34" s="77"/>
      <c r="E34" s="83"/>
      <c r="F34" s="77"/>
      <c r="G34" s="77"/>
      <c r="H34" s="67"/>
      <c r="I34" s="67"/>
      <c r="J34" s="82"/>
      <c r="K34" s="82"/>
      <c r="L34" s="77"/>
      <c r="M34" s="112"/>
      <c r="N34" s="77"/>
      <c r="O34" s="83"/>
      <c r="P34" s="68">
        <f t="shared" si="69"/>
        <v>0</v>
      </c>
      <c r="Q34" s="69">
        <f t="shared" si="75"/>
        <v>-24</v>
      </c>
      <c r="R34" s="288" t="str">
        <f t="shared" si="70"/>
        <v>Пузырь</v>
      </c>
      <c r="S34" s="76" t="s">
        <v>10</v>
      </c>
      <c r="T34" s="77" t="s">
        <v>9</v>
      </c>
      <c r="U34" s="73">
        <f t="shared" si="71"/>
        <v>0</v>
      </c>
      <c r="V34" s="229">
        <f t="shared" si="72"/>
        <v>0</v>
      </c>
      <c r="W34" s="62"/>
      <c r="X34" s="74" t="s">
        <v>34</v>
      </c>
      <c r="Y34" s="80"/>
      <c r="Z34" s="7"/>
      <c r="AA34" s="7"/>
      <c r="AB34" s="13"/>
      <c r="AC34" s="13"/>
      <c r="AD34" s="13"/>
    </row>
    <row r="35" ht="14.25">
      <c r="A35" s="81" t="s">
        <v>46</v>
      </c>
      <c r="B35" s="292"/>
      <c r="C35" s="112"/>
      <c r="D35" s="66"/>
      <c r="E35" s="66"/>
      <c r="F35" s="66"/>
      <c r="G35" s="66"/>
      <c r="H35" s="251"/>
      <c r="I35" s="83"/>
      <c r="J35" s="251"/>
      <c r="K35" s="77"/>
      <c r="L35" s="251"/>
      <c r="M35" s="77"/>
      <c r="N35" s="67"/>
      <c r="O35" s="67"/>
      <c r="P35" s="68">
        <f t="shared" si="69"/>
        <v>0</v>
      </c>
      <c r="Q35" s="69">
        <f t="shared" si="75"/>
        <v>-24</v>
      </c>
      <c r="R35" s="288" t="str">
        <f t="shared" si="70"/>
        <v>Голышев</v>
      </c>
      <c r="S35" s="76" t="s">
        <v>10</v>
      </c>
      <c r="T35" s="77" t="s">
        <v>9</v>
      </c>
      <c r="U35" s="73">
        <f t="shared" si="71"/>
        <v>0</v>
      </c>
      <c r="V35" s="62">
        <f t="shared" si="72"/>
        <v>0</v>
      </c>
      <c r="W35" s="62"/>
      <c r="X35" s="74" t="s">
        <v>34</v>
      </c>
      <c r="Y35" s="80"/>
      <c r="Z35" s="7"/>
      <c r="AA35" s="7"/>
      <c r="AB35" s="13"/>
      <c r="AC35" s="13"/>
      <c r="AD35" s="13"/>
    </row>
    <row r="36" ht="14.25">
      <c r="A36" s="81" t="s">
        <v>47</v>
      </c>
      <c r="B36" s="66"/>
      <c r="C36" s="66"/>
      <c r="D36" s="173"/>
      <c r="E36" s="78"/>
      <c r="F36" s="173"/>
      <c r="G36" s="78"/>
      <c r="H36" s="67"/>
      <c r="I36" s="67"/>
      <c r="J36" s="87"/>
      <c r="K36" s="87"/>
      <c r="L36" s="87"/>
      <c r="M36" s="87"/>
      <c r="N36" s="87"/>
      <c r="O36" s="87"/>
      <c r="P36" s="68">
        <f t="shared" si="69"/>
        <v>0</v>
      </c>
      <c r="Q36" s="69">
        <f t="shared" si="75"/>
        <v>-24</v>
      </c>
      <c r="R36" s="288" t="str">
        <f t="shared" si="70"/>
        <v>Торубара</v>
      </c>
      <c r="S36" s="76" t="s">
        <v>10</v>
      </c>
      <c r="T36" s="77" t="s">
        <v>9</v>
      </c>
      <c r="U36" s="73">
        <f t="shared" si="71"/>
        <v>0</v>
      </c>
      <c r="V36" s="62">
        <f t="shared" si="72"/>
        <v>0</v>
      </c>
      <c r="W36" s="62"/>
      <c r="X36" s="74" t="s">
        <v>34</v>
      </c>
      <c r="Y36" s="7"/>
      <c r="Z36" s="7"/>
      <c r="AA36" s="7"/>
      <c r="AB36" s="13"/>
      <c r="AC36" s="13"/>
      <c r="AD36" s="13"/>
    </row>
    <row r="37" ht="14.25">
      <c r="A37" s="81" t="s">
        <v>48</v>
      </c>
      <c r="B37" s="71"/>
      <c r="C37" s="243"/>
      <c r="D37" s="82"/>
      <c r="E37" s="82"/>
      <c r="F37" s="66"/>
      <c r="G37" s="66"/>
      <c r="H37" s="268"/>
      <c r="I37" s="78"/>
      <c r="J37" s="268"/>
      <c r="K37" s="78"/>
      <c r="L37" s="71"/>
      <c r="M37" s="89"/>
      <c r="N37" s="87"/>
      <c r="O37" s="87"/>
      <c r="P37" s="68">
        <f t="shared" si="69"/>
        <v>0</v>
      </c>
      <c r="Q37" s="69">
        <f t="shared" si="75"/>
        <v>-24</v>
      </c>
      <c r="R37" s="288" t="str">
        <f t="shared" si="70"/>
        <v>Стрыгин</v>
      </c>
      <c r="S37" s="71" t="s">
        <v>8</v>
      </c>
      <c r="T37" s="72" t="s">
        <v>7</v>
      </c>
      <c r="U37" s="73">
        <f t="shared" si="71"/>
        <v>0</v>
      </c>
      <c r="V37" s="62">
        <f t="shared" si="72"/>
        <v>0</v>
      </c>
      <c r="W37" s="62"/>
      <c r="X37" s="74" t="s">
        <v>49</v>
      </c>
      <c r="Y37" s="7"/>
      <c r="Z37" s="7"/>
      <c r="AA37" s="7"/>
      <c r="AB37" s="13"/>
      <c r="AC37" s="13"/>
      <c r="AD37" s="13"/>
    </row>
    <row r="38" ht="14.25">
      <c r="A38" s="81" t="s">
        <v>50</v>
      </c>
      <c r="B38" s="264"/>
      <c r="C38" s="89"/>
      <c r="D38" s="67"/>
      <c r="E38" s="67"/>
      <c r="F38" s="66"/>
      <c r="G38" s="66"/>
      <c r="H38" s="72"/>
      <c r="I38" s="83"/>
      <c r="J38" s="83"/>
      <c r="K38" s="83"/>
      <c r="L38" s="66"/>
      <c r="M38" s="66"/>
      <c r="N38" s="66"/>
      <c r="O38" s="66"/>
      <c r="P38" s="68">
        <f t="shared" si="69"/>
        <v>0</v>
      </c>
      <c r="Q38" s="69">
        <f t="shared" si="75"/>
        <v>-24</v>
      </c>
      <c r="R38" s="288" t="str">
        <f t="shared" si="70"/>
        <v>Фрик</v>
      </c>
      <c r="S38" s="71" t="s">
        <v>12</v>
      </c>
      <c r="T38" s="72" t="s">
        <v>11</v>
      </c>
      <c r="U38" s="73">
        <f t="shared" si="71"/>
        <v>0</v>
      </c>
      <c r="V38" s="62">
        <f t="shared" si="72"/>
        <v>0</v>
      </c>
      <c r="W38" s="62"/>
      <c r="X38" s="74" t="s">
        <v>44</v>
      </c>
      <c r="Y38" s="7"/>
      <c r="Z38" s="7"/>
      <c r="AA38" s="7"/>
      <c r="AB38" s="13"/>
      <c r="AC38" s="13"/>
      <c r="AD38" s="13"/>
    </row>
    <row r="39" ht="14.25">
      <c r="A39" s="88" t="s">
        <v>51</v>
      </c>
      <c r="B39" s="108"/>
      <c r="C39" s="108"/>
      <c r="D39" s="332"/>
      <c r="E39" s="107"/>
      <c r="F39" s="332"/>
      <c r="G39" s="333"/>
      <c r="H39" s="108"/>
      <c r="I39" s="108"/>
      <c r="J39" s="108"/>
      <c r="K39" s="108"/>
      <c r="L39" s="332"/>
      <c r="M39" s="257"/>
      <c r="N39" s="332"/>
      <c r="O39" s="333"/>
      <c r="P39" s="68">
        <f t="shared" si="69"/>
        <v>0</v>
      </c>
      <c r="Q39" s="69">
        <f t="shared" si="75"/>
        <v>0</v>
      </c>
      <c r="R39" s="288" t="str">
        <f t="shared" si="70"/>
        <v>Истрашкин</v>
      </c>
      <c r="S39" s="71" t="s">
        <v>10</v>
      </c>
      <c r="T39" s="72" t="s">
        <v>9</v>
      </c>
      <c r="U39" s="73">
        <f t="shared" si="71"/>
        <v>0</v>
      </c>
      <c r="V39" s="62">
        <f t="shared" si="72"/>
        <v>0</v>
      </c>
      <c r="W39" s="62"/>
      <c r="X39" s="74" t="s">
        <v>34</v>
      </c>
      <c r="Y39" s="7"/>
      <c r="Z39" s="7"/>
      <c r="AA39" s="7"/>
      <c r="AB39" s="13"/>
      <c r="AC39" s="13"/>
      <c r="AD39" s="13"/>
    </row>
    <row r="40" ht="14.25">
      <c r="A40" s="97"/>
      <c r="B40" s="53">
        <v>46209</v>
      </c>
      <c r="C40" s="53"/>
      <c r="D40" s="53">
        <v>46210</v>
      </c>
      <c r="E40" s="53"/>
      <c r="F40" s="53">
        <v>46211</v>
      </c>
      <c r="G40" s="53"/>
      <c r="H40" s="53">
        <v>46212</v>
      </c>
      <c r="I40" s="53"/>
      <c r="J40" s="53">
        <v>46213</v>
      </c>
      <c r="K40" s="53"/>
      <c r="L40" s="53">
        <v>46214</v>
      </c>
      <c r="M40" s="53"/>
      <c r="N40" s="53">
        <v>46215</v>
      </c>
      <c r="O40" s="54"/>
      <c r="P40" s="114"/>
      <c r="Q40" s="82"/>
      <c r="R40" s="164"/>
      <c r="S40" s="178"/>
      <c r="T40" s="178"/>
      <c r="U40" s="100"/>
      <c r="V40" s="100"/>
      <c r="W40" s="100"/>
      <c r="X40" s="7"/>
      <c r="Y40" s="7"/>
      <c r="Z40" s="7"/>
      <c r="AA40" s="7"/>
      <c r="AB40" s="13"/>
      <c r="AC40" s="13"/>
      <c r="AD40" s="13"/>
    </row>
    <row r="41" ht="14.25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9"/>
      <c r="S41" s="165"/>
      <c r="T41" s="165"/>
      <c r="U41" s="100"/>
      <c r="V41" s="100"/>
      <c r="W41" s="100"/>
      <c r="X41" s="51"/>
      <c r="Y41" s="7"/>
      <c r="Z41" s="7"/>
      <c r="AA41" s="7"/>
      <c r="AB41" s="13"/>
      <c r="AC41" s="13"/>
      <c r="AD41" s="13"/>
    </row>
    <row r="42" ht="14.25">
      <c r="A42" s="52"/>
      <c r="B42" s="56" t="s">
        <v>17</v>
      </c>
      <c r="C42" s="116"/>
      <c r="D42" s="56" t="s">
        <v>18</v>
      </c>
      <c r="E42" s="116"/>
      <c r="F42" s="56" t="s">
        <v>19</v>
      </c>
      <c r="G42" s="56"/>
      <c r="H42" s="56" t="s">
        <v>20</v>
      </c>
      <c r="I42" s="116"/>
      <c r="J42" s="56" t="s">
        <v>21</v>
      </c>
      <c r="K42" s="56"/>
      <c r="L42" s="56" t="s">
        <v>22</v>
      </c>
      <c r="M42" s="56"/>
      <c r="N42" s="56" t="s">
        <v>23</v>
      </c>
      <c r="O42" s="56"/>
      <c r="P42" s="56" t="s">
        <v>24</v>
      </c>
      <c r="Q42" s="56"/>
      <c r="R42" s="117"/>
      <c r="S42" s="143"/>
      <c r="T42" s="143"/>
      <c r="U42" s="62"/>
      <c r="V42" s="62"/>
      <c r="W42" s="62"/>
      <c r="X42" s="63"/>
      <c r="Y42" s="7"/>
      <c r="Z42" s="7"/>
      <c r="AA42" s="7"/>
      <c r="AB42" s="13"/>
      <c r="AC42" s="13"/>
      <c r="AD42" s="13"/>
    </row>
    <row r="43" ht="14.25">
      <c r="A43" s="52"/>
      <c r="B43" s="53">
        <v>46216</v>
      </c>
      <c r="C43" s="53"/>
      <c r="D43" s="53">
        <v>46217</v>
      </c>
      <c r="E43" s="53"/>
      <c r="F43" s="53">
        <v>46218</v>
      </c>
      <c r="G43" s="53"/>
      <c r="H43" s="53">
        <v>46219</v>
      </c>
      <c r="I43" s="53"/>
      <c r="J43" s="53">
        <v>46220</v>
      </c>
      <c r="K43" s="53"/>
      <c r="L43" s="53">
        <v>46221</v>
      </c>
      <c r="M43" s="53"/>
      <c r="N43" s="53">
        <v>46222</v>
      </c>
      <c r="O43" s="54"/>
      <c r="P43" s="55" t="s">
        <v>25</v>
      </c>
      <c r="Q43" s="56" t="s">
        <v>26</v>
      </c>
      <c r="R43" s="287"/>
      <c r="S43" s="147"/>
      <c r="T43" s="147"/>
      <c r="U43" s="60" t="s">
        <v>27</v>
      </c>
      <c r="V43" s="61" t="s">
        <v>28</v>
      </c>
      <c r="W43" s="62" t="s">
        <v>29</v>
      </c>
      <c r="X43" s="63" t="s">
        <v>30</v>
      </c>
      <c r="Y43" s="7"/>
      <c r="Z43" s="7"/>
      <c r="AA43" s="7"/>
      <c r="AB43" s="13"/>
      <c r="AC43" s="13"/>
      <c r="AD43" s="13"/>
    </row>
    <row r="44" ht="14.25">
      <c r="A44" s="64" t="s">
        <v>35</v>
      </c>
      <c r="B44" s="65" t="s">
        <v>32</v>
      </c>
      <c r="C44" s="65" t="s">
        <v>33</v>
      </c>
      <c r="D44" s="65" t="s">
        <v>32</v>
      </c>
      <c r="E44" s="65" t="s">
        <v>33</v>
      </c>
      <c r="F44" s="65" t="s">
        <v>32</v>
      </c>
      <c r="G44" s="65" t="s">
        <v>33</v>
      </c>
      <c r="H44" s="65" t="s">
        <v>32</v>
      </c>
      <c r="I44" s="65" t="s">
        <v>33</v>
      </c>
      <c r="J44" s="148" t="s">
        <v>32</v>
      </c>
      <c r="K44" s="148" t="s">
        <v>33</v>
      </c>
      <c r="L44" s="108"/>
      <c r="M44" s="108"/>
      <c r="N44" s="108"/>
      <c r="O44" s="108"/>
      <c r="P44" s="68">
        <f t="shared" si="69"/>
        <v>40</v>
      </c>
      <c r="Q44" s="69" t="e">
        <f t="shared" ref="Q44:Q87" si="76">Q28-P44</f>
        <v>#REF!</v>
      </c>
      <c r="R44" s="288" t="str">
        <f t="shared" si="70"/>
        <v>Рычков</v>
      </c>
      <c r="S44" s="76" t="s">
        <v>10</v>
      </c>
      <c r="T44" s="77" t="s">
        <v>9</v>
      </c>
      <c r="U44" s="73">
        <f t="shared" si="71"/>
        <v>0</v>
      </c>
      <c r="V44" s="62">
        <f t="shared" si="72"/>
        <v>0</v>
      </c>
      <c r="W44" s="62"/>
      <c r="X44" s="74" t="s">
        <v>34</v>
      </c>
      <c r="Y44" s="7"/>
      <c r="Z44" s="7"/>
      <c r="AA44" s="7"/>
      <c r="AB44" s="13"/>
      <c r="AC44" s="13"/>
      <c r="AD44" s="13"/>
    </row>
    <row r="45" ht="14.25">
      <c r="A45" s="64" t="s">
        <v>39</v>
      </c>
      <c r="B45" s="148" t="s">
        <v>32</v>
      </c>
      <c r="C45" s="148" t="s">
        <v>33</v>
      </c>
      <c r="D45" s="148" t="s">
        <v>32</v>
      </c>
      <c r="E45" s="148" t="s">
        <v>33</v>
      </c>
      <c r="F45" s="148" t="s">
        <v>32</v>
      </c>
      <c r="G45" s="148" t="s">
        <v>33</v>
      </c>
      <c r="H45" s="148" t="s">
        <v>32</v>
      </c>
      <c r="I45" s="148" t="s">
        <v>33</v>
      </c>
      <c r="J45" s="148" t="s">
        <v>32</v>
      </c>
      <c r="K45" s="148" t="s">
        <v>33</v>
      </c>
      <c r="L45" s="108"/>
      <c r="M45" s="108"/>
      <c r="N45" s="334"/>
      <c r="O45" s="334"/>
      <c r="P45" s="68">
        <f t="shared" si="69"/>
        <v>40</v>
      </c>
      <c r="Q45" s="69" t="e">
        <f t="shared" si="76"/>
        <v>#REF!</v>
      </c>
      <c r="R45" s="288" t="str">
        <f t="shared" si="70"/>
        <v>Игумнов</v>
      </c>
      <c r="S45" s="76" t="s">
        <v>10</v>
      </c>
      <c r="T45" s="77" t="s">
        <v>9</v>
      </c>
      <c r="U45" s="73">
        <f t="shared" si="71"/>
        <v>0</v>
      </c>
      <c r="V45" s="62">
        <f t="shared" si="72"/>
        <v>0</v>
      </c>
      <c r="W45" s="62"/>
      <c r="X45" s="79" t="s">
        <v>34</v>
      </c>
      <c r="Y45" s="7"/>
      <c r="Z45" s="7"/>
      <c r="AA45" s="7"/>
      <c r="AB45" s="13"/>
      <c r="AC45" s="13"/>
      <c r="AD45" s="13"/>
    </row>
    <row r="46" ht="14.25">
      <c r="A46" s="64" t="s">
        <v>40</v>
      </c>
      <c r="B46" s="65" t="s">
        <v>32</v>
      </c>
      <c r="C46" s="65" t="s">
        <v>33</v>
      </c>
      <c r="D46" s="65" t="s">
        <v>32</v>
      </c>
      <c r="E46" s="65" t="s">
        <v>33</v>
      </c>
      <c r="F46" s="65" t="s">
        <v>32</v>
      </c>
      <c r="G46" s="65" t="s">
        <v>33</v>
      </c>
      <c r="H46" s="65" t="s">
        <v>32</v>
      </c>
      <c r="I46" s="65" t="s">
        <v>33</v>
      </c>
      <c r="J46" s="65" t="s">
        <v>32</v>
      </c>
      <c r="K46" s="65" t="s">
        <v>33</v>
      </c>
      <c r="L46" s="256"/>
      <c r="M46" s="256"/>
      <c r="N46" s="256"/>
      <c r="O46" s="256"/>
      <c r="P46" s="68">
        <f t="shared" si="69"/>
        <v>40</v>
      </c>
      <c r="Q46" s="69" t="e">
        <f t="shared" si="76"/>
        <v>#REF!</v>
      </c>
      <c r="R46" s="288" t="str">
        <f t="shared" si="70"/>
        <v>Душин</v>
      </c>
      <c r="S46" s="76" t="s">
        <v>10</v>
      </c>
      <c r="T46" s="77" t="s">
        <v>9</v>
      </c>
      <c r="U46" s="73">
        <f t="shared" si="71"/>
        <v>0</v>
      </c>
      <c r="V46" s="62">
        <f t="shared" si="72"/>
        <v>0</v>
      </c>
      <c r="W46" s="62"/>
      <c r="X46" s="74" t="s">
        <v>38</v>
      </c>
      <c r="Y46" s="7"/>
      <c r="Z46" s="7"/>
      <c r="AA46" s="7"/>
      <c r="AB46" s="13"/>
      <c r="AC46" s="13"/>
      <c r="AD46" s="13"/>
    </row>
    <row r="47" ht="14.25">
      <c r="A47" s="64" t="s">
        <v>31</v>
      </c>
      <c r="B47" s="148" t="s">
        <v>32</v>
      </c>
      <c r="C47" s="148" t="s">
        <v>33</v>
      </c>
      <c r="D47" s="148" t="s">
        <v>32</v>
      </c>
      <c r="E47" s="148" t="s">
        <v>33</v>
      </c>
      <c r="F47" s="148" t="s">
        <v>32</v>
      </c>
      <c r="G47" s="148" t="s">
        <v>33</v>
      </c>
      <c r="H47" s="148" t="s">
        <v>32</v>
      </c>
      <c r="I47" s="148" t="s">
        <v>33</v>
      </c>
      <c r="J47" s="148" t="s">
        <v>32</v>
      </c>
      <c r="K47" s="148" t="s">
        <v>33</v>
      </c>
      <c r="L47" s="108"/>
      <c r="M47" s="329"/>
      <c r="N47" s="108"/>
      <c r="O47" s="329"/>
      <c r="P47" s="289">
        <f t="shared" si="69"/>
        <v>40</v>
      </c>
      <c r="Q47" s="320" t="e">
        <f t="shared" si="76"/>
        <v>#REF!</v>
      </c>
      <c r="R47" s="290" t="s">
        <v>31</v>
      </c>
      <c r="S47" s="173" t="s">
        <v>58</v>
      </c>
      <c r="T47" s="77" t="s">
        <v>59</v>
      </c>
      <c r="U47" s="227">
        <f t="shared" si="71"/>
        <v>0</v>
      </c>
      <c r="V47" s="62">
        <f t="shared" si="72"/>
        <v>0</v>
      </c>
      <c r="W47" s="227"/>
      <c r="X47" s="74" t="s">
        <v>38</v>
      </c>
      <c r="Y47" s="7"/>
      <c r="Z47" s="7"/>
      <c r="AA47" s="7"/>
      <c r="AB47" s="13"/>
      <c r="AC47" s="13"/>
      <c r="AD47" s="13"/>
    </row>
    <row r="48" ht="14.25">
      <c r="A48" s="64" t="s">
        <v>42</v>
      </c>
      <c r="B48" s="65" t="s">
        <v>32</v>
      </c>
      <c r="C48" s="65" t="s">
        <v>33</v>
      </c>
      <c r="D48" s="65" t="s">
        <v>32</v>
      </c>
      <c r="E48" s="65" t="s">
        <v>33</v>
      </c>
      <c r="F48" s="65" t="s">
        <v>32</v>
      </c>
      <c r="G48" s="65" t="s">
        <v>33</v>
      </c>
      <c r="H48" s="65" t="s">
        <v>32</v>
      </c>
      <c r="I48" s="65" t="s">
        <v>33</v>
      </c>
      <c r="J48" s="65" t="s">
        <v>32</v>
      </c>
      <c r="K48" s="65" t="s">
        <v>33</v>
      </c>
      <c r="L48" s="120"/>
      <c r="M48" s="120"/>
      <c r="N48" s="120"/>
      <c r="O48" s="120"/>
      <c r="P48" s="68">
        <f t="shared" si="69"/>
        <v>40</v>
      </c>
      <c r="Q48" s="69" t="e">
        <f t="shared" si="76"/>
        <v>#REF!</v>
      </c>
      <c r="R48" s="288" t="str">
        <f t="shared" si="70"/>
        <v>Юращик</v>
      </c>
      <c r="S48" s="76" t="s">
        <v>10</v>
      </c>
      <c r="T48" s="77" t="s">
        <v>9</v>
      </c>
      <c r="U48" s="73">
        <f t="shared" si="71"/>
        <v>0</v>
      </c>
      <c r="V48" s="62">
        <f t="shared" si="72"/>
        <v>0</v>
      </c>
      <c r="W48" s="62"/>
      <c r="X48" s="74" t="s">
        <v>38</v>
      </c>
      <c r="Y48" s="7"/>
      <c r="Z48" s="7"/>
      <c r="AA48" s="7"/>
      <c r="AB48" s="13"/>
      <c r="AC48" s="13"/>
      <c r="AD48" s="13"/>
    </row>
    <row r="49" ht="14.25">
      <c r="A49" s="81" t="s">
        <v>43</v>
      </c>
      <c r="B49" s="66"/>
      <c r="C49" s="66"/>
      <c r="D49" s="72"/>
      <c r="E49" s="83"/>
      <c r="F49" s="72"/>
      <c r="G49" s="83"/>
      <c r="H49" s="67"/>
      <c r="I49" s="67"/>
      <c r="J49" s="67"/>
      <c r="K49" s="67"/>
      <c r="L49" s="335"/>
      <c r="M49" s="109"/>
      <c r="N49" s="335"/>
      <c r="O49" s="109"/>
      <c r="P49" s="68">
        <f t="shared" si="69"/>
        <v>0</v>
      </c>
      <c r="Q49" s="69">
        <f t="shared" si="76"/>
        <v>-24</v>
      </c>
      <c r="R49" s="288" t="s">
        <v>43</v>
      </c>
      <c r="S49" s="149" t="s">
        <v>12</v>
      </c>
      <c r="T49" s="262" t="s">
        <v>11</v>
      </c>
      <c r="U49" s="73">
        <f t="shared" si="71"/>
        <v>0</v>
      </c>
      <c r="V49" s="227">
        <f t="shared" si="72"/>
        <v>0</v>
      </c>
      <c r="W49" s="62"/>
      <c r="X49" s="74" t="s">
        <v>44</v>
      </c>
      <c r="Y49" s="7"/>
      <c r="Z49" s="7"/>
      <c r="AA49" s="7"/>
      <c r="AB49" s="13"/>
      <c r="AC49" s="13"/>
      <c r="AD49" s="13"/>
    </row>
    <row r="50" ht="14.25">
      <c r="A50" s="121" t="s">
        <v>45</v>
      </c>
      <c r="B50" s="66"/>
      <c r="C50" s="66"/>
      <c r="D50" s="201"/>
      <c r="E50" s="200"/>
      <c r="F50" s="77"/>
      <c r="G50" s="83"/>
      <c r="H50" s="67"/>
      <c r="I50" s="67"/>
      <c r="J50" s="251"/>
      <c r="K50" s="156"/>
      <c r="L50" s="77"/>
      <c r="M50" s="156"/>
      <c r="N50" s="87"/>
      <c r="O50" s="87"/>
      <c r="P50" s="68">
        <f t="shared" si="69"/>
        <v>0</v>
      </c>
      <c r="Q50" s="69">
        <f t="shared" si="76"/>
        <v>-24</v>
      </c>
      <c r="R50" s="288" t="str">
        <f t="shared" si="70"/>
        <v>Пузырь</v>
      </c>
      <c r="S50" s="76" t="s">
        <v>10</v>
      </c>
      <c r="T50" s="77" t="s">
        <v>9</v>
      </c>
      <c r="U50" s="73">
        <f t="shared" si="71"/>
        <v>0</v>
      </c>
      <c r="V50" s="62">
        <f t="shared" si="72"/>
        <v>0</v>
      </c>
      <c r="W50" s="62"/>
      <c r="X50" s="74" t="s">
        <v>34</v>
      </c>
      <c r="Y50" s="7"/>
      <c r="Z50" s="7"/>
      <c r="AA50" s="7"/>
      <c r="AB50" s="13"/>
      <c r="AC50" s="13"/>
      <c r="AD50" s="13"/>
    </row>
    <row r="51" ht="14.25">
      <c r="A51" s="121" t="s">
        <v>46</v>
      </c>
      <c r="B51" s="77"/>
      <c r="C51" s="83"/>
      <c r="D51" s="183"/>
      <c r="E51" s="183"/>
      <c r="F51" s="120"/>
      <c r="G51" s="120"/>
      <c r="H51" s="120"/>
      <c r="I51" s="120"/>
      <c r="J51" s="120"/>
      <c r="K51" s="120"/>
      <c r="L51" s="183"/>
      <c r="M51" s="183"/>
      <c r="N51" s="183"/>
      <c r="O51" s="183"/>
      <c r="P51" s="68">
        <f t="shared" si="69"/>
        <v>0</v>
      </c>
      <c r="Q51" s="69">
        <f t="shared" si="76"/>
        <v>-24</v>
      </c>
      <c r="R51" s="288" t="str">
        <f t="shared" si="70"/>
        <v>Голышев</v>
      </c>
      <c r="S51" s="76" t="s">
        <v>10</v>
      </c>
      <c r="T51" s="77" t="s">
        <v>9</v>
      </c>
      <c r="U51" s="73">
        <f t="shared" si="71"/>
        <v>0</v>
      </c>
      <c r="V51" s="62">
        <f t="shared" si="72"/>
        <v>0</v>
      </c>
      <c r="W51" s="62"/>
      <c r="X51" s="74" t="s">
        <v>34</v>
      </c>
      <c r="Y51" s="7"/>
      <c r="Z51" s="7"/>
      <c r="AA51" s="7"/>
      <c r="AB51" s="13"/>
      <c r="AC51" s="13"/>
      <c r="AD51" s="13"/>
    </row>
    <row r="52" ht="14.25">
      <c r="A52" s="121" t="s">
        <v>47</v>
      </c>
      <c r="B52" s="77"/>
      <c r="C52" s="112"/>
      <c r="D52" s="336"/>
      <c r="E52" s="337"/>
      <c r="F52" s="338"/>
      <c r="G52" s="338"/>
      <c r="H52" s="120"/>
      <c r="I52" s="120"/>
      <c r="J52" s="183"/>
      <c r="K52" s="183"/>
      <c r="L52" s="120"/>
      <c r="M52" s="120"/>
      <c r="N52" s="120"/>
      <c r="O52" s="120"/>
      <c r="P52" s="68">
        <f t="shared" si="69"/>
        <v>0</v>
      </c>
      <c r="Q52" s="69">
        <f t="shared" si="76"/>
        <v>-24</v>
      </c>
      <c r="R52" s="288" t="str">
        <f t="shared" si="70"/>
        <v>Торубара</v>
      </c>
      <c r="S52" s="76" t="s">
        <v>10</v>
      </c>
      <c r="T52" s="77" t="s">
        <v>9</v>
      </c>
      <c r="U52" s="73">
        <f t="shared" si="71"/>
        <v>0</v>
      </c>
      <c r="V52" s="62">
        <f t="shared" si="72"/>
        <v>0</v>
      </c>
      <c r="W52" s="62"/>
      <c r="X52" s="74" t="s">
        <v>34</v>
      </c>
      <c r="Y52" s="7"/>
      <c r="Z52" s="7"/>
      <c r="AA52" s="7"/>
      <c r="AB52" s="13"/>
      <c r="AC52" s="13"/>
      <c r="AD52" s="13"/>
    </row>
    <row r="53" ht="14.25">
      <c r="A53" s="121" t="s">
        <v>48</v>
      </c>
      <c r="B53" s="109"/>
      <c r="C53" s="109"/>
      <c r="D53" s="109"/>
      <c r="E53" s="109"/>
      <c r="F53" s="339"/>
      <c r="G53" s="110"/>
      <c r="H53" s="340"/>
      <c r="I53" s="341"/>
      <c r="J53" s="150"/>
      <c r="K53" s="150"/>
      <c r="L53" s="109"/>
      <c r="M53" s="109"/>
      <c r="N53" s="339"/>
      <c r="O53" s="342"/>
      <c r="P53" s="68">
        <f t="shared" si="69"/>
        <v>0</v>
      </c>
      <c r="Q53" s="69">
        <f t="shared" si="76"/>
        <v>-24</v>
      </c>
      <c r="R53" s="288" t="str">
        <f t="shared" si="70"/>
        <v>Стрыгин</v>
      </c>
      <c r="S53" s="71" t="s">
        <v>8</v>
      </c>
      <c r="T53" s="72" t="s">
        <v>7</v>
      </c>
      <c r="U53" s="73">
        <f>COUNTIF(T53,B53)+COUNTIF(T53,D53)+COUNTIF(T53,F53)+COUNTIF(T53,H53)+COUNTIF(T53,#REF!)+COUNTIF(T53,L53)+COUNTIF(T53,N53)</f>
        <v>0</v>
      </c>
      <c r="V53" s="62">
        <f>COUNTIF(S53,B53)+COUNTIF(S53,D53)+COUNTIF(S53,F53)+COUNTIF(S53,H53)+COUNTIF(S53,#REF!)+COUNTIF(S53,L53)+COUNTIF(S53,N53)</f>
        <v>0</v>
      </c>
      <c r="W53" s="62"/>
      <c r="X53" s="74" t="s">
        <v>49</v>
      </c>
      <c r="Y53" s="7"/>
      <c r="Z53" s="7"/>
      <c r="AA53" s="7"/>
      <c r="AB53" s="13"/>
      <c r="AC53" s="13"/>
      <c r="AD53" s="13"/>
    </row>
    <row r="54" ht="14.25">
      <c r="A54" s="121" t="s">
        <v>50</v>
      </c>
      <c r="B54" s="71"/>
      <c r="C54" s="78"/>
      <c r="D54" s="268"/>
      <c r="E54" s="76"/>
      <c r="F54" s="67"/>
      <c r="G54" s="67"/>
      <c r="H54" s="66"/>
      <c r="I54" s="66"/>
      <c r="J54" s="268"/>
      <c r="K54" s="78"/>
      <c r="L54" s="268"/>
      <c r="M54" s="78"/>
      <c r="N54" s="66"/>
      <c r="O54" s="66"/>
      <c r="P54" s="68">
        <f t="shared" si="69"/>
        <v>0</v>
      </c>
      <c r="Q54" s="69">
        <f t="shared" si="76"/>
        <v>-24</v>
      </c>
      <c r="R54" s="288" t="str">
        <f t="shared" si="70"/>
        <v>Фрик</v>
      </c>
      <c r="S54" s="71" t="s">
        <v>12</v>
      </c>
      <c r="T54" s="72" t="s">
        <v>11</v>
      </c>
      <c r="U54" s="73">
        <f t="shared" si="71"/>
        <v>0</v>
      </c>
      <c r="V54" s="62">
        <f t="shared" si="72"/>
        <v>0</v>
      </c>
      <c r="W54" s="62"/>
      <c r="X54" s="74" t="s">
        <v>44</v>
      </c>
      <c r="Y54" s="7"/>
      <c r="Z54" s="7"/>
      <c r="AA54" s="7"/>
      <c r="AB54" s="13"/>
      <c r="AC54" s="13"/>
      <c r="AD54" s="13"/>
    </row>
    <row r="55" ht="14.25">
      <c r="A55" s="125" t="s">
        <v>51</v>
      </c>
      <c r="B55" s="67"/>
      <c r="C55" s="66"/>
      <c r="D55" s="67"/>
      <c r="E55" s="66"/>
      <c r="F55" s="173"/>
      <c r="G55" s="76"/>
      <c r="H55" s="173"/>
      <c r="I55" s="78"/>
      <c r="J55" s="66"/>
      <c r="K55" s="66"/>
      <c r="L55" s="108"/>
      <c r="M55" s="108"/>
      <c r="N55" s="332"/>
      <c r="O55" s="257"/>
      <c r="P55" s="68">
        <f t="shared" si="69"/>
        <v>0</v>
      </c>
      <c r="Q55" s="69">
        <f t="shared" si="76"/>
        <v>0</v>
      </c>
      <c r="R55" s="288" t="str">
        <f t="shared" si="70"/>
        <v>Истрашкин</v>
      </c>
      <c r="S55" s="71" t="s">
        <v>10</v>
      </c>
      <c r="T55" s="72" t="s">
        <v>9</v>
      </c>
      <c r="U55" s="73">
        <f t="shared" si="71"/>
        <v>0</v>
      </c>
      <c r="V55" s="62">
        <f t="shared" si="72"/>
        <v>0</v>
      </c>
      <c r="W55" s="62"/>
      <c r="X55" s="74" t="s">
        <v>34</v>
      </c>
      <c r="Y55" s="7"/>
      <c r="Z55" s="7"/>
      <c r="AA55" s="7"/>
      <c r="AB55" s="13"/>
      <c r="AC55" s="13"/>
      <c r="AD55" s="13"/>
    </row>
    <row r="56" ht="14.25">
      <c r="A56" s="92"/>
      <c r="B56" s="53">
        <v>46216</v>
      </c>
      <c r="C56" s="53"/>
      <c r="D56" s="53">
        <v>46217</v>
      </c>
      <c r="E56" s="53"/>
      <c r="F56" s="53">
        <v>46218</v>
      </c>
      <c r="G56" s="53"/>
      <c r="H56" s="53">
        <v>46219</v>
      </c>
      <c r="I56" s="53"/>
      <c r="J56" s="53">
        <v>46220</v>
      </c>
      <c r="K56" s="53"/>
      <c r="L56" s="53">
        <v>46221</v>
      </c>
      <c r="M56" s="53"/>
      <c r="N56" s="53">
        <v>46222</v>
      </c>
      <c r="O56" s="54"/>
      <c r="P56" s="68"/>
      <c r="Q56" s="67"/>
      <c r="R56" s="297"/>
      <c r="S56" s="138"/>
      <c r="T56" s="138"/>
      <c r="U56" s="60" t="s">
        <v>27</v>
      </c>
      <c r="V56" s="61" t="s">
        <v>28</v>
      </c>
      <c r="W56" s="62" t="s">
        <v>29</v>
      </c>
      <c r="X56" s="7"/>
      <c r="Y56" s="7"/>
      <c r="Z56" s="7"/>
      <c r="AA56" s="7"/>
      <c r="AB56" s="13"/>
      <c r="AC56" s="13"/>
      <c r="AD56" s="13"/>
    </row>
    <row r="57" ht="14.25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127"/>
      <c r="S57" s="127"/>
      <c r="T57" s="127"/>
      <c r="U57" s="127"/>
      <c r="V57" s="127"/>
      <c r="W57" s="128"/>
      <c r="X57" s="7"/>
      <c r="Y57" s="7"/>
      <c r="Z57" s="7"/>
      <c r="AA57" s="7"/>
      <c r="AB57" s="13"/>
      <c r="AC57" s="13"/>
      <c r="AD57" s="13"/>
    </row>
    <row r="58" ht="14.25">
      <c r="A58" s="52"/>
      <c r="B58" s="56" t="s">
        <v>17</v>
      </c>
      <c r="C58" s="116"/>
      <c r="D58" s="56" t="s">
        <v>18</v>
      </c>
      <c r="E58" s="116"/>
      <c r="F58" s="56" t="s">
        <v>19</v>
      </c>
      <c r="G58" s="56"/>
      <c r="H58" s="56" t="s">
        <v>20</v>
      </c>
      <c r="I58" s="116"/>
      <c r="J58" s="129" t="s">
        <v>21</v>
      </c>
      <c r="K58" s="129"/>
      <c r="L58" s="56" t="s">
        <v>22</v>
      </c>
      <c r="M58" s="56"/>
      <c r="N58" s="56" t="s">
        <v>23</v>
      </c>
      <c r="O58" s="56"/>
      <c r="P58" s="56" t="s">
        <v>24</v>
      </c>
      <c r="Q58" s="56"/>
      <c r="R58" s="117"/>
      <c r="S58" s="143"/>
      <c r="T58" s="143"/>
      <c r="U58" s="62"/>
      <c r="V58" s="62"/>
      <c r="W58" s="62"/>
      <c r="X58" s="51"/>
      <c r="Y58" s="7"/>
      <c r="Z58" s="7"/>
      <c r="AA58" s="7"/>
      <c r="AB58" s="13"/>
      <c r="AC58" s="13"/>
      <c r="AD58" s="13"/>
    </row>
    <row r="59" ht="14.25">
      <c r="A59" s="52"/>
      <c r="B59" s="53">
        <v>46223</v>
      </c>
      <c r="C59" s="53"/>
      <c r="D59" s="53">
        <v>46224</v>
      </c>
      <c r="E59" s="53"/>
      <c r="F59" s="53">
        <v>46225</v>
      </c>
      <c r="G59" s="53"/>
      <c r="H59" s="53">
        <v>46226</v>
      </c>
      <c r="I59" s="53"/>
      <c r="J59" s="53">
        <v>46227</v>
      </c>
      <c r="K59" s="53"/>
      <c r="L59" s="53">
        <v>46228</v>
      </c>
      <c r="M59" s="53"/>
      <c r="N59" s="53">
        <v>46229</v>
      </c>
      <c r="O59" s="54"/>
      <c r="P59" s="55" t="s">
        <v>25</v>
      </c>
      <c r="Q59" s="56" t="s">
        <v>26</v>
      </c>
      <c r="R59" s="287"/>
      <c r="S59" s="147"/>
      <c r="T59" s="147"/>
      <c r="U59" s="60" t="s">
        <v>27</v>
      </c>
      <c r="V59" s="61" t="s">
        <v>28</v>
      </c>
      <c r="W59" s="62" t="s">
        <v>29</v>
      </c>
      <c r="X59" s="63" t="s">
        <v>30</v>
      </c>
      <c r="Y59" s="7"/>
      <c r="Z59" s="7"/>
      <c r="AA59" s="7"/>
      <c r="AB59" s="13"/>
      <c r="AC59" s="13"/>
      <c r="AD59" s="13"/>
    </row>
    <row r="60" ht="14.25">
      <c r="A60" s="75" t="s">
        <v>35</v>
      </c>
      <c r="B60" s="148" t="s">
        <v>32</v>
      </c>
      <c r="C60" s="148" t="s">
        <v>33</v>
      </c>
      <c r="D60" s="148" t="s">
        <v>32</v>
      </c>
      <c r="E60" s="148" t="s">
        <v>33</v>
      </c>
      <c r="F60" s="148" t="s">
        <v>32</v>
      </c>
      <c r="G60" s="148" t="s">
        <v>33</v>
      </c>
      <c r="H60" s="148" t="s">
        <v>32</v>
      </c>
      <c r="I60" s="148" t="s">
        <v>33</v>
      </c>
      <c r="J60" s="148" t="s">
        <v>32</v>
      </c>
      <c r="K60" s="148" t="s">
        <v>33</v>
      </c>
      <c r="L60" s="108"/>
      <c r="M60" s="108"/>
      <c r="N60" s="108"/>
      <c r="O60" s="108"/>
      <c r="P60" s="68">
        <f t="shared" si="69"/>
        <v>40</v>
      </c>
      <c r="Q60" s="69" t="e">
        <f t="shared" si="76"/>
        <v>#REF!</v>
      </c>
      <c r="R60" s="288" t="str">
        <f t="shared" si="70"/>
        <v>Рычков</v>
      </c>
      <c r="S60" s="76" t="s">
        <v>10</v>
      </c>
      <c r="T60" s="77" t="s">
        <v>9</v>
      </c>
      <c r="U60" s="73">
        <f t="shared" si="71"/>
        <v>0</v>
      </c>
      <c r="V60" s="62">
        <f t="shared" si="72"/>
        <v>0</v>
      </c>
      <c r="W60" s="62"/>
      <c r="X60" s="74" t="s">
        <v>34</v>
      </c>
      <c r="Y60" s="7"/>
      <c r="Z60" s="7"/>
      <c r="AA60" s="7"/>
      <c r="AB60" s="13"/>
      <c r="AC60" s="13"/>
      <c r="AD60" s="13"/>
    </row>
    <row r="61" ht="14.25">
      <c r="A61" s="64" t="s">
        <v>39</v>
      </c>
      <c r="B61" s="65" t="s">
        <v>32</v>
      </c>
      <c r="C61" s="65" t="s">
        <v>33</v>
      </c>
      <c r="D61" s="65" t="s">
        <v>32</v>
      </c>
      <c r="E61" s="65" t="s">
        <v>33</v>
      </c>
      <c r="F61" s="65" t="s">
        <v>32</v>
      </c>
      <c r="G61" s="65" t="s">
        <v>33</v>
      </c>
      <c r="H61" s="65" t="s">
        <v>32</v>
      </c>
      <c r="I61" s="65" t="s">
        <v>33</v>
      </c>
      <c r="J61" s="65" t="s">
        <v>32</v>
      </c>
      <c r="K61" s="65" t="s">
        <v>33</v>
      </c>
      <c r="L61" s="183"/>
      <c r="M61" s="184"/>
      <c r="N61" s="183"/>
      <c r="O61" s="184"/>
      <c r="P61" s="68">
        <f t="shared" si="69"/>
        <v>40</v>
      </c>
      <c r="Q61" s="69" t="e">
        <f t="shared" si="76"/>
        <v>#REF!</v>
      </c>
      <c r="R61" s="288" t="str">
        <f t="shared" si="70"/>
        <v>Игумнов</v>
      </c>
      <c r="S61" s="76" t="s">
        <v>10</v>
      </c>
      <c r="T61" s="77" t="s">
        <v>9</v>
      </c>
      <c r="U61" s="73">
        <f t="shared" si="71"/>
        <v>0</v>
      </c>
      <c r="V61" s="62">
        <f t="shared" si="72"/>
        <v>0</v>
      </c>
      <c r="W61" s="62"/>
      <c r="X61" s="79" t="s">
        <v>34</v>
      </c>
      <c r="Y61" s="7"/>
      <c r="Z61" s="7"/>
      <c r="AA61" s="7"/>
      <c r="AB61" s="13"/>
      <c r="AC61" s="13"/>
      <c r="AD61" s="13"/>
    </row>
    <row r="62" ht="14.25">
      <c r="A62" s="64" t="s">
        <v>40</v>
      </c>
      <c r="B62" s="65" t="s">
        <v>32</v>
      </c>
      <c r="C62" s="65" t="s">
        <v>33</v>
      </c>
      <c r="D62" s="65" t="s">
        <v>32</v>
      </c>
      <c r="E62" s="65" t="s">
        <v>33</v>
      </c>
      <c r="F62" s="65" t="s">
        <v>32</v>
      </c>
      <c r="G62" s="65" t="s">
        <v>33</v>
      </c>
      <c r="H62" s="65" t="s">
        <v>32</v>
      </c>
      <c r="I62" s="65" t="s">
        <v>33</v>
      </c>
      <c r="J62" s="65" t="s">
        <v>32</v>
      </c>
      <c r="K62" s="65" t="s">
        <v>33</v>
      </c>
      <c r="L62" s="66"/>
      <c r="M62" s="66"/>
      <c r="N62" s="66"/>
      <c r="O62" s="66"/>
      <c r="P62" s="68">
        <f t="shared" si="69"/>
        <v>40</v>
      </c>
      <c r="Q62" s="69" t="e">
        <f t="shared" si="76"/>
        <v>#REF!</v>
      </c>
      <c r="R62" s="288" t="str">
        <f t="shared" si="70"/>
        <v>Душин</v>
      </c>
      <c r="S62" s="76" t="s">
        <v>10</v>
      </c>
      <c r="T62" s="77" t="s">
        <v>9</v>
      </c>
      <c r="U62" s="73">
        <f t="shared" si="71"/>
        <v>0</v>
      </c>
      <c r="V62" s="62">
        <f t="shared" ref="V62:V64" si="77">COUNTIF(U62,C62)+COUNTIF(U62,E62)+COUNTIF(U62,G62)+COUNTIF(U62,I62)+COUNTIF(U62,K62)+COUNTIF(U62,M62)+COUNTIF(U62,O62)</f>
        <v>0</v>
      </c>
      <c r="W62" s="62"/>
      <c r="X62" s="74" t="s">
        <v>38</v>
      </c>
      <c r="Y62" s="7"/>
      <c r="Z62" s="7"/>
      <c r="AA62" s="7"/>
      <c r="AB62" s="13"/>
      <c r="AC62" s="13"/>
      <c r="AD62" s="13"/>
    </row>
    <row r="63" ht="14.25">
      <c r="A63" s="64" t="s">
        <v>31</v>
      </c>
      <c r="B63" s="65" t="s">
        <v>32</v>
      </c>
      <c r="C63" s="65" t="s">
        <v>33</v>
      </c>
      <c r="D63" s="65" t="s">
        <v>32</v>
      </c>
      <c r="E63" s="65" t="s">
        <v>33</v>
      </c>
      <c r="F63" s="65" t="s">
        <v>32</v>
      </c>
      <c r="G63" s="65" t="s">
        <v>33</v>
      </c>
      <c r="H63" s="65" t="s">
        <v>32</v>
      </c>
      <c r="I63" s="65" t="s">
        <v>33</v>
      </c>
      <c r="J63" s="65" t="s">
        <v>32</v>
      </c>
      <c r="K63" s="65" t="s">
        <v>33</v>
      </c>
      <c r="L63" s="66"/>
      <c r="M63" s="273"/>
      <c r="N63" s="66"/>
      <c r="O63" s="273"/>
      <c r="P63" s="289">
        <f t="shared" si="69"/>
        <v>40</v>
      </c>
      <c r="Q63" s="320" t="e">
        <f t="shared" si="76"/>
        <v>#REF!</v>
      </c>
      <c r="R63" s="290" t="s">
        <v>31</v>
      </c>
      <c r="S63" s="173" t="s">
        <v>58</v>
      </c>
      <c r="T63" s="77" t="s">
        <v>59</v>
      </c>
      <c r="U63" s="227">
        <f t="shared" si="71"/>
        <v>0</v>
      </c>
      <c r="V63" s="62">
        <f>COUNTIF(S63,B63)+COUNTIF(S63,D63)+COUNTIF(S63,F63)+COUNTIF(S63,H63)+COUNTIF(S63,J63)+COUNTIF(S63,L63)+COUNTIF(S63,N63)</f>
        <v>0</v>
      </c>
      <c r="W63" s="227"/>
      <c r="X63" s="74" t="s">
        <v>38</v>
      </c>
      <c r="Y63" s="7"/>
      <c r="Z63" s="7"/>
      <c r="AA63" s="7"/>
      <c r="AB63" s="13"/>
      <c r="AC63" s="13"/>
      <c r="AD63" s="13"/>
    </row>
    <row r="64" ht="14.25">
      <c r="A64" s="64" t="s">
        <v>42</v>
      </c>
      <c r="B64" s="65" t="s">
        <v>32</v>
      </c>
      <c r="C64" s="65" t="s">
        <v>33</v>
      </c>
      <c r="D64" s="65" t="s">
        <v>32</v>
      </c>
      <c r="E64" s="65" t="s">
        <v>33</v>
      </c>
      <c r="F64" s="65" t="s">
        <v>32</v>
      </c>
      <c r="G64" s="65" t="s">
        <v>33</v>
      </c>
      <c r="H64" s="65" t="s">
        <v>32</v>
      </c>
      <c r="I64" s="65" t="s">
        <v>33</v>
      </c>
      <c r="J64" s="65" t="s">
        <v>32</v>
      </c>
      <c r="K64" s="65" t="s">
        <v>33</v>
      </c>
      <c r="L64" s="66"/>
      <c r="M64" s="66"/>
      <c r="N64" s="66"/>
      <c r="O64" s="66"/>
      <c r="P64" s="68">
        <f t="shared" si="69"/>
        <v>40</v>
      </c>
      <c r="Q64" s="69" t="e">
        <f t="shared" si="76"/>
        <v>#REF!</v>
      </c>
      <c r="R64" s="288" t="str">
        <f t="shared" si="70"/>
        <v>Юращик</v>
      </c>
      <c r="S64" s="76" t="s">
        <v>10</v>
      </c>
      <c r="T64" s="77" t="s">
        <v>9</v>
      </c>
      <c r="U64" s="73">
        <f t="shared" si="71"/>
        <v>0</v>
      </c>
      <c r="V64" s="62">
        <f t="shared" si="77"/>
        <v>0</v>
      </c>
      <c r="W64" s="62"/>
      <c r="X64" s="74" t="s">
        <v>38</v>
      </c>
      <c r="Y64" s="7"/>
      <c r="Z64" s="7"/>
      <c r="AA64" s="7"/>
      <c r="AB64" s="13"/>
      <c r="AC64" s="13"/>
      <c r="AD64" s="13"/>
    </row>
    <row r="65" ht="14.4">
      <c r="A65" s="81" t="s">
        <v>43</v>
      </c>
      <c r="B65" s="109"/>
      <c r="C65" s="335"/>
      <c r="D65" s="109"/>
      <c r="E65" s="335"/>
      <c r="F65" s="109"/>
      <c r="G65" s="335"/>
      <c r="H65" s="109"/>
      <c r="I65" s="335"/>
      <c r="J65" s="109"/>
      <c r="K65" s="335"/>
      <c r="L65" s="109"/>
      <c r="M65" s="335"/>
      <c r="N65" s="109"/>
      <c r="O65" s="335"/>
      <c r="P65" s="68">
        <f t="shared" si="69"/>
        <v>0</v>
      </c>
      <c r="Q65" s="69">
        <f t="shared" si="76"/>
        <v>-24</v>
      </c>
      <c r="R65" s="288" t="s">
        <v>43</v>
      </c>
      <c r="S65" s="149" t="s">
        <v>12</v>
      </c>
      <c r="T65" s="262" t="s">
        <v>11</v>
      </c>
      <c r="U65" s="73">
        <f t="shared" si="71"/>
        <v>0</v>
      </c>
      <c r="V65" s="227">
        <f t="shared" ref="V65:V87" si="78">COUNTIF(S65,B65)+COUNTIF(S65,D65)+COUNTIF(S65,F65)+COUNTIF(S65,H65)+COUNTIF(S65,J65)+COUNTIF(S65,L65)+COUNTIF(S65,N65)</f>
        <v>0</v>
      </c>
      <c r="W65" s="62"/>
      <c r="X65" s="74" t="s">
        <v>44</v>
      </c>
      <c r="Y65" s="7"/>
      <c r="Z65" s="7"/>
      <c r="AA65" s="7"/>
      <c r="AB65" s="13"/>
      <c r="AC65" s="13"/>
      <c r="AD65" s="13"/>
    </row>
    <row r="66" ht="14.4">
      <c r="A66" s="81" t="s">
        <v>45</v>
      </c>
      <c r="B66" s="66"/>
      <c r="C66" s="66"/>
      <c r="D66" s="76"/>
      <c r="E66" s="78"/>
      <c r="F66" s="173"/>
      <c r="G66" s="243"/>
      <c r="H66" s="82"/>
      <c r="I66" s="82"/>
      <c r="J66" s="67"/>
      <c r="K66" s="66"/>
      <c r="L66" s="173"/>
      <c r="M66" s="78"/>
      <c r="N66" s="173"/>
      <c r="O66" s="78"/>
      <c r="P66" s="68">
        <f t="shared" si="69"/>
        <v>0</v>
      </c>
      <c r="Q66" s="69">
        <f t="shared" si="76"/>
        <v>-24</v>
      </c>
      <c r="R66" s="288" t="str">
        <f t="shared" si="70"/>
        <v>Пузырь</v>
      </c>
      <c r="S66" s="76" t="s">
        <v>10</v>
      </c>
      <c r="T66" s="77" t="s">
        <v>9</v>
      </c>
      <c r="U66" s="73">
        <f t="shared" si="71"/>
        <v>0</v>
      </c>
      <c r="V66" s="62">
        <f t="shared" si="78"/>
        <v>0</v>
      </c>
      <c r="W66" s="62"/>
      <c r="X66" s="74" t="s">
        <v>34</v>
      </c>
      <c r="Y66" s="7"/>
      <c r="Z66" s="7"/>
      <c r="AA66" s="7"/>
      <c r="AB66" s="13"/>
      <c r="AC66" s="13"/>
      <c r="AD66" s="13"/>
    </row>
    <row r="67" ht="14.4">
      <c r="A67" s="81" t="s">
        <v>46</v>
      </c>
      <c r="B67" s="183"/>
      <c r="C67" s="183"/>
      <c r="D67" s="183"/>
      <c r="E67" s="183"/>
      <c r="F67" s="183"/>
      <c r="G67" s="183"/>
      <c r="H67" s="120"/>
      <c r="I67" s="120"/>
      <c r="J67" s="120"/>
      <c r="K67" s="120"/>
      <c r="L67" s="183"/>
      <c r="M67" s="183"/>
      <c r="N67" s="183"/>
      <c r="O67" s="183"/>
      <c r="P67" s="68">
        <f t="shared" si="69"/>
        <v>0</v>
      </c>
      <c r="Q67" s="69">
        <f t="shared" si="76"/>
        <v>-24</v>
      </c>
      <c r="R67" s="288" t="str">
        <f t="shared" si="70"/>
        <v>Голышев</v>
      </c>
      <c r="S67" s="76" t="s">
        <v>10</v>
      </c>
      <c r="T67" s="77" t="s">
        <v>9</v>
      </c>
      <c r="U67" s="73">
        <f t="shared" si="71"/>
        <v>0</v>
      </c>
      <c r="V67" s="62">
        <f t="shared" si="78"/>
        <v>0</v>
      </c>
      <c r="W67" s="62"/>
      <c r="X67" s="74" t="s">
        <v>34</v>
      </c>
      <c r="Y67" s="7"/>
      <c r="Z67" s="7"/>
      <c r="AA67" s="7"/>
      <c r="AB67" s="13"/>
      <c r="AC67" s="13"/>
      <c r="AD67" s="13"/>
    </row>
    <row r="68" ht="14.4">
      <c r="A68" s="81" t="s">
        <v>47</v>
      </c>
      <c r="B68" s="120"/>
      <c r="C68" s="120"/>
      <c r="D68" s="120"/>
      <c r="E68" s="120"/>
      <c r="F68" s="196"/>
      <c r="G68" s="196"/>
      <c r="H68" s="183"/>
      <c r="I68" s="120"/>
      <c r="J68" s="183"/>
      <c r="K68" s="120"/>
      <c r="L68" s="120"/>
      <c r="M68" s="120"/>
      <c r="N68" s="196"/>
      <c r="O68" s="196"/>
      <c r="P68" s="68">
        <f t="shared" si="69"/>
        <v>0</v>
      </c>
      <c r="Q68" s="69">
        <f t="shared" si="76"/>
        <v>-24</v>
      </c>
      <c r="R68" s="288" t="str">
        <f t="shared" si="70"/>
        <v>Торубара</v>
      </c>
      <c r="S68" s="76" t="s">
        <v>10</v>
      </c>
      <c r="T68" s="77" t="s">
        <v>9</v>
      </c>
      <c r="U68" s="73">
        <f t="shared" si="71"/>
        <v>0</v>
      </c>
      <c r="V68" s="62">
        <f t="shared" si="78"/>
        <v>0</v>
      </c>
      <c r="W68" s="62"/>
      <c r="X68" s="74" t="s">
        <v>34</v>
      </c>
      <c r="Y68" s="7"/>
      <c r="Z68" s="7"/>
      <c r="AA68" s="7"/>
      <c r="AB68" s="13"/>
      <c r="AC68" s="13"/>
      <c r="AD68" s="13"/>
    </row>
    <row r="69" ht="14.4">
      <c r="A69" s="81" t="s">
        <v>48</v>
      </c>
      <c r="B69" s="343"/>
      <c r="C69" s="110"/>
      <c r="D69" s="339"/>
      <c r="E69" s="110"/>
      <c r="F69" s="108"/>
      <c r="G69" s="108"/>
      <c r="H69" s="316"/>
      <c r="I69" s="107"/>
      <c r="J69" s="316"/>
      <c r="K69" s="333"/>
      <c r="L69" s="108"/>
      <c r="M69" s="108"/>
      <c r="N69" s="108"/>
      <c r="O69" s="108"/>
      <c r="P69" s="68">
        <f t="shared" si="69"/>
        <v>0</v>
      </c>
      <c r="Q69" s="69">
        <f t="shared" si="76"/>
        <v>-24</v>
      </c>
      <c r="R69" s="288" t="str">
        <f t="shared" si="70"/>
        <v>Стрыгин</v>
      </c>
      <c r="S69" s="71" t="s">
        <v>8</v>
      </c>
      <c r="T69" s="72" t="s">
        <v>7</v>
      </c>
      <c r="U69" s="73">
        <f t="shared" si="71"/>
        <v>0</v>
      </c>
      <c r="V69" s="62">
        <f t="shared" si="78"/>
        <v>0</v>
      </c>
      <c r="W69" s="62"/>
      <c r="X69" s="74" t="s">
        <v>49</v>
      </c>
      <c r="Y69" s="7"/>
      <c r="Z69" s="7"/>
      <c r="AA69" s="7"/>
      <c r="AB69" s="13"/>
      <c r="AC69" s="13"/>
      <c r="AD69" s="13"/>
    </row>
    <row r="70" ht="14.4">
      <c r="A70" s="81" t="s">
        <v>50</v>
      </c>
      <c r="D70" s="72"/>
      <c r="E70" s="83"/>
      <c r="F70" s="262"/>
      <c r="G70" s="77"/>
      <c r="H70" s="67"/>
      <c r="I70" s="67"/>
      <c r="J70" s="72"/>
      <c r="K70" s="251"/>
      <c r="L70" s="72"/>
      <c r="M70" s="156"/>
      <c r="N70" s="262"/>
      <c r="O70" s="83"/>
      <c r="P70" s="68">
        <f>K53+E70+G70+I70+K70+M70+O70</f>
        <v>0</v>
      </c>
      <c r="Q70" s="69">
        <f t="shared" si="76"/>
        <v>-24</v>
      </c>
      <c r="R70" s="288" t="str">
        <f t="shared" si="70"/>
        <v>Фрик</v>
      </c>
      <c r="S70" s="71" t="s">
        <v>12</v>
      </c>
      <c r="T70" s="72" t="s">
        <v>11</v>
      </c>
      <c r="U70" s="73">
        <f>COUNTIF(T70,J53)+COUNTIF(T70,D70)+COUNTIF(T70,F70)+COUNTIF(T70,H70)+COUNTIF(T70,J70)+COUNTIF(T70,L70)+COUNTIF(T70,N70)</f>
        <v>0</v>
      </c>
      <c r="V70" s="62">
        <f>COUNTIF(S70,J53)+COUNTIF(S70,D70)+COUNTIF(S70,F70)+COUNTIF(S70,H70)+COUNTIF(S70,J70)+COUNTIF(S70,L70)+COUNTIF(S70,N70)</f>
        <v>0</v>
      </c>
      <c r="W70" s="62"/>
      <c r="X70" s="74" t="s">
        <v>44</v>
      </c>
      <c r="Y70" s="7"/>
      <c r="Z70" s="7"/>
      <c r="AA70" s="7"/>
      <c r="AB70" s="13"/>
      <c r="AC70" s="13"/>
      <c r="AD70" s="13"/>
    </row>
    <row r="71" ht="14.4">
      <c r="A71" s="88" t="s">
        <v>51</v>
      </c>
      <c r="B71" s="257"/>
      <c r="C71" s="107"/>
      <c r="D71" s="111"/>
      <c r="E71" s="108"/>
      <c r="F71" s="111"/>
      <c r="G71" s="108"/>
      <c r="H71" s="344"/>
      <c r="I71" s="342"/>
      <c r="J71" s="344"/>
      <c r="K71" s="110"/>
      <c r="L71" s="150"/>
      <c r="M71" s="150"/>
      <c r="N71" s="108"/>
      <c r="O71" s="108"/>
      <c r="P71" s="68">
        <f t="shared" si="69"/>
        <v>0</v>
      </c>
      <c r="Q71" s="69">
        <f t="shared" si="76"/>
        <v>0</v>
      </c>
      <c r="R71" s="288" t="str">
        <f t="shared" si="70"/>
        <v>Истрашкин</v>
      </c>
      <c r="S71" s="71" t="s">
        <v>10</v>
      </c>
      <c r="T71" s="72" t="s">
        <v>9</v>
      </c>
      <c r="U71" s="73">
        <f t="shared" si="71"/>
        <v>0</v>
      </c>
      <c r="V71" s="62">
        <f t="shared" si="78"/>
        <v>0</v>
      </c>
      <c r="W71" s="62"/>
      <c r="X71" s="74" t="s">
        <v>34</v>
      </c>
      <c r="Y71" s="7"/>
      <c r="Z71" s="7"/>
      <c r="AA71" s="7"/>
      <c r="AB71" s="13"/>
      <c r="AC71" s="13"/>
      <c r="AD71" s="13"/>
    </row>
    <row r="72" ht="14.4">
      <c r="A72" s="92"/>
      <c r="B72" s="53">
        <v>46223</v>
      </c>
      <c r="C72" s="53"/>
      <c r="D72" s="53">
        <v>46224</v>
      </c>
      <c r="E72" s="53"/>
      <c r="F72" s="53">
        <v>46225</v>
      </c>
      <c r="G72" s="53"/>
      <c r="H72" s="53">
        <v>46226</v>
      </c>
      <c r="I72" s="53"/>
      <c r="J72" s="53">
        <v>46227</v>
      </c>
      <c r="K72" s="53"/>
      <c r="L72" s="53">
        <v>46228</v>
      </c>
      <c r="M72" s="53"/>
      <c r="N72" s="53">
        <v>46229</v>
      </c>
      <c r="O72" s="54"/>
      <c r="P72" s="68"/>
      <c r="Q72" s="67"/>
      <c r="R72" s="297"/>
      <c r="S72" s="138"/>
      <c r="T72" s="138"/>
      <c r="U72" s="60" t="s">
        <v>27</v>
      </c>
      <c r="V72" s="61" t="s">
        <v>28</v>
      </c>
      <c r="W72" s="62" t="s">
        <v>29</v>
      </c>
      <c r="X72" s="7"/>
      <c r="Y72" s="7"/>
      <c r="Z72" s="7"/>
      <c r="AA72" s="7"/>
      <c r="AB72" s="13"/>
      <c r="AC72" s="13"/>
      <c r="AD72" s="13"/>
    </row>
    <row r="73" ht="14.4">
      <c r="A73" s="314"/>
      <c r="B73" s="314"/>
      <c r="C73" s="314"/>
      <c r="D73" s="314"/>
      <c r="E73" s="314"/>
      <c r="F73" s="314"/>
      <c r="G73" s="314"/>
      <c r="H73" s="314"/>
      <c r="I73" s="314"/>
      <c r="J73" s="314"/>
      <c r="K73" s="314"/>
      <c r="L73" s="314"/>
      <c r="M73" s="314"/>
      <c r="N73" s="314"/>
      <c r="O73" s="314"/>
      <c r="P73" s="314"/>
      <c r="Q73" s="98"/>
      <c r="R73" s="139"/>
      <c r="S73" s="139"/>
      <c r="T73" s="139"/>
      <c r="U73" s="127"/>
      <c r="V73" s="127"/>
      <c r="W73" s="128"/>
      <c r="X73" s="7"/>
      <c r="Y73" s="7"/>
      <c r="Z73" s="7"/>
      <c r="AA73" s="7"/>
      <c r="AB73" s="13"/>
      <c r="AC73" s="13"/>
      <c r="AD73" s="13"/>
    </row>
    <row r="74" ht="14.4">
      <c r="A74" s="52"/>
      <c r="B74" s="56" t="s">
        <v>17</v>
      </c>
      <c r="C74" s="116"/>
      <c r="D74" s="56" t="s">
        <v>18</v>
      </c>
      <c r="E74" s="116"/>
      <c r="F74" s="56" t="s">
        <v>19</v>
      </c>
      <c r="G74" s="56"/>
      <c r="H74" s="56" t="s">
        <v>20</v>
      </c>
      <c r="I74" s="116"/>
      <c r="J74" s="129" t="s">
        <v>21</v>
      </c>
      <c r="K74" s="129"/>
      <c r="L74" s="56" t="s">
        <v>22</v>
      </c>
      <c r="M74" s="56"/>
      <c r="N74" s="56" t="s">
        <v>23</v>
      </c>
      <c r="O74" s="56"/>
      <c r="P74" s="56" t="s">
        <v>24</v>
      </c>
      <c r="Q74" s="56"/>
      <c r="R74" s="117"/>
      <c r="S74" s="143"/>
      <c r="T74" s="143"/>
      <c r="U74" s="62"/>
      <c r="V74" s="62"/>
      <c r="W74" s="62"/>
      <c r="X74" s="51"/>
      <c r="Y74" s="7"/>
      <c r="Z74" s="7"/>
      <c r="AA74" s="7"/>
      <c r="AB74" s="13"/>
      <c r="AC74" s="13"/>
      <c r="AD74" s="13"/>
    </row>
    <row r="75" ht="14.4">
      <c r="A75" s="52"/>
      <c r="B75" s="53">
        <v>46230</v>
      </c>
      <c r="C75" s="53"/>
      <c r="D75" s="53">
        <v>46231</v>
      </c>
      <c r="E75" s="53"/>
      <c r="F75" s="53">
        <v>46232</v>
      </c>
      <c r="G75" s="53"/>
      <c r="H75" s="53">
        <v>46233</v>
      </c>
      <c r="I75" s="53"/>
      <c r="J75" s="53">
        <v>46234</v>
      </c>
      <c r="K75" s="53"/>
      <c r="L75" s="53">
        <v>46235</v>
      </c>
      <c r="M75" s="53"/>
      <c r="N75" s="53">
        <v>46236</v>
      </c>
      <c r="O75" s="53"/>
      <c r="P75" s="55" t="s">
        <v>25</v>
      </c>
      <c r="Q75" s="56" t="s">
        <v>26</v>
      </c>
      <c r="R75" s="287"/>
      <c r="S75" s="147"/>
      <c r="T75" s="147"/>
      <c r="U75" s="60" t="s">
        <v>27</v>
      </c>
      <c r="V75" s="61" t="s">
        <v>28</v>
      </c>
      <c r="W75" s="62" t="s">
        <v>29</v>
      </c>
      <c r="X75" s="63" t="s">
        <v>30</v>
      </c>
      <c r="Y75" s="7"/>
      <c r="Z75" s="7"/>
      <c r="AA75" s="7"/>
      <c r="AB75" s="13"/>
      <c r="AC75" s="13"/>
      <c r="AD75" s="13"/>
    </row>
    <row r="76" ht="14.4">
      <c r="A76" s="64" t="s">
        <v>35</v>
      </c>
      <c r="B76" s="148" t="s">
        <v>32</v>
      </c>
      <c r="C76" s="148" t="s">
        <v>33</v>
      </c>
      <c r="D76" s="148" t="s">
        <v>32</v>
      </c>
      <c r="E76" s="148" t="s">
        <v>33</v>
      </c>
      <c r="F76" s="148" t="s">
        <v>32</v>
      </c>
      <c r="G76" s="148" t="s">
        <v>33</v>
      </c>
      <c r="H76" s="148" t="s">
        <v>32</v>
      </c>
      <c r="I76" s="148" t="s">
        <v>33</v>
      </c>
      <c r="J76" s="65" t="s">
        <v>32</v>
      </c>
      <c r="K76" s="65" t="s">
        <v>33</v>
      </c>
      <c r="L76" s="66"/>
      <c r="M76" s="66"/>
      <c r="N76" s="66"/>
      <c r="O76" s="66"/>
      <c r="P76" s="68">
        <f t="shared" ref="P76:P87" si="79">C76+E76+G76+I76+K76+M76+O76</f>
        <v>40</v>
      </c>
      <c r="Q76" s="69" t="e">
        <f t="shared" si="76"/>
        <v>#REF!</v>
      </c>
      <c r="R76" s="288" t="str">
        <f t="shared" ref="R76:R87" si="80">A76</f>
        <v>Рычков</v>
      </c>
      <c r="S76" s="76" t="s">
        <v>10</v>
      </c>
      <c r="T76" s="77" t="s">
        <v>9</v>
      </c>
      <c r="U76" s="73">
        <f t="shared" ref="U76:U87" si="81">COUNTIF(T76,B76)+COUNTIF(T76,D76)+COUNTIF(T76,F76)+COUNTIF(T76,H76)+COUNTIF(T76,J76)+COUNTIF(T76,L76)+COUNTIF(T76,N76)</f>
        <v>0</v>
      </c>
      <c r="V76" s="62">
        <f t="shared" si="78"/>
        <v>0</v>
      </c>
      <c r="W76" s="62"/>
      <c r="X76" s="74" t="s">
        <v>34</v>
      </c>
      <c r="Y76" s="7"/>
      <c r="Z76" s="7"/>
      <c r="AA76" s="7"/>
      <c r="AB76" s="13"/>
      <c r="AC76" s="13"/>
      <c r="AD76" s="13"/>
    </row>
    <row r="77" ht="14.4">
      <c r="A77" s="64" t="s">
        <v>39</v>
      </c>
      <c r="B77" s="65" t="s">
        <v>32</v>
      </c>
      <c r="C77" s="65" t="s">
        <v>33</v>
      </c>
      <c r="D77" s="65" t="s">
        <v>32</v>
      </c>
      <c r="E77" s="65" t="s">
        <v>33</v>
      </c>
      <c r="F77" s="65" t="s">
        <v>32</v>
      </c>
      <c r="G77" s="65" t="s">
        <v>33</v>
      </c>
      <c r="H77" s="65" t="s">
        <v>32</v>
      </c>
      <c r="I77" s="65" t="s">
        <v>33</v>
      </c>
      <c r="J77" s="65" t="s">
        <v>32</v>
      </c>
      <c r="K77" s="65" t="s">
        <v>33</v>
      </c>
      <c r="L77" s="120"/>
      <c r="M77" s="120"/>
      <c r="N77" s="120"/>
      <c r="O77" s="120"/>
      <c r="P77" s="68">
        <f t="shared" si="79"/>
        <v>40</v>
      </c>
      <c r="Q77" s="69" t="e">
        <f t="shared" si="76"/>
        <v>#REF!</v>
      </c>
      <c r="R77" s="288" t="str">
        <f t="shared" si="80"/>
        <v>Игумнов</v>
      </c>
      <c r="S77" s="76" t="s">
        <v>10</v>
      </c>
      <c r="T77" s="77" t="s">
        <v>9</v>
      </c>
      <c r="U77" s="73">
        <f t="shared" si="81"/>
        <v>0</v>
      </c>
      <c r="V77" s="62">
        <f t="shared" si="78"/>
        <v>0</v>
      </c>
      <c r="W77" s="62"/>
      <c r="X77" s="79" t="s">
        <v>34</v>
      </c>
      <c r="Y77" s="7"/>
      <c r="Z77" s="7"/>
      <c r="AA77" s="7"/>
      <c r="AB77" s="13"/>
      <c r="AC77" s="13"/>
      <c r="AD77" s="13"/>
    </row>
    <row r="78" ht="14.4">
      <c r="A78" s="64" t="s">
        <v>40</v>
      </c>
      <c r="B78" s="65" t="s">
        <v>32</v>
      </c>
      <c r="C78" s="65" t="s">
        <v>33</v>
      </c>
      <c r="D78" s="65" t="s">
        <v>32</v>
      </c>
      <c r="E78" s="65" t="s">
        <v>33</v>
      </c>
      <c r="F78" s="65" t="s">
        <v>32</v>
      </c>
      <c r="G78" s="65" t="s">
        <v>33</v>
      </c>
      <c r="H78" s="65" t="s">
        <v>32</v>
      </c>
      <c r="I78" s="65" t="s">
        <v>33</v>
      </c>
      <c r="J78" s="65" t="s">
        <v>32</v>
      </c>
      <c r="K78" s="65" t="s">
        <v>33</v>
      </c>
      <c r="L78" s="201"/>
      <c r="M78" s="283"/>
      <c r="N78" s="201"/>
      <c r="O78" s="283"/>
      <c r="P78" s="68">
        <f t="shared" si="79"/>
        <v>40</v>
      </c>
      <c r="Q78" s="69" t="e">
        <f t="shared" si="76"/>
        <v>#REF!</v>
      </c>
      <c r="R78" s="288" t="str">
        <f t="shared" si="80"/>
        <v>Душин</v>
      </c>
      <c r="S78" s="76" t="s">
        <v>10</v>
      </c>
      <c r="T78" s="77" t="s">
        <v>9</v>
      </c>
      <c r="U78" s="73">
        <f>COUNTIF(T77,B77)+COUNTIF(T77,D77)+COUNTIF(T77,F77)+COUNTIF(T77,H77)+COUNTIF(T77,J77)+COUNTIF(T77,L77)+COUNTIF(T77,N77)</f>
        <v>0</v>
      </c>
      <c r="V78" s="62">
        <f t="shared" si="78"/>
        <v>0</v>
      </c>
      <c r="W78" s="62"/>
      <c r="X78" s="74" t="s">
        <v>38</v>
      </c>
      <c r="Y78" s="7"/>
      <c r="Z78" s="7"/>
      <c r="AA78" s="7"/>
      <c r="AB78" s="13"/>
      <c r="AC78" s="13"/>
      <c r="AD78" s="13"/>
    </row>
    <row r="79" ht="14.4">
      <c r="A79" s="64" t="s">
        <v>31</v>
      </c>
      <c r="B79" s="65" t="s">
        <v>32</v>
      </c>
      <c r="C79" s="65" t="s">
        <v>33</v>
      </c>
      <c r="D79" s="65" t="s">
        <v>32</v>
      </c>
      <c r="E79" s="65" t="s">
        <v>33</v>
      </c>
      <c r="F79" s="65" t="s">
        <v>32</v>
      </c>
      <c r="G79" s="65" t="s">
        <v>33</v>
      </c>
      <c r="H79" s="65" t="s">
        <v>32</v>
      </c>
      <c r="I79" s="65" t="s">
        <v>33</v>
      </c>
      <c r="J79" s="65" t="s">
        <v>32</v>
      </c>
      <c r="K79" s="65" t="s">
        <v>33</v>
      </c>
      <c r="L79" s="66"/>
      <c r="M79" s="66"/>
      <c r="N79" s="66"/>
      <c r="O79" s="66"/>
      <c r="P79" s="289">
        <f t="shared" si="79"/>
        <v>40</v>
      </c>
      <c r="Q79" s="320" t="e">
        <f t="shared" si="76"/>
        <v>#REF!</v>
      </c>
      <c r="R79" s="290" t="s">
        <v>31</v>
      </c>
      <c r="S79" s="173" t="s">
        <v>58</v>
      </c>
      <c r="T79" s="77" t="s">
        <v>59</v>
      </c>
      <c r="U79" s="227">
        <f>COUNTIF(T79,B79)+COUNTIF(T79,D79)+COUNTIF(T79,F79)+COUNTIF(T79,H79)+COUNTIF(T79,J79)+COUNTIF(T79,L79)+COUNTIF(T79,N79)</f>
        <v>0</v>
      </c>
      <c r="V79" s="62">
        <f t="shared" si="78"/>
        <v>0</v>
      </c>
      <c r="W79" s="227"/>
      <c r="X79" s="74" t="s">
        <v>38</v>
      </c>
      <c r="Y79" s="7"/>
      <c r="Z79" s="7"/>
      <c r="AA79" s="7"/>
      <c r="AB79" s="13"/>
      <c r="AC79" s="13"/>
      <c r="AD79" s="13"/>
    </row>
    <row r="80" ht="14.4">
      <c r="A80" s="64" t="s">
        <v>42</v>
      </c>
      <c r="B80" s="65" t="s">
        <v>32</v>
      </c>
      <c r="C80" s="65" t="s">
        <v>33</v>
      </c>
      <c r="D80" s="65" t="s">
        <v>32</v>
      </c>
      <c r="E80" s="65" t="s">
        <v>33</v>
      </c>
      <c r="F80" s="65" t="s">
        <v>32</v>
      </c>
      <c r="G80" s="65" t="s">
        <v>33</v>
      </c>
      <c r="H80" s="65" t="s">
        <v>32</v>
      </c>
      <c r="I80" s="65" t="s">
        <v>33</v>
      </c>
      <c r="J80" s="65" t="s">
        <v>32</v>
      </c>
      <c r="K80" s="65" t="s">
        <v>33</v>
      </c>
      <c r="L80" s="66"/>
      <c r="M80" s="66"/>
      <c r="N80" s="66"/>
      <c r="O80" s="66"/>
      <c r="P80" s="68">
        <f t="shared" si="79"/>
        <v>40</v>
      </c>
      <c r="Q80" s="69" t="e">
        <f t="shared" si="76"/>
        <v>#REF!</v>
      </c>
      <c r="R80" s="288" t="str">
        <f t="shared" si="80"/>
        <v>Юращик</v>
      </c>
      <c r="S80" s="76" t="s">
        <v>10</v>
      </c>
      <c r="T80" s="77" t="s">
        <v>9</v>
      </c>
      <c r="U80" s="73">
        <f>COUNTIF(T78,B78)+COUNTIF(T78,D78)+COUNTIF(T78,F78)+COUNTIF(T78,H78)+COUNTIF(T78,J78)+COUNTIF(T78,L78)+COUNTIF(T78,N78)</f>
        <v>0</v>
      </c>
      <c r="V80" s="62">
        <f t="shared" si="78"/>
        <v>0</v>
      </c>
      <c r="W80" s="62"/>
      <c r="X80" s="74" t="s">
        <v>38</v>
      </c>
      <c r="Y80" s="7"/>
      <c r="Z80" s="7"/>
      <c r="AA80" s="7"/>
      <c r="AB80" s="13"/>
      <c r="AC80" s="13"/>
      <c r="AD80" s="13"/>
    </row>
    <row r="81" ht="14.4">
      <c r="A81" s="81" t="s">
        <v>43</v>
      </c>
      <c r="B81" s="109"/>
      <c r="C81" s="109"/>
      <c r="D81" s="335"/>
      <c r="E81" s="109"/>
      <c r="F81" s="335"/>
      <c r="G81" s="109"/>
      <c r="H81" s="335"/>
      <c r="I81" s="109"/>
      <c r="J81" s="335"/>
      <c r="K81" s="109"/>
      <c r="L81" s="87"/>
      <c r="M81" s="87"/>
      <c r="N81" s="87"/>
      <c r="O81" s="87"/>
      <c r="P81" s="68">
        <f t="shared" si="79"/>
        <v>0</v>
      </c>
      <c r="Q81" s="69">
        <f t="shared" si="76"/>
        <v>-24</v>
      </c>
      <c r="R81" s="288" t="s">
        <v>43</v>
      </c>
      <c r="S81" s="149" t="s">
        <v>12</v>
      </c>
      <c r="T81" s="262" t="s">
        <v>11</v>
      </c>
      <c r="U81" s="73">
        <f>COUNTIF(T81,B81)+COUNTIF(T81,D81)+COUNTIF(T81,F81)+COUNTIF(T81,H81)+COUNTIF(T81,J81)+COUNTIF(T81,L81)+COUNTIF(T81,N81)</f>
        <v>0</v>
      </c>
      <c r="V81" s="227">
        <f t="shared" si="78"/>
        <v>0</v>
      </c>
      <c r="W81" s="62"/>
      <c r="X81" s="74" t="s">
        <v>44</v>
      </c>
      <c r="Y81" s="7"/>
      <c r="Z81" s="7"/>
      <c r="AA81" s="7"/>
      <c r="AB81" s="13"/>
      <c r="AC81" s="13"/>
      <c r="AD81" s="13"/>
    </row>
    <row r="82" ht="14.4">
      <c r="A82" s="81" t="s">
        <v>45</v>
      </c>
      <c r="B82" s="66"/>
      <c r="C82" s="66"/>
      <c r="D82" s="77"/>
      <c r="E82" s="83"/>
      <c r="F82" s="77"/>
      <c r="G82" s="83"/>
      <c r="H82" s="87"/>
      <c r="I82" s="87"/>
      <c r="J82" s="87"/>
      <c r="K82" s="87"/>
      <c r="L82" s="87"/>
      <c r="M82" s="87"/>
      <c r="N82" s="87"/>
      <c r="O82" s="87"/>
      <c r="P82" s="68">
        <f t="shared" si="79"/>
        <v>0</v>
      </c>
      <c r="Q82" s="69">
        <f t="shared" si="76"/>
        <v>-24</v>
      </c>
      <c r="R82" s="288" t="str">
        <f t="shared" si="80"/>
        <v>Пузырь</v>
      </c>
      <c r="S82" s="76" t="s">
        <v>10</v>
      </c>
      <c r="T82" s="77" t="s">
        <v>9</v>
      </c>
      <c r="U82" s="73">
        <f t="shared" si="81"/>
        <v>0</v>
      </c>
      <c r="V82" s="62">
        <f t="shared" si="78"/>
        <v>0</v>
      </c>
      <c r="W82" s="62"/>
      <c r="X82" s="74" t="s">
        <v>34</v>
      </c>
      <c r="Y82" s="7"/>
      <c r="Z82" s="7"/>
      <c r="AA82" s="7"/>
      <c r="AB82" s="13"/>
      <c r="AC82" s="13"/>
      <c r="AD82" s="13"/>
    </row>
    <row r="83" ht="14.4">
      <c r="A83" s="81" t="s">
        <v>46</v>
      </c>
      <c r="B83" s="183"/>
      <c r="C83" s="183"/>
      <c r="D83" s="183"/>
      <c r="E83" s="183"/>
      <c r="F83" s="183"/>
      <c r="G83" s="183"/>
      <c r="H83" s="338"/>
      <c r="I83" s="338"/>
      <c r="J83" s="338"/>
      <c r="K83" s="87"/>
      <c r="L83" s="87"/>
      <c r="M83" s="87"/>
      <c r="N83" s="87"/>
      <c r="O83" s="87"/>
      <c r="P83" s="68">
        <f t="shared" si="79"/>
        <v>0</v>
      </c>
      <c r="Q83" s="69">
        <f t="shared" si="76"/>
        <v>-24</v>
      </c>
      <c r="R83" s="288" t="str">
        <f t="shared" si="80"/>
        <v>Голышев</v>
      </c>
      <c r="S83" s="76" t="s">
        <v>10</v>
      </c>
      <c r="T83" s="77" t="s">
        <v>9</v>
      </c>
      <c r="U83" s="73">
        <f t="shared" si="81"/>
        <v>0</v>
      </c>
      <c r="V83" s="62">
        <f t="shared" si="78"/>
        <v>0</v>
      </c>
      <c r="W83" s="62"/>
      <c r="X83" s="74" t="s">
        <v>34</v>
      </c>
      <c r="Y83" s="7"/>
      <c r="Z83" s="7"/>
      <c r="AA83" s="7"/>
      <c r="AB83" s="13"/>
      <c r="AC83" s="13"/>
      <c r="AD83" s="13"/>
    </row>
    <row r="84" ht="14.4">
      <c r="A84" s="81" t="s">
        <v>47</v>
      </c>
      <c r="B84" s="183"/>
      <c r="C84" s="183"/>
      <c r="D84" s="183"/>
      <c r="E84" s="183"/>
      <c r="F84" s="196"/>
      <c r="G84" s="196"/>
      <c r="H84" s="183"/>
      <c r="I84" s="183"/>
      <c r="J84" s="338"/>
      <c r="K84" s="87"/>
      <c r="L84" s="87"/>
      <c r="M84" s="87"/>
      <c r="N84" s="87"/>
      <c r="O84" s="87"/>
      <c r="P84" s="68">
        <f t="shared" si="79"/>
        <v>0</v>
      </c>
      <c r="Q84" s="69">
        <f t="shared" si="76"/>
        <v>-24</v>
      </c>
      <c r="R84" s="288" t="str">
        <f t="shared" si="80"/>
        <v>Торубара</v>
      </c>
      <c r="S84" s="76" t="s">
        <v>10</v>
      </c>
      <c r="T84" s="77" t="s">
        <v>9</v>
      </c>
      <c r="U84" s="73">
        <f t="shared" si="81"/>
        <v>0</v>
      </c>
      <c r="V84" s="62">
        <f t="shared" si="78"/>
        <v>0</v>
      </c>
      <c r="W84" s="62"/>
      <c r="X84" s="74" t="s">
        <v>34</v>
      </c>
      <c r="Y84" s="7"/>
      <c r="Z84" s="7"/>
      <c r="AA84" s="7"/>
      <c r="AB84" s="13"/>
      <c r="AC84" s="13"/>
      <c r="AD84" s="13"/>
    </row>
    <row r="85" ht="14.4">
      <c r="A85" s="81" t="s">
        <v>48</v>
      </c>
      <c r="B85" s="71"/>
      <c r="C85" s="78"/>
      <c r="D85" s="268"/>
      <c r="E85" s="78"/>
      <c r="F85" s="66"/>
      <c r="G85" s="66"/>
      <c r="H85" s="87"/>
      <c r="I85" s="66"/>
      <c r="J85" s="87"/>
      <c r="K85" s="87"/>
      <c r="L85" s="87"/>
      <c r="M85" s="87"/>
      <c r="N85" s="87"/>
      <c r="O85" s="87"/>
      <c r="P85" s="68">
        <f t="shared" si="79"/>
        <v>0</v>
      </c>
      <c r="Q85" s="69">
        <f t="shared" si="76"/>
        <v>-24</v>
      </c>
      <c r="R85" s="288" t="str">
        <f t="shared" si="80"/>
        <v>Стрыгин</v>
      </c>
      <c r="S85" s="71" t="s">
        <v>8</v>
      </c>
      <c r="T85" s="72" t="s">
        <v>7</v>
      </c>
      <c r="U85" s="73">
        <f>COUNTIF(T85,B85)+COUNTIF(T85,D85)+COUNTIF(T85,F85)+COUNTIF(T85,#REF!)+COUNTIF(T85,J85)+COUNTIF(T85,L85)+COUNTIF(T85,N85)</f>
        <v>0</v>
      </c>
      <c r="V85" s="62">
        <f>COUNTIF(S85,B85)+COUNTIF(S85,D85)+COUNTIF(S85,F85)+COUNTIF(S85,#REF!)+COUNTIF(S85,J85)+COUNTIF(S85,L85)+COUNTIF(S85,N85)</f>
        <v>0</v>
      </c>
      <c r="W85" s="62"/>
      <c r="X85" s="74" t="s">
        <v>49</v>
      </c>
      <c r="Y85" s="7"/>
      <c r="Z85" s="7"/>
      <c r="AA85" s="7"/>
      <c r="AB85" s="13"/>
      <c r="AC85" s="13"/>
      <c r="AD85" s="13"/>
    </row>
    <row r="86" ht="14.4">
      <c r="A86" s="81" t="s">
        <v>50</v>
      </c>
      <c r="B86" s="66"/>
      <c r="C86" s="66"/>
      <c r="D86" s="72"/>
      <c r="E86" s="112"/>
      <c r="F86" s="291"/>
      <c r="G86" s="291"/>
      <c r="I86" s="87"/>
      <c r="J86" s="87"/>
      <c r="K86" s="87"/>
      <c r="L86" s="87"/>
      <c r="M86" s="87"/>
      <c r="N86" s="87"/>
      <c r="O86" s="87"/>
      <c r="P86" s="68">
        <f t="shared" si="79"/>
        <v>0</v>
      </c>
      <c r="Q86" s="69">
        <f t="shared" si="76"/>
        <v>-24</v>
      </c>
      <c r="R86" s="288" t="str">
        <f t="shared" si="80"/>
        <v>Фрик</v>
      </c>
      <c r="S86" s="71" t="s">
        <v>12</v>
      </c>
      <c r="T86" s="72" t="s">
        <v>11</v>
      </c>
      <c r="U86" s="73">
        <f>COUNTIF(T86,B86)+COUNTIF(T86,D86)+COUNTIF(T86,F86)+COUNTIF(T86,H85)+COUNTIF(T86,J86)+COUNTIF(T86,L86)+COUNTIF(T86,N86)</f>
        <v>0</v>
      </c>
      <c r="V86" s="62">
        <f>COUNTIF(S86,B86)+COUNTIF(S86,D86)+COUNTIF(S86,F86)+COUNTIF(S86,H85)+COUNTIF(S86,J86)+COUNTIF(S86,L86)+COUNTIF(S86,N86)</f>
        <v>0</v>
      </c>
      <c r="W86" s="62"/>
      <c r="X86" s="74" t="s">
        <v>44</v>
      </c>
      <c r="Y86" s="7"/>
      <c r="Z86" s="7"/>
      <c r="AA86" s="7"/>
      <c r="AB86" s="13"/>
      <c r="AC86" s="13"/>
      <c r="AD86" s="13"/>
    </row>
    <row r="87" ht="14.4">
      <c r="A87" s="88" t="s">
        <v>51</v>
      </c>
      <c r="B87" s="345"/>
      <c r="C87" s="259"/>
      <c r="D87" s="150"/>
      <c r="E87" s="346"/>
      <c r="F87" s="347"/>
      <c r="G87" s="348"/>
      <c r="H87" s="347"/>
      <c r="I87" s="349"/>
      <c r="J87" s="150"/>
      <c r="K87" s="150"/>
      <c r="L87" s="87"/>
      <c r="M87" s="87"/>
      <c r="N87" s="87"/>
      <c r="O87" s="87"/>
      <c r="P87" s="68">
        <f t="shared" si="79"/>
        <v>0</v>
      </c>
      <c r="Q87" s="69">
        <f t="shared" si="76"/>
        <v>0</v>
      </c>
      <c r="R87" s="288" t="str">
        <f t="shared" si="80"/>
        <v>Истрашкин</v>
      </c>
      <c r="S87" s="71" t="s">
        <v>10</v>
      </c>
      <c r="T87" s="72" t="s">
        <v>9</v>
      </c>
      <c r="U87" s="73">
        <f t="shared" si="81"/>
        <v>0</v>
      </c>
      <c r="V87" s="62">
        <f t="shared" si="78"/>
        <v>0</v>
      </c>
      <c r="W87" s="62"/>
      <c r="X87" s="74" t="s">
        <v>34</v>
      </c>
      <c r="Y87" s="7"/>
      <c r="Z87" s="7"/>
      <c r="AA87" s="7"/>
      <c r="AB87" s="13"/>
      <c r="AC87" s="13"/>
      <c r="AD87" s="13"/>
    </row>
    <row r="88" ht="14.4">
      <c r="A88" s="92"/>
      <c r="B88" s="53">
        <v>46230</v>
      </c>
      <c r="C88" s="53"/>
      <c r="D88" s="53">
        <v>46231</v>
      </c>
      <c r="E88" s="53"/>
      <c r="F88" s="296">
        <v>46232</v>
      </c>
      <c r="G88" s="296"/>
      <c r="H88" s="296">
        <v>46233</v>
      </c>
      <c r="I88" s="53"/>
      <c r="J88" s="53">
        <v>46234</v>
      </c>
      <c r="K88" s="53"/>
      <c r="L88" s="53">
        <v>46235</v>
      </c>
      <c r="M88" s="53"/>
      <c r="N88" s="53">
        <v>46236</v>
      </c>
      <c r="O88" s="53"/>
      <c r="P88" s="68"/>
      <c r="Q88" s="67"/>
      <c r="R88" s="297"/>
      <c r="S88" s="138"/>
      <c r="T88" s="138"/>
      <c r="U88" s="60" t="s">
        <v>27</v>
      </c>
      <c r="V88" s="61" t="s">
        <v>28</v>
      </c>
      <c r="W88" s="62" t="s">
        <v>29</v>
      </c>
      <c r="X88" s="7"/>
      <c r="Y88" s="7"/>
      <c r="Z88" s="7"/>
      <c r="AA88" s="7"/>
      <c r="AB88" s="13"/>
      <c r="AC88" s="13"/>
      <c r="AD88" s="13"/>
    </row>
    <row r="89" ht="14.4">
      <c r="A89" s="35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350"/>
      <c r="Q89" s="351"/>
      <c r="R89" s="139"/>
      <c r="S89" s="139"/>
      <c r="T89" s="139"/>
      <c r="U89" s="127"/>
      <c r="V89" s="127"/>
      <c r="W89" s="128"/>
      <c r="X89" s="7"/>
      <c r="Y89" s="7"/>
      <c r="Z89" s="7"/>
      <c r="AA89" s="7"/>
      <c r="AB89" s="13"/>
      <c r="AC89" s="13"/>
      <c r="AD89" s="13"/>
    </row>
    <row r="90" ht="14.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53"/>
      <c r="R90" s="7"/>
      <c r="S90" s="7"/>
      <c r="T90" s="7"/>
      <c r="U90" s="153"/>
      <c r="V90" s="153"/>
      <c r="W90" s="12"/>
      <c r="X90" s="7"/>
      <c r="Y90" s="7"/>
      <c r="Z90" s="7"/>
      <c r="AA90" s="7"/>
      <c r="AB90" s="13"/>
      <c r="AC90" s="13"/>
      <c r="AD90" s="13"/>
    </row>
    <row r="91" ht="14.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153"/>
      <c r="R91" s="7"/>
      <c r="S91" s="7"/>
      <c r="T91" s="7"/>
      <c r="U91" s="153"/>
      <c r="V91" s="153"/>
      <c r="W91" s="12"/>
      <c r="X91" s="7"/>
      <c r="Y91" s="7"/>
      <c r="Z91" s="7"/>
      <c r="AA91" s="7"/>
      <c r="AB91" s="13"/>
      <c r="AC91" s="13"/>
      <c r="AD91" s="13"/>
    </row>
    <row r="92" ht="14.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153"/>
      <c r="R92" s="7"/>
      <c r="S92" s="7"/>
      <c r="T92" s="7"/>
      <c r="U92" s="153"/>
      <c r="V92" s="153"/>
      <c r="W92" s="12"/>
      <c r="X92" s="7"/>
      <c r="Y92" s="7"/>
      <c r="Z92" s="7"/>
      <c r="AA92" s="7"/>
      <c r="AB92" s="13"/>
      <c r="AC92" s="13"/>
      <c r="AD92" s="13"/>
    </row>
    <row r="93" ht="14.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153"/>
      <c r="R93" s="7"/>
      <c r="S93" s="7"/>
      <c r="T93" s="7"/>
      <c r="U93" s="153"/>
      <c r="V93" s="153"/>
      <c r="W93" s="12"/>
      <c r="X93" s="7"/>
      <c r="Y93" s="7"/>
      <c r="Z93" s="7"/>
      <c r="AA93" s="7"/>
      <c r="AB93" s="13"/>
      <c r="AC93" s="13"/>
      <c r="AD93" s="13"/>
    </row>
    <row r="94" ht="14.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53"/>
      <c r="R94" s="7"/>
      <c r="S94" s="7"/>
      <c r="T94" s="7"/>
      <c r="U94" s="153"/>
      <c r="V94" s="153"/>
      <c r="W94" s="12"/>
      <c r="X94" s="7"/>
      <c r="Y94" s="7"/>
      <c r="Z94" s="7"/>
      <c r="AA94" s="7"/>
      <c r="AB94" s="13"/>
      <c r="AC94" s="13"/>
      <c r="AD94" s="13"/>
    </row>
    <row r="95" ht="14.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153"/>
      <c r="R95" s="7"/>
      <c r="S95" s="7"/>
      <c r="T95" s="7"/>
      <c r="U95" s="153"/>
      <c r="V95" s="153"/>
      <c r="W95" s="12"/>
      <c r="X95" s="7"/>
      <c r="Y95" s="7"/>
      <c r="Z95" s="7"/>
      <c r="AA95" s="7"/>
      <c r="AB95" s="13"/>
      <c r="AC95" s="13"/>
      <c r="AD95" s="13"/>
    </row>
    <row r="96" ht="14.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153"/>
      <c r="R96" s="7"/>
      <c r="S96" s="7"/>
      <c r="T96" s="7"/>
      <c r="U96" s="153"/>
      <c r="V96" s="153"/>
      <c r="W96" s="12"/>
      <c r="X96" s="7"/>
      <c r="Y96" s="7"/>
      <c r="Z96" s="7"/>
      <c r="AA96" s="7"/>
      <c r="AB96" s="13"/>
      <c r="AC96" s="13"/>
      <c r="AD96" s="13"/>
    </row>
    <row r="97" ht="14.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153"/>
      <c r="R97" s="7"/>
      <c r="S97" s="7"/>
      <c r="T97" s="7"/>
      <c r="U97" s="153"/>
      <c r="V97" s="153"/>
      <c r="W97" s="12"/>
      <c r="X97" s="7"/>
      <c r="Y97" s="7"/>
      <c r="Z97" s="7"/>
      <c r="AA97" s="7"/>
      <c r="AB97" s="13"/>
      <c r="AC97" s="13"/>
      <c r="AD97" s="13"/>
    </row>
    <row r="98" ht="14.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53"/>
      <c r="R98" s="7"/>
      <c r="S98" s="7"/>
      <c r="T98" s="7"/>
      <c r="U98" s="153"/>
      <c r="V98" s="153"/>
      <c r="W98" s="12"/>
      <c r="X98" s="7"/>
      <c r="Y98" s="7"/>
      <c r="Z98" s="7"/>
      <c r="AA98" s="7"/>
      <c r="AB98" s="13"/>
      <c r="AC98" s="13"/>
      <c r="AD98" s="13"/>
    </row>
    <row r="99" ht="14.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53"/>
      <c r="R99" s="7"/>
      <c r="S99" s="7"/>
      <c r="T99" s="7"/>
      <c r="U99" s="153"/>
      <c r="V99" s="153"/>
      <c r="W99" s="12"/>
      <c r="X99" s="7"/>
      <c r="Y99" s="7"/>
      <c r="Z99" s="7"/>
      <c r="AA99" s="7"/>
      <c r="AB99" s="13"/>
      <c r="AC99" s="13"/>
      <c r="AD99" s="13"/>
    </row>
    <row r="100" ht="14.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3"/>
      <c r="R100" s="7"/>
      <c r="S100" s="7"/>
      <c r="T100" s="7"/>
      <c r="U100" s="153"/>
      <c r="V100" s="153"/>
      <c r="W100" s="12"/>
      <c r="X100" s="7"/>
      <c r="Y100" s="7"/>
      <c r="Z100" s="7"/>
      <c r="AA100" s="7"/>
      <c r="AB100" s="13"/>
      <c r="AC100" s="13"/>
      <c r="AD100" s="13"/>
    </row>
    <row r="101" ht="14.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3"/>
      <c r="R101" s="7"/>
      <c r="S101" s="7"/>
      <c r="T101" s="7"/>
      <c r="U101" s="153"/>
      <c r="V101" s="153"/>
      <c r="W101" s="12"/>
      <c r="X101" s="7"/>
      <c r="Y101" s="7"/>
      <c r="Z101" s="7"/>
      <c r="AA101" s="7"/>
      <c r="AB101" s="13"/>
      <c r="AC101" s="13"/>
      <c r="AD101" s="13"/>
    </row>
    <row r="102" ht="14.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3"/>
      <c r="R102" s="7"/>
      <c r="S102" s="7"/>
      <c r="T102" s="7"/>
      <c r="U102" s="153"/>
      <c r="V102" s="153"/>
      <c r="W102" s="12"/>
      <c r="X102" s="7"/>
      <c r="Y102" s="7"/>
      <c r="Z102" s="7"/>
      <c r="AA102" s="7"/>
      <c r="AB102" s="13"/>
      <c r="AC102" s="13"/>
      <c r="AD102" s="13"/>
    </row>
    <row r="103" ht="14.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3"/>
      <c r="R103" s="7"/>
      <c r="S103" s="7"/>
      <c r="T103" s="7"/>
      <c r="U103" s="153"/>
      <c r="V103" s="153"/>
      <c r="W103" s="12"/>
      <c r="X103" s="7"/>
      <c r="Y103" s="7"/>
      <c r="Z103" s="7"/>
      <c r="AA103" s="7"/>
      <c r="AB103" s="13"/>
      <c r="AC103" s="13"/>
      <c r="AD103" s="13"/>
    </row>
    <row r="104" ht="14.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3"/>
      <c r="R104" s="7"/>
      <c r="S104" s="7"/>
      <c r="T104" s="7"/>
      <c r="U104" s="153"/>
      <c r="V104" s="153"/>
      <c r="W104" s="12"/>
      <c r="X104" s="7"/>
      <c r="Y104" s="7"/>
      <c r="Z104" s="7"/>
      <c r="AA104" s="7"/>
      <c r="AB104" s="13"/>
      <c r="AC104" s="13"/>
      <c r="AD104" s="13"/>
    </row>
    <row r="105" ht="14.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3"/>
      <c r="R105" s="7"/>
      <c r="S105" s="7"/>
      <c r="T105" s="7"/>
      <c r="U105" s="153"/>
      <c r="V105" s="153"/>
      <c r="W105" s="12"/>
      <c r="X105" s="7"/>
      <c r="Y105" s="7"/>
      <c r="Z105" s="7"/>
      <c r="AA105" s="7"/>
      <c r="AB105" s="13"/>
      <c r="AC105" s="13"/>
      <c r="AD105" s="13"/>
    </row>
    <row r="106" ht="14.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 ht="14.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 ht="14.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 ht="14.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7"/>
      <c r="Q644" s="153"/>
      <c r="R644" s="7"/>
      <c r="S644" s="7"/>
      <c r="T644" s="7"/>
      <c r="U644" s="153"/>
      <c r="V644" s="153"/>
      <c r="W644" s="12"/>
      <c r="X644" s="21"/>
      <c r="Y644" s="7"/>
      <c r="Z644" s="7"/>
      <c r="AA644" s="7"/>
      <c r="AB644" s="13"/>
      <c r="AC644" s="13"/>
      <c r="AD644" s="13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154"/>
      <c r="R645" s="21"/>
      <c r="S645" s="21"/>
      <c r="T645" s="21"/>
      <c r="U645" s="154"/>
      <c r="V645" s="154"/>
      <c r="W645" s="154"/>
      <c r="X645" s="21"/>
      <c r="Y645" s="21"/>
      <c r="Z645" s="21"/>
      <c r="AA645" s="21"/>
      <c r="AB645" s="21"/>
      <c r="AC645" s="21"/>
      <c r="AD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154"/>
      <c r="R646" s="21"/>
      <c r="S646" s="21"/>
      <c r="T646" s="21"/>
      <c r="U646" s="154"/>
      <c r="V646" s="154"/>
      <c r="W646" s="154"/>
      <c r="X646" s="21"/>
      <c r="Y646" s="21"/>
      <c r="Z646" s="21"/>
      <c r="AA646" s="21"/>
      <c r="AB646" s="21"/>
      <c r="AC646" s="21"/>
      <c r="AD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154"/>
      <c r="R647" s="21"/>
      <c r="S647" s="21"/>
      <c r="T647" s="21"/>
      <c r="U647" s="154"/>
      <c r="V647" s="154"/>
      <c r="W647" s="154"/>
      <c r="X647" s="21"/>
      <c r="Y647" s="21"/>
      <c r="Z647" s="21"/>
      <c r="AA647" s="21"/>
      <c r="AB647" s="21"/>
      <c r="AC647" s="21"/>
      <c r="AD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154"/>
      <c r="R648" s="21"/>
      <c r="S648" s="21"/>
      <c r="T648" s="21"/>
      <c r="U648" s="154"/>
      <c r="V648" s="154"/>
      <c r="W648" s="154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154"/>
      <c r="R649" s="21"/>
      <c r="S649" s="21"/>
      <c r="T649" s="21"/>
      <c r="U649" s="154"/>
      <c r="V649" s="154"/>
      <c r="W649" s="154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154"/>
      <c r="R650" s="21"/>
      <c r="S650" s="21"/>
      <c r="T650" s="21"/>
      <c r="U650" s="154"/>
      <c r="V650" s="154"/>
      <c r="W650" s="154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154"/>
      <c r="R651" s="21"/>
      <c r="S651" s="21"/>
      <c r="T651" s="21"/>
      <c r="U651" s="154"/>
      <c r="V651" s="154"/>
      <c r="W651" s="154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154"/>
      <c r="R652" s="21"/>
      <c r="S652" s="21"/>
      <c r="T652" s="21"/>
      <c r="U652" s="154"/>
      <c r="V652" s="154"/>
      <c r="W652" s="154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154"/>
      <c r="R653" s="21"/>
      <c r="S653" s="21"/>
      <c r="T653" s="21"/>
      <c r="U653" s="154"/>
      <c r="V653" s="154"/>
      <c r="W653" s="154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154"/>
      <c r="R654" s="21"/>
      <c r="S654" s="21"/>
      <c r="T654" s="21"/>
      <c r="U654" s="154"/>
      <c r="V654" s="154"/>
      <c r="W654" s="154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154"/>
      <c r="R655" s="21"/>
      <c r="S655" s="21"/>
      <c r="T655" s="21"/>
      <c r="U655" s="154"/>
      <c r="V655" s="154"/>
      <c r="W655" s="154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154"/>
      <c r="R656" s="21"/>
      <c r="S656" s="21"/>
      <c r="T656" s="21"/>
      <c r="U656" s="154"/>
      <c r="V656" s="154"/>
      <c r="W656" s="154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154"/>
      <c r="R657" s="21"/>
      <c r="S657" s="21"/>
      <c r="T657" s="21"/>
      <c r="U657" s="154"/>
      <c r="V657" s="154"/>
      <c r="W657" s="154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154"/>
      <c r="R658" s="21"/>
      <c r="S658" s="21"/>
      <c r="T658" s="21"/>
      <c r="U658" s="154"/>
      <c r="V658" s="154"/>
      <c r="W658" s="154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154"/>
      <c r="R659" s="21"/>
      <c r="S659" s="21"/>
      <c r="T659" s="21"/>
      <c r="U659" s="154"/>
      <c r="V659" s="154"/>
      <c r="W659" s="154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154"/>
      <c r="R660" s="21"/>
      <c r="S660" s="21"/>
      <c r="T660" s="21"/>
      <c r="U660" s="154"/>
      <c r="V660" s="154"/>
      <c r="W660" s="154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154"/>
      <c r="R661" s="21"/>
      <c r="S661" s="21"/>
      <c r="T661" s="21"/>
      <c r="U661" s="154"/>
      <c r="V661" s="154"/>
      <c r="W661" s="154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154"/>
      <c r="R662" s="21"/>
      <c r="S662" s="21"/>
      <c r="T662" s="21"/>
      <c r="U662" s="154"/>
      <c r="V662" s="154"/>
      <c r="W662" s="154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154"/>
      <c r="R663" s="21"/>
      <c r="S663" s="21"/>
      <c r="T663" s="21"/>
      <c r="U663" s="154"/>
      <c r="V663" s="154"/>
      <c r="W663" s="154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154"/>
      <c r="R664" s="21"/>
      <c r="S664" s="21"/>
      <c r="T664" s="21"/>
      <c r="U664" s="154"/>
      <c r="V664" s="154"/>
      <c r="W664" s="154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154"/>
      <c r="R665" s="21"/>
      <c r="S665" s="21"/>
      <c r="T665" s="21"/>
      <c r="U665" s="154"/>
      <c r="V665" s="154"/>
      <c r="W665" s="154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54"/>
      <c r="R666" s="21"/>
      <c r="S666" s="21"/>
      <c r="T666" s="21"/>
      <c r="U666" s="154"/>
      <c r="V666" s="154"/>
      <c r="W666" s="154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54"/>
      <c r="R667" s="21"/>
      <c r="S667" s="21"/>
      <c r="T667" s="21"/>
      <c r="U667" s="154"/>
      <c r="V667" s="154"/>
      <c r="W667" s="154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54"/>
      <c r="R668" s="21"/>
      <c r="S668" s="21"/>
      <c r="T668" s="21"/>
      <c r="U668" s="154"/>
      <c r="V668" s="154"/>
      <c r="W668" s="154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54"/>
      <c r="R669" s="21"/>
      <c r="S669" s="21"/>
      <c r="T669" s="21"/>
      <c r="U669" s="154"/>
      <c r="V669" s="154"/>
      <c r="W669" s="154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54"/>
      <c r="R670" s="21"/>
      <c r="S670" s="21"/>
      <c r="T670" s="21"/>
      <c r="U670" s="154"/>
      <c r="V670" s="154"/>
      <c r="W670" s="154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54"/>
      <c r="R671" s="21"/>
      <c r="S671" s="21"/>
      <c r="T671" s="21"/>
      <c r="U671" s="154"/>
      <c r="V671" s="154"/>
      <c r="W671" s="154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54"/>
      <c r="R672" s="21"/>
      <c r="S672" s="21"/>
      <c r="T672" s="21"/>
      <c r="U672" s="154"/>
      <c r="V672" s="154"/>
      <c r="W672" s="154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54"/>
      <c r="R673" s="21"/>
      <c r="S673" s="21"/>
      <c r="T673" s="21"/>
      <c r="U673" s="154"/>
      <c r="V673" s="154"/>
      <c r="W673" s="154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54"/>
      <c r="R674" s="21"/>
      <c r="S674" s="21"/>
      <c r="T674" s="21"/>
      <c r="U674" s="154"/>
      <c r="V674" s="154"/>
      <c r="W674" s="154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54"/>
      <c r="R675" s="21"/>
      <c r="S675" s="21"/>
      <c r="T675" s="21"/>
      <c r="U675" s="154"/>
      <c r="V675" s="154"/>
      <c r="W675" s="154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54"/>
      <c r="R676" s="21"/>
      <c r="S676" s="21"/>
      <c r="T676" s="21"/>
      <c r="U676" s="154"/>
      <c r="V676" s="154"/>
      <c r="W676" s="154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54"/>
      <c r="R677" s="21"/>
      <c r="S677" s="21"/>
      <c r="T677" s="21"/>
      <c r="U677" s="154"/>
      <c r="V677" s="154"/>
      <c r="W677" s="154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54"/>
      <c r="R678" s="21"/>
      <c r="S678" s="21"/>
      <c r="T678" s="21"/>
      <c r="U678" s="154"/>
      <c r="V678" s="154"/>
      <c r="W678" s="154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54"/>
      <c r="R679" s="21"/>
      <c r="S679" s="21"/>
      <c r="T679" s="21"/>
      <c r="U679" s="154"/>
      <c r="V679" s="154"/>
      <c r="W679" s="154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54"/>
      <c r="R680" s="21"/>
      <c r="S680" s="21"/>
      <c r="T680" s="21"/>
      <c r="U680" s="154"/>
      <c r="V680" s="154"/>
      <c r="W680" s="154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54"/>
      <c r="R681" s="21"/>
      <c r="S681" s="21"/>
      <c r="T681" s="21"/>
      <c r="U681" s="154"/>
      <c r="V681" s="154"/>
      <c r="W681" s="154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54"/>
      <c r="R682" s="21"/>
      <c r="S682" s="21"/>
      <c r="T682" s="21"/>
      <c r="U682" s="154"/>
      <c r="V682" s="154"/>
      <c r="W682" s="154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54"/>
      <c r="R683" s="21"/>
      <c r="S683" s="21"/>
      <c r="T683" s="21"/>
      <c r="U683" s="154"/>
      <c r="V683" s="154"/>
      <c r="W683" s="154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54"/>
      <c r="R684" s="21"/>
      <c r="S684" s="21"/>
      <c r="T684" s="21"/>
      <c r="U684" s="154"/>
      <c r="V684" s="154"/>
      <c r="W684" s="154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54"/>
      <c r="R685" s="21"/>
      <c r="S685" s="21"/>
      <c r="T685" s="21"/>
      <c r="U685" s="154"/>
      <c r="V685" s="154"/>
      <c r="W685" s="154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</sheetData>
  <mergeCells count="15">
    <mergeCell ref="F1:J1"/>
    <mergeCell ref="L1:N5"/>
    <mergeCell ref="F2:K5"/>
    <mergeCell ref="N6:P7"/>
    <mergeCell ref="F7:J7"/>
    <mergeCell ref="A9:Q9"/>
    <mergeCell ref="U9:V9"/>
    <mergeCell ref="P10:Q10"/>
    <mergeCell ref="U10:V10"/>
    <mergeCell ref="A25:Q25"/>
    <mergeCell ref="P26:Q26"/>
    <mergeCell ref="A41:Q41"/>
    <mergeCell ref="P42:Q42"/>
    <mergeCell ref="P58:Q58"/>
    <mergeCell ref="P74:Q7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F95" activeCellId="0" sqref="F95"/>
    </sheetView>
  </sheetViews>
  <sheetFormatPr defaultRowHeight="13.5"/>
  <cols>
    <col customWidth="1" min="1" max="1" width="14.5546875"/>
    <col customWidth="1" min="2" max="2" width="11.88671875"/>
    <col customWidth="1" min="3" max="3" width="4.88671875"/>
    <col customWidth="1" min="4" max="4" width="13.109375"/>
    <col customWidth="1" min="5" max="5" width="6"/>
    <col customWidth="1" min="6" max="6" width="11.88671875"/>
    <col customWidth="1" min="7" max="7" width="6"/>
    <col customWidth="1" min="8" max="8" width="12.109375"/>
    <col customWidth="1" min="9" max="9" width="6"/>
    <col customWidth="1" min="10" max="10" width="11.33203125"/>
    <col customWidth="1" min="11" max="11" width="6"/>
    <col customWidth="1" min="12" max="12" width="11"/>
    <col customWidth="1" min="13" max="13" width="6"/>
    <col customWidth="1" min="14" max="14" width="10.5546875"/>
    <col customWidth="1" min="15" max="16" width="6"/>
    <col customWidth="1" min="17" max="17" width="14.33203125"/>
    <col customWidth="1" min="18" max="18" width="11.44140625"/>
  </cols>
  <sheetData>
    <row r="1" s="21" customFormat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25">
      <c r="A2" s="14"/>
      <c r="B2" s="15" t="s">
        <v>3</v>
      </c>
      <c r="C2" s="15" t="s">
        <v>4</v>
      </c>
      <c r="D2" s="16" t="s">
        <v>5</v>
      </c>
      <c r="E2" s="16" t="s">
        <v>4</v>
      </c>
      <c r="F2" s="6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25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25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25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25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25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ht="14.25">
      <c r="A10" s="143"/>
      <c r="B10" s="43" t="s">
        <v>17</v>
      </c>
      <c r="C10" s="142"/>
      <c r="D10" s="43" t="s">
        <v>18</v>
      </c>
      <c r="E10" s="142"/>
      <c r="F10" s="43" t="s">
        <v>19</v>
      </c>
      <c r="G10" s="43"/>
      <c r="H10" s="43" t="s">
        <v>20</v>
      </c>
      <c r="I10" s="142"/>
      <c r="J10" s="45" t="s">
        <v>21</v>
      </c>
      <c r="K10" s="45"/>
      <c r="L10" s="43" t="s">
        <v>22</v>
      </c>
      <c r="M10" s="43"/>
      <c r="N10" s="43" t="s">
        <v>23</v>
      </c>
      <c r="O10" s="43"/>
      <c r="P10" s="208" t="s">
        <v>24</v>
      </c>
      <c r="Q10" s="209"/>
      <c r="R10" s="117">
        <v>167</v>
      </c>
      <c r="S10" s="143"/>
      <c r="T10" s="143"/>
      <c r="U10" s="286">
        <v>167</v>
      </c>
      <c r="V10" s="90"/>
      <c r="W10" s="62"/>
      <c r="X10" s="51"/>
      <c r="Y10" s="7"/>
      <c r="Z10" s="7"/>
      <c r="AA10" s="7"/>
      <c r="AB10" s="13"/>
      <c r="AC10" s="13"/>
      <c r="AD10" s="13"/>
    </row>
    <row r="11" ht="14.25">
      <c r="A11" s="352"/>
      <c r="B11" s="53">
        <v>46174</v>
      </c>
      <c r="C11" s="53"/>
      <c r="D11" s="53">
        <v>46175</v>
      </c>
      <c r="E11" s="53"/>
      <c r="F11" s="53">
        <v>46176</v>
      </c>
      <c r="G11" s="53"/>
      <c r="H11" s="53">
        <v>46177</v>
      </c>
      <c r="I11" s="53"/>
      <c r="J11" s="53">
        <v>46178</v>
      </c>
      <c r="K11" s="53"/>
      <c r="L11" s="53">
        <v>46179</v>
      </c>
      <c r="M11" s="53"/>
      <c r="N11" s="53">
        <v>46180</v>
      </c>
      <c r="O11" s="54"/>
      <c r="P11" s="353" t="s">
        <v>25</v>
      </c>
      <c r="Q11" s="214" t="s">
        <v>26</v>
      </c>
      <c r="R11" s="287"/>
      <c r="S11" s="147"/>
      <c r="T11" s="147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ht="14.25">
      <c r="A12" s="217" t="s">
        <v>35</v>
      </c>
      <c r="B12" s="354"/>
      <c r="C12" s="354" t="s">
        <v>33</v>
      </c>
      <c r="D12" s="354"/>
      <c r="E12" s="354" t="s">
        <v>33</v>
      </c>
      <c r="F12" s="354"/>
      <c r="G12" s="354" t="s">
        <v>33</v>
      </c>
      <c r="H12" s="354"/>
      <c r="I12" s="354" t="s">
        <v>33</v>
      </c>
      <c r="J12" s="354"/>
      <c r="K12" s="354" t="s">
        <v>33</v>
      </c>
      <c r="L12" s="355"/>
      <c r="M12" s="355"/>
      <c r="N12" s="355"/>
      <c r="O12" s="355"/>
      <c r="P12" s="218">
        <f t="shared" ref="P12:P75" si="82">C12+E12+G12+I12+K12+M12+O12</f>
        <v>40</v>
      </c>
      <c r="Q12" s="62">
        <f>R10-P12</f>
        <v>127</v>
      </c>
      <c r="R12" s="288" t="str">
        <f t="shared" ref="R12:R75" si="83">A12</f>
        <v>Рычков</v>
      </c>
      <c r="S12" s="76" t="s">
        <v>10</v>
      </c>
      <c r="T12" s="77" t="s">
        <v>9</v>
      </c>
      <c r="U12" s="73">
        <f t="shared" ref="U12:U59" si="84">COUNTIF(T12,B12)+COUNTIF(T12,D12)+COUNTIF(T12,F12)+COUNTIF(T12,H12)+COUNTIF(T12,J12)+COUNTIF(T12,L12)+COUNTIF(T12,N12)</f>
        <v>0</v>
      </c>
      <c r="V12" s="62">
        <f t="shared" ref="V12:V59" si="85">COUNTIF(S12,B12)+COUNTIF(S12,D12)+COUNTIF(S12,F12)+COUNTIF(S12,H12)+COUNTIF(S12,J12)+COUNTIF(S12,L12)+COUNTIF(S12,N12)</f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ht="14.25">
      <c r="A13" s="203" t="s">
        <v>61</v>
      </c>
      <c r="B13" s="354"/>
      <c r="C13" s="354" t="s">
        <v>33</v>
      </c>
      <c r="D13" s="354"/>
      <c r="E13" s="354" t="s">
        <v>33</v>
      </c>
      <c r="F13" s="354"/>
      <c r="G13" s="354" t="s">
        <v>33</v>
      </c>
      <c r="H13" s="354"/>
      <c r="I13" s="354" t="s">
        <v>33</v>
      </c>
      <c r="J13" s="354"/>
      <c r="K13" s="354" t="s">
        <v>33</v>
      </c>
      <c r="L13" s="355"/>
      <c r="M13" s="355"/>
      <c r="N13" s="355"/>
      <c r="O13" s="355"/>
      <c r="P13" s="218">
        <f t="shared" si="82"/>
        <v>40</v>
      </c>
      <c r="Q13" s="62">
        <f>R10-P13</f>
        <v>127</v>
      </c>
      <c r="R13" s="288" t="str">
        <f t="shared" si="83"/>
        <v>Карузина</v>
      </c>
      <c r="S13" s="76" t="s">
        <v>10</v>
      </c>
      <c r="T13" s="77" t="s">
        <v>9</v>
      </c>
      <c r="U13" s="73">
        <f t="shared" si="84"/>
        <v>0</v>
      </c>
      <c r="V13" s="62">
        <f t="shared" si="85"/>
        <v>0</v>
      </c>
      <c r="W13" s="62"/>
      <c r="X13" s="79" t="s">
        <v>34</v>
      </c>
      <c r="Y13" s="7"/>
      <c r="Z13" s="80"/>
      <c r="AA13" s="80"/>
      <c r="AB13" s="13"/>
      <c r="AC13" s="13"/>
      <c r="AD13" s="13"/>
    </row>
    <row r="14" ht="14.25">
      <c r="A14" s="203" t="s">
        <v>39</v>
      </c>
      <c r="B14" s="354"/>
      <c r="C14" s="354" t="s">
        <v>33</v>
      </c>
      <c r="D14" s="354"/>
      <c r="E14" s="354" t="s">
        <v>33</v>
      </c>
      <c r="F14" s="354"/>
      <c r="G14" s="354" t="s">
        <v>33</v>
      </c>
      <c r="H14" s="354"/>
      <c r="I14" s="354" t="s">
        <v>33</v>
      </c>
      <c r="J14" s="354"/>
      <c r="K14" s="354" t="s">
        <v>33</v>
      </c>
      <c r="L14" s="355"/>
      <c r="M14" s="355"/>
      <c r="N14" s="355"/>
      <c r="O14" s="355"/>
      <c r="P14" s="218">
        <f t="shared" si="82"/>
        <v>40</v>
      </c>
      <c r="Q14" s="62">
        <f>R10-P14</f>
        <v>127</v>
      </c>
      <c r="R14" s="288" t="str">
        <f t="shared" si="83"/>
        <v>Игумнов</v>
      </c>
      <c r="S14" s="76" t="s">
        <v>10</v>
      </c>
      <c r="T14" s="77" t="s">
        <v>9</v>
      </c>
      <c r="U14" s="73">
        <f t="shared" si="84"/>
        <v>0</v>
      </c>
      <c r="V14" s="62">
        <f t="shared" si="85"/>
        <v>0</v>
      </c>
      <c r="W14" s="62"/>
      <c r="X14" s="74" t="s">
        <v>38</v>
      </c>
      <c r="Y14" s="80"/>
      <c r="Z14" s="80"/>
      <c r="AA14" s="80"/>
      <c r="AB14" s="13"/>
      <c r="AC14" s="13"/>
      <c r="AD14" s="13"/>
    </row>
    <row r="15" ht="14.25">
      <c r="A15" s="203" t="s">
        <v>40</v>
      </c>
      <c r="B15" s="354"/>
      <c r="C15" s="354" t="s">
        <v>33</v>
      </c>
      <c r="D15" s="354"/>
      <c r="E15" s="354" t="s">
        <v>33</v>
      </c>
      <c r="F15" s="354"/>
      <c r="G15" s="354" t="s">
        <v>33</v>
      </c>
      <c r="H15" s="354"/>
      <c r="I15" s="354" t="s">
        <v>33</v>
      </c>
      <c r="J15" s="354"/>
      <c r="K15" s="354" t="s">
        <v>33</v>
      </c>
      <c r="L15" s="355"/>
      <c r="M15" s="355"/>
      <c r="N15" s="355"/>
      <c r="O15" s="355"/>
      <c r="P15" s="218">
        <f t="shared" si="82"/>
        <v>40</v>
      </c>
      <c r="Q15" s="62">
        <f>R10-P15</f>
        <v>127</v>
      </c>
      <c r="R15" s="288" t="str">
        <f t="shared" si="83"/>
        <v>Душин</v>
      </c>
      <c r="S15" s="76" t="s">
        <v>58</v>
      </c>
      <c r="T15" s="77" t="s">
        <v>59</v>
      </c>
      <c r="U15" s="73">
        <f t="shared" si="84"/>
        <v>0</v>
      </c>
      <c r="V15" s="62">
        <f t="shared" si="85"/>
        <v>0</v>
      </c>
      <c r="W15" s="62"/>
      <c r="X15" s="74" t="s">
        <v>34</v>
      </c>
      <c r="Y15" s="80"/>
      <c r="Z15" s="80"/>
      <c r="AA15" s="80"/>
      <c r="AB15" s="13"/>
      <c r="AC15" s="13"/>
      <c r="AD15" s="13"/>
    </row>
    <row r="16" ht="14.25">
      <c r="A16" s="203" t="s">
        <v>31</v>
      </c>
      <c r="B16" s="354"/>
      <c r="C16" s="354" t="s">
        <v>33</v>
      </c>
      <c r="D16" s="354"/>
      <c r="E16" s="354" t="s">
        <v>33</v>
      </c>
      <c r="F16" s="354"/>
      <c r="G16" s="354" t="s">
        <v>33</v>
      </c>
      <c r="H16" s="354"/>
      <c r="I16" s="354" t="s">
        <v>33</v>
      </c>
      <c r="J16" s="354"/>
      <c r="K16" s="354" t="s">
        <v>33</v>
      </c>
      <c r="L16" s="355"/>
      <c r="M16" s="355"/>
      <c r="N16" s="355"/>
      <c r="O16" s="355"/>
      <c r="P16" s="218">
        <f t="shared" si="82"/>
        <v>40</v>
      </c>
      <c r="Q16" s="62">
        <f>R10-P16</f>
        <v>127</v>
      </c>
      <c r="R16" s="219" t="str">
        <f t="shared" si="83"/>
        <v>Нетронин</v>
      </c>
      <c r="S16" s="76" t="s">
        <v>58</v>
      </c>
      <c r="T16" s="77" t="s">
        <v>59</v>
      </c>
      <c r="U16" s="73">
        <f t="shared" si="84"/>
        <v>0</v>
      </c>
      <c r="V16" s="62">
        <f t="shared" si="85"/>
        <v>0</v>
      </c>
      <c r="W16" s="62"/>
      <c r="X16" s="74" t="s">
        <v>34</v>
      </c>
      <c r="Y16" s="80"/>
      <c r="Z16" s="80"/>
      <c r="AA16" s="80"/>
      <c r="AB16" s="13"/>
      <c r="AC16" s="13"/>
      <c r="AD16" s="13"/>
    </row>
    <row r="17" ht="14.25">
      <c r="A17" s="203" t="s">
        <v>62</v>
      </c>
      <c r="B17" s="354"/>
      <c r="C17" s="354" t="s">
        <v>33</v>
      </c>
      <c r="D17" s="354"/>
      <c r="E17" s="354" t="s">
        <v>33</v>
      </c>
      <c r="F17" s="354"/>
      <c r="G17" s="354" t="s">
        <v>33</v>
      </c>
      <c r="H17" s="354"/>
      <c r="I17" s="354" t="s">
        <v>33</v>
      </c>
      <c r="J17" s="354"/>
      <c r="K17" s="354" t="s">
        <v>33</v>
      </c>
      <c r="L17" s="355"/>
      <c r="M17" s="355"/>
      <c r="N17" s="355"/>
      <c r="O17" s="355"/>
      <c r="P17" s="218">
        <f t="shared" si="82"/>
        <v>40</v>
      </c>
      <c r="Q17" s="62">
        <f>R10-P17</f>
        <v>127</v>
      </c>
      <c r="R17" s="322" t="str">
        <f t="shared" si="83"/>
        <v>Раимова</v>
      </c>
      <c r="S17" s="173" t="s">
        <v>10</v>
      </c>
      <c r="T17" s="300" t="s">
        <v>9</v>
      </c>
      <c r="U17" s="227">
        <f t="shared" si="84"/>
        <v>0</v>
      </c>
      <c r="V17" s="86">
        <f t="shared" si="85"/>
        <v>0</v>
      </c>
      <c r="W17" s="86"/>
      <c r="X17" s="74" t="s">
        <v>38</v>
      </c>
      <c r="Y17" s="7"/>
      <c r="Z17" s="7"/>
      <c r="AA17" s="7"/>
      <c r="AB17" s="13"/>
      <c r="AC17" s="13"/>
      <c r="AD17" s="13"/>
    </row>
    <row r="18" ht="14.25">
      <c r="A18" s="203" t="s">
        <v>63</v>
      </c>
      <c r="B18" s="354"/>
      <c r="C18" s="354" t="s">
        <v>33</v>
      </c>
      <c r="D18" s="354"/>
      <c r="E18" s="354" t="s">
        <v>33</v>
      </c>
      <c r="F18" s="354"/>
      <c r="G18" s="354" t="s">
        <v>33</v>
      </c>
      <c r="H18" s="354"/>
      <c r="I18" s="354" t="s">
        <v>33</v>
      </c>
      <c r="J18" s="354"/>
      <c r="K18" s="354" t="s">
        <v>33</v>
      </c>
      <c r="L18" s="355"/>
      <c r="M18" s="355"/>
      <c r="N18" s="355"/>
      <c r="O18" s="355"/>
      <c r="P18" s="218">
        <f t="shared" si="82"/>
        <v>40</v>
      </c>
      <c r="Q18" s="62">
        <f>R10-P18</f>
        <v>127</v>
      </c>
      <c r="R18" s="288" t="str">
        <f t="shared" si="83"/>
        <v>Войтехович</v>
      </c>
      <c r="S18" s="76" t="s">
        <v>10</v>
      </c>
      <c r="T18" s="77" t="s">
        <v>9</v>
      </c>
      <c r="U18" s="73">
        <f t="shared" si="84"/>
        <v>0</v>
      </c>
      <c r="V18" s="62">
        <f t="shared" si="85"/>
        <v>0</v>
      </c>
      <c r="W18" s="62"/>
      <c r="X18" s="74" t="s">
        <v>34</v>
      </c>
      <c r="Y18" s="80"/>
      <c r="Z18" s="7"/>
      <c r="AA18" s="7"/>
      <c r="AB18" s="13"/>
      <c r="AC18" s="13"/>
      <c r="AD18" s="13"/>
    </row>
    <row r="19" ht="14.25">
      <c r="A19" s="203" t="s">
        <v>64</v>
      </c>
      <c r="B19" s="354"/>
      <c r="C19" s="354" t="s">
        <v>33</v>
      </c>
      <c r="D19" s="354"/>
      <c r="E19" s="354" t="s">
        <v>33</v>
      </c>
      <c r="F19" s="354"/>
      <c r="G19" s="354" t="s">
        <v>33</v>
      </c>
      <c r="H19" s="354"/>
      <c r="I19" s="354" t="s">
        <v>33</v>
      </c>
      <c r="J19" s="354"/>
      <c r="K19" s="354" t="s">
        <v>33</v>
      </c>
      <c r="L19" s="356"/>
      <c r="M19" s="357"/>
      <c r="N19" s="357"/>
      <c r="O19" s="358"/>
      <c r="P19" s="218">
        <f t="shared" si="82"/>
        <v>40</v>
      </c>
      <c r="Q19" s="62">
        <f>R10-P19</f>
        <v>127</v>
      </c>
      <c r="R19" s="288" t="str">
        <f t="shared" si="83"/>
        <v>Васильев</v>
      </c>
      <c r="S19" s="71" t="s">
        <v>12</v>
      </c>
      <c r="T19" s="72" t="s">
        <v>11</v>
      </c>
      <c r="U19" s="73">
        <f t="shared" si="84"/>
        <v>0</v>
      </c>
      <c r="V19" s="62">
        <f t="shared" si="85"/>
        <v>0</v>
      </c>
      <c r="W19" s="62"/>
      <c r="X19" s="74" t="s">
        <v>38</v>
      </c>
      <c r="Y19" s="80"/>
      <c r="Z19" s="7"/>
      <c r="AA19" s="7"/>
      <c r="AB19" s="13"/>
      <c r="AC19" s="13"/>
      <c r="AD19" s="13"/>
    </row>
    <row r="20" ht="14.25">
      <c r="A20" s="205" t="s">
        <v>43</v>
      </c>
      <c r="B20" s="77"/>
      <c r="C20" s="359">
        <v>11</v>
      </c>
      <c r="D20" s="360"/>
      <c r="E20" s="360"/>
      <c r="F20" s="360"/>
      <c r="G20" s="360"/>
      <c r="H20" s="76"/>
      <c r="I20" s="361">
        <v>11</v>
      </c>
      <c r="J20" s="76"/>
      <c r="K20" s="361">
        <v>11</v>
      </c>
      <c r="L20" s="360"/>
      <c r="M20" s="360"/>
      <c r="N20" s="360"/>
      <c r="O20" s="360"/>
      <c r="P20" s="218">
        <f t="shared" si="82"/>
        <v>33</v>
      </c>
      <c r="Q20" s="62">
        <f>R10-P20</f>
        <v>134</v>
      </c>
      <c r="R20" s="288" t="str">
        <f t="shared" si="83"/>
        <v>Дащенко</v>
      </c>
      <c r="S20" s="76" t="s">
        <v>10</v>
      </c>
      <c r="T20" s="77" t="s">
        <v>9</v>
      </c>
      <c r="U20" s="73">
        <v>1</v>
      </c>
      <c r="V20" s="62">
        <v>2</v>
      </c>
      <c r="W20" s="62"/>
      <c r="X20" s="74" t="s">
        <v>34</v>
      </c>
      <c r="Y20" s="7"/>
      <c r="Z20" s="7"/>
      <c r="AA20" s="7"/>
      <c r="AB20" s="13"/>
      <c r="AC20" s="13"/>
      <c r="AD20" s="13"/>
    </row>
    <row r="21" ht="14.25">
      <c r="A21" s="205" t="s">
        <v>45</v>
      </c>
      <c r="B21" s="360"/>
      <c r="C21" s="360"/>
      <c r="D21" s="360"/>
      <c r="E21" s="360"/>
      <c r="F21" s="76"/>
      <c r="G21" s="361">
        <v>11</v>
      </c>
      <c r="I21" s="361">
        <v>11</v>
      </c>
      <c r="J21" s="360"/>
      <c r="K21" s="360"/>
      <c r="L21" s="360"/>
      <c r="M21" s="360"/>
      <c r="N21" s="77"/>
      <c r="O21" s="359">
        <v>11</v>
      </c>
      <c r="P21" s="218">
        <f t="shared" si="82"/>
        <v>33</v>
      </c>
      <c r="Q21" s="62">
        <f>R10-P21</f>
        <v>134</v>
      </c>
      <c r="R21" s="288" t="str">
        <f t="shared" si="83"/>
        <v>Пузырь</v>
      </c>
      <c r="S21" s="76" t="s">
        <v>10</v>
      </c>
      <c r="T21" s="77" t="s">
        <v>9</v>
      </c>
      <c r="U21" s="73">
        <v>1</v>
      </c>
      <c r="V21" s="62">
        <v>2</v>
      </c>
      <c r="W21" s="62"/>
      <c r="X21" s="74" t="s">
        <v>34</v>
      </c>
      <c r="Y21" s="7"/>
      <c r="Z21" s="7"/>
      <c r="AA21" s="7"/>
      <c r="AB21" s="13"/>
      <c r="AC21" s="13"/>
      <c r="AD21" s="13"/>
    </row>
    <row r="22" ht="14.25">
      <c r="A22" s="205" t="s">
        <v>65</v>
      </c>
      <c r="B22" s="360"/>
      <c r="C22" s="360"/>
      <c r="D22" s="77"/>
      <c r="E22" s="359">
        <v>11</v>
      </c>
      <c r="F22" s="77"/>
      <c r="G22" s="359">
        <v>11</v>
      </c>
      <c r="H22" s="67"/>
      <c r="I22" s="362"/>
      <c r="J22" s="360"/>
      <c r="K22" s="360"/>
      <c r="L22" s="76"/>
      <c r="M22" s="361">
        <v>11</v>
      </c>
      <c r="N22" s="76"/>
      <c r="O22" s="361">
        <v>11</v>
      </c>
      <c r="P22" s="218">
        <f t="shared" si="82"/>
        <v>44</v>
      </c>
      <c r="Q22" s="62">
        <f>R10-P22</f>
        <v>123</v>
      </c>
      <c r="R22" s="288" t="str">
        <f t="shared" si="83"/>
        <v>Рожнева</v>
      </c>
      <c r="S22" s="76" t="s">
        <v>10</v>
      </c>
      <c r="T22" s="77" t="s">
        <v>9</v>
      </c>
      <c r="U22" s="73">
        <v>2</v>
      </c>
      <c r="V22" s="62">
        <v>2</v>
      </c>
      <c r="W22" s="62"/>
      <c r="X22" s="74" t="s">
        <v>34</v>
      </c>
      <c r="Y22" s="7"/>
      <c r="Z22" s="7"/>
      <c r="AA22" s="7"/>
      <c r="AB22" s="13"/>
      <c r="AC22" s="13"/>
      <c r="AD22" s="13"/>
    </row>
    <row r="23" ht="14.25">
      <c r="A23" s="205" t="s">
        <v>47</v>
      </c>
      <c r="B23" s="360"/>
      <c r="C23" s="360"/>
      <c r="D23" s="360"/>
      <c r="E23" s="360"/>
      <c r="F23" s="77"/>
      <c r="G23" s="359">
        <v>11</v>
      </c>
      <c r="H23" s="77"/>
      <c r="I23" s="359">
        <v>11</v>
      </c>
      <c r="J23" s="360"/>
      <c r="K23" s="360"/>
      <c r="L23" s="360"/>
      <c r="M23" s="360"/>
      <c r="N23" s="76"/>
      <c r="O23" s="363">
        <v>11</v>
      </c>
      <c r="P23" s="218">
        <f t="shared" si="82"/>
        <v>33</v>
      </c>
      <c r="Q23" s="62">
        <f>R10-P23</f>
        <v>134</v>
      </c>
      <c r="R23" s="288" t="str">
        <f t="shared" si="83"/>
        <v>Торубара</v>
      </c>
      <c r="S23" s="76" t="s">
        <v>10</v>
      </c>
      <c r="T23" s="77" t="s">
        <v>9</v>
      </c>
      <c r="U23" s="73">
        <v>2</v>
      </c>
      <c r="V23" s="62">
        <v>1</v>
      </c>
      <c r="W23" s="62"/>
      <c r="X23" s="74" t="s">
        <v>34</v>
      </c>
      <c r="Y23" s="7"/>
      <c r="Z23" s="7"/>
      <c r="AA23" s="7"/>
      <c r="AB23" s="13"/>
      <c r="AC23" s="13"/>
      <c r="AD23" s="13"/>
    </row>
    <row r="24" ht="14.25">
      <c r="A24" s="205" t="s">
        <v>48</v>
      </c>
      <c r="B24" s="77"/>
      <c r="C24" s="359">
        <v>11</v>
      </c>
      <c r="D24" s="77"/>
      <c r="E24" s="359">
        <v>11</v>
      </c>
      <c r="F24" s="360"/>
      <c r="G24" s="360"/>
      <c r="H24" s="360"/>
      <c r="I24" s="360"/>
      <c r="J24" s="76"/>
      <c r="K24" s="361">
        <v>11</v>
      </c>
      <c r="L24" s="76"/>
      <c r="M24" s="361">
        <v>11</v>
      </c>
      <c r="N24" s="360"/>
      <c r="O24" s="360"/>
      <c r="P24" s="218">
        <f t="shared" si="82"/>
        <v>44</v>
      </c>
      <c r="Q24" s="62">
        <f>R10-P24</f>
        <v>123</v>
      </c>
      <c r="R24" s="219" t="str">
        <f t="shared" si="83"/>
        <v>Стрыгин</v>
      </c>
      <c r="S24" s="71" t="s">
        <v>8</v>
      </c>
      <c r="T24" s="72" t="s">
        <v>7</v>
      </c>
      <c r="U24" s="90">
        <v>2</v>
      </c>
      <c r="V24" s="62">
        <v>2</v>
      </c>
      <c r="W24" s="62"/>
      <c r="X24" s="74" t="s">
        <v>49</v>
      </c>
      <c r="Y24" s="7"/>
      <c r="Z24" s="7"/>
      <c r="AA24" s="7"/>
      <c r="AB24" s="13"/>
      <c r="AC24" s="13"/>
      <c r="AD24" s="13"/>
    </row>
    <row r="25" ht="14.25">
      <c r="A25" s="205" t="s">
        <v>50</v>
      </c>
      <c r="B25" s="76"/>
      <c r="C25" s="361">
        <v>11</v>
      </c>
      <c r="D25" s="360"/>
      <c r="E25" s="360"/>
      <c r="F25" s="360"/>
      <c r="G25" s="360"/>
      <c r="H25" s="77"/>
      <c r="I25" s="359">
        <v>11</v>
      </c>
      <c r="J25" s="77"/>
      <c r="K25" s="359">
        <v>11</v>
      </c>
      <c r="L25" s="360"/>
      <c r="M25" s="360"/>
      <c r="N25" s="360"/>
      <c r="O25" s="360"/>
      <c r="P25" s="218">
        <f t="shared" si="82"/>
        <v>33</v>
      </c>
      <c r="Q25" s="62">
        <f>R10-P25</f>
        <v>134</v>
      </c>
      <c r="R25" s="219" t="str">
        <f t="shared" si="83"/>
        <v>Фрик</v>
      </c>
      <c r="S25" s="71" t="s">
        <v>12</v>
      </c>
      <c r="T25" s="72" t="s">
        <v>11</v>
      </c>
      <c r="U25" s="90">
        <v>2</v>
      </c>
      <c r="V25" s="62">
        <v>1</v>
      </c>
      <c r="W25" s="62"/>
      <c r="X25" s="74" t="s">
        <v>44</v>
      </c>
      <c r="Y25" s="7"/>
      <c r="Z25" s="7"/>
      <c r="AA25" s="7"/>
      <c r="AB25" s="13"/>
      <c r="AC25" s="13"/>
      <c r="AD25" s="13"/>
    </row>
    <row r="26" ht="14.25">
      <c r="A26" s="206" t="s">
        <v>51</v>
      </c>
      <c r="B26" s="360"/>
      <c r="C26" s="360"/>
      <c r="D26" s="76"/>
      <c r="E26" s="361">
        <v>11</v>
      </c>
      <c r="F26" s="76"/>
      <c r="G26" s="361">
        <v>11</v>
      </c>
      <c r="H26" s="360"/>
      <c r="I26" s="360"/>
      <c r="J26" s="360"/>
      <c r="K26" s="360"/>
      <c r="L26" s="77"/>
      <c r="M26" s="359">
        <v>11</v>
      </c>
      <c r="N26" s="77"/>
      <c r="O26" s="359">
        <v>11</v>
      </c>
      <c r="P26" s="218">
        <f t="shared" si="82"/>
        <v>44</v>
      </c>
      <c r="Q26" s="62">
        <f>R10-P26</f>
        <v>123</v>
      </c>
      <c r="R26" s="219" t="str">
        <f t="shared" si="83"/>
        <v>Истрашкин</v>
      </c>
      <c r="S26" s="71" t="s">
        <v>10</v>
      </c>
      <c r="T26" s="72" t="s">
        <v>9</v>
      </c>
      <c r="U26" s="90">
        <v>2</v>
      </c>
      <c r="V26" s="62">
        <v>2</v>
      </c>
      <c r="W26" s="62"/>
      <c r="X26" s="74" t="s">
        <v>34</v>
      </c>
      <c r="Y26" s="7"/>
      <c r="Z26" s="7"/>
      <c r="AA26" s="7"/>
      <c r="AB26" s="13"/>
      <c r="AC26" s="13"/>
      <c r="AD26" s="13"/>
    </row>
    <row r="27" ht="14.25">
      <c r="A27" s="206" t="s">
        <v>66</v>
      </c>
      <c r="B27" s="76"/>
      <c r="C27" s="361">
        <v>11</v>
      </c>
      <c r="D27" s="76"/>
      <c r="E27" s="361">
        <v>11</v>
      </c>
      <c r="F27" s="360"/>
      <c r="G27" s="360"/>
      <c r="H27" s="360"/>
      <c r="I27" s="360"/>
      <c r="J27" s="77"/>
      <c r="K27" s="359">
        <v>11</v>
      </c>
      <c r="L27" s="77"/>
      <c r="M27" s="359">
        <v>11</v>
      </c>
      <c r="N27" s="360"/>
      <c r="O27" s="360"/>
      <c r="P27" s="218">
        <f t="shared" si="82"/>
        <v>44</v>
      </c>
      <c r="Q27" s="62">
        <f>R10-P27</f>
        <v>123</v>
      </c>
      <c r="R27" s="219" t="str">
        <f t="shared" si="83"/>
        <v>Качаев</v>
      </c>
      <c r="S27" s="268" t="s">
        <v>10</v>
      </c>
      <c r="T27" s="72" t="s">
        <v>9</v>
      </c>
      <c r="U27" s="90">
        <v>2</v>
      </c>
      <c r="V27" s="62">
        <v>2</v>
      </c>
      <c r="W27" s="62"/>
      <c r="X27" s="364"/>
      <c r="Y27" s="7"/>
      <c r="Z27" s="7"/>
      <c r="AA27" s="7"/>
      <c r="AB27" s="13"/>
      <c r="AC27" s="13"/>
      <c r="AD27" s="13"/>
    </row>
    <row r="28" ht="14.25">
      <c r="A28" s="365"/>
      <c r="B28" s="53">
        <v>46174</v>
      </c>
      <c r="C28" s="53"/>
      <c r="D28" s="53">
        <v>46175</v>
      </c>
      <c r="E28" s="53"/>
      <c r="F28" s="53">
        <v>46176</v>
      </c>
      <c r="G28" s="53"/>
      <c r="H28" s="53">
        <v>46177</v>
      </c>
      <c r="I28" s="53"/>
      <c r="J28" s="53">
        <v>46178</v>
      </c>
      <c r="K28" s="53"/>
      <c r="L28" s="53">
        <v>46179</v>
      </c>
      <c r="M28" s="53"/>
      <c r="N28" s="53">
        <v>46180</v>
      </c>
      <c r="O28" s="54"/>
      <c r="P28" s="366"/>
      <c r="Q28" s="367"/>
      <c r="R28" s="207"/>
      <c r="S28" s="138"/>
      <c r="T28" s="138"/>
      <c r="U28" s="194" t="s">
        <v>27</v>
      </c>
      <c r="V28" s="61" t="s">
        <v>28</v>
      </c>
      <c r="W28" s="368" t="s">
        <v>29</v>
      </c>
      <c r="X28" s="87"/>
      <c r="Y28" s="7"/>
      <c r="Z28" s="7"/>
      <c r="AA28" s="7"/>
      <c r="AB28" s="13"/>
      <c r="AC28" s="13"/>
      <c r="AD28" s="13"/>
    </row>
    <row r="29" ht="14.25">
      <c r="A29" s="369"/>
      <c r="B29" s="370"/>
      <c r="C29" s="370"/>
      <c r="D29" s="370"/>
      <c r="E29" s="370"/>
      <c r="F29" s="370"/>
      <c r="G29" s="370"/>
      <c r="H29" s="370"/>
      <c r="I29" s="370"/>
      <c r="J29" s="370"/>
      <c r="K29" s="370"/>
      <c r="L29" s="370"/>
      <c r="M29" s="370"/>
      <c r="N29" s="370"/>
      <c r="O29" s="370"/>
      <c r="P29" s="370"/>
      <c r="Q29" s="371"/>
      <c r="R29" s="372"/>
      <c r="S29" s="165"/>
      <c r="T29" s="165"/>
      <c r="U29" s="373"/>
      <c r="V29" s="100"/>
      <c r="W29" s="100"/>
      <c r="X29" s="374"/>
      <c r="Y29" s="7"/>
      <c r="Z29" s="7"/>
      <c r="AA29" s="7"/>
      <c r="AB29" s="13"/>
      <c r="AC29" s="13"/>
      <c r="AD29" s="13"/>
    </row>
    <row r="30" ht="14.25">
      <c r="A30" s="98"/>
      <c r="B30" s="101" t="s">
        <v>17</v>
      </c>
      <c r="C30" s="101"/>
      <c r="D30" s="101" t="s">
        <v>18</v>
      </c>
      <c r="E30" s="101"/>
      <c r="F30" s="101" t="s">
        <v>19</v>
      </c>
      <c r="G30" s="101"/>
      <c r="H30" s="101" t="s">
        <v>20</v>
      </c>
      <c r="I30" s="101"/>
      <c r="J30" s="102" t="s">
        <v>21</v>
      </c>
      <c r="K30" s="102"/>
      <c r="L30" s="101" t="s">
        <v>22</v>
      </c>
      <c r="M30" s="101"/>
      <c r="N30" s="101" t="s">
        <v>23</v>
      </c>
      <c r="O30" s="101"/>
      <c r="P30" s="375" t="s">
        <v>24</v>
      </c>
      <c r="Q30" s="376"/>
      <c r="R30" s="372"/>
      <c r="S30" s="165"/>
      <c r="T30" s="165"/>
      <c r="U30" s="373"/>
      <c r="V30" s="100"/>
      <c r="W30" s="100"/>
      <c r="X30" s="242"/>
      <c r="Y30" s="7"/>
      <c r="Z30" s="7"/>
      <c r="AA30" s="7"/>
      <c r="AB30" s="13"/>
      <c r="AC30" s="13"/>
      <c r="AD30" s="13"/>
    </row>
    <row r="31" ht="14.25">
      <c r="A31" s="377"/>
      <c r="B31" s="53">
        <v>46181</v>
      </c>
      <c r="C31" s="53"/>
      <c r="D31" s="53">
        <v>46182</v>
      </c>
      <c r="E31" s="53"/>
      <c r="F31" s="53">
        <v>46183</v>
      </c>
      <c r="G31" s="53"/>
      <c r="H31" s="53">
        <v>46184</v>
      </c>
      <c r="I31" s="53"/>
      <c r="J31" s="144">
        <v>46185</v>
      </c>
      <c r="K31" s="144"/>
      <c r="L31" s="53">
        <v>46186</v>
      </c>
      <c r="M31" s="53"/>
      <c r="N31" s="53">
        <v>46187</v>
      </c>
      <c r="O31" s="53"/>
      <c r="P31" s="378" t="s">
        <v>25</v>
      </c>
      <c r="Q31" s="379" t="s">
        <v>26</v>
      </c>
      <c r="R31" s="380"/>
      <c r="S31" s="239"/>
      <c r="T31" s="239"/>
      <c r="U31" s="172" t="s">
        <v>27</v>
      </c>
      <c r="V31" s="106" t="s">
        <v>28</v>
      </c>
      <c r="W31" s="100" t="s">
        <v>29</v>
      </c>
      <c r="X31" s="242" t="s">
        <v>30</v>
      </c>
      <c r="Y31" s="7"/>
      <c r="Z31" s="7"/>
      <c r="AA31" s="7"/>
      <c r="AB31" s="13"/>
      <c r="AC31" s="13"/>
      <c r="AD31" s="13"/>
    </row>
    <row r="32" ht="14.25">
      <c r="A32" s="217" t="s">
        <v>35</v>
      </c>
      <c r="B32" s="354"/>
      <c r="C32" s="354" t="s">
        <v>33</v>
      </c>
      <c r="D32" s="354"/>
      <c r="E32" s="354" t="s">
        <v>33</v>
      </c>
      <c r="F32" s="354"/>
      <c r="G32" s="354" t="s">
        <v>33</v>
      </c>
      <c r="H32" s="354"/>
      <c r="I32" s="354" t="s">
        <v>33</v>
      </c>
      <c r="J32" s="67"/>
      <c r="K32" s="67"/>
      <c r="L32" s="355"/>
      <c r="M32" s="355"/>
      <c r="N32" s="355"/>
      <c r="O32" s="355"/>
      <c r="P32" s="218">
        <f t="shared" si="82"/>
        <v>32</v>
      </c>
      <c r="Q32" s="62">
        <f t="shared" ref="Q32:Q95" si="86">Q12-P32</f>
        <v>95</v>
      </c>
      <c r="R32" s="219" t="str">
        <f t="shared" si="83"/>
        <v>Рычков</v>
      </c>
      <c r="S32" s="76" t="s">
        <v>10</v>
      </c>
      <c r="T32" s="77" t="s">
        <v>9</v>
      </c>
      <c r="U32" s="73">
        <f t="shared" si="84"/>
        <v>0</v>
      </c>
      <c r="V32" s="62">
        <f t="shared" si="85"/>
        <v>0</v>
      </c>
      <c r="W32" s="62"/>
      <c r="X32" s="242" t="s">
        <v>34</v>
      </c>
      <c r="Y32" s="7"/>
      <c r="Z32" s="7"/>
      <c r="AA32" s="7"/>
      <c r="AB32" s="13"/>
      <c r="AC32" s="13"/>
      <c r="AD32" s="13"/>
    </row>
    <row r="33" ht="14.25">
      <c r="A33" s="203" t="s">
        <v>61</v>
      </c>
      <c r="B33" s="354"/>
      <c r="C33" s="354" t="s">
        <v>33</v>
      </c>
      <c r="D33" s="354"/>
      <c r="E33" s="354" t="s">
        <v>33</v>
      </c>
      <c r="F33" s="354"/>
      <c r="G33" s="354" t="s">
        <v>33</v>
      </c>
      <c r="H33" s="354"/>
      <c r="I33" s="354" t="s">
        <v>33</v>
      </c>
      <c r="J33" s="67"/>
      <c r="K33" s="67"/>
      <c r="L33" s="355"/>
      <c r="M33" s="355"/>
      <c r="N33" s="355"/>
      <c r="O33" s="355"/>
      <c r="P33" s="218">
        <f t="shared" si="82"/>
        <v>32</v>
      </c>
      <c r="Q33" s="62">
        <f t="shared" si="86"/>
        <v>95</v>
      </c>
      <c r="R33" s="322" t="str">
        <f t="shared" si="83"/>
        <v>Карузина</v>
      </c>
      <c r="S33" s="173" t="s">
        <v>10</v>
      </c>
      <c r="T33" s="300" t="s">
        <v>9</v>
      </c>
      <c r="U33" s="227">
        <f t="shared" si="84"/>
        <v>0</v>
      </c>
      <c r="V33" s="62">
        <f t="shared" si="85"/>
        <v>0</v>
      </c>
      <c r="W33" s="62"/>
      <c r="X33" s="241" t="s">
        <v>34</v>
      </c>
      <c r="Y33" s="7"/>
      <c r="Z33" s="7"/>
      <c r="AA33" s="7"/>
      <c r="AB33" s="13"/>
      <c r="AC33" s="13"/>
      <c r="AD33" s="13"/>
    </row>
    <row r="34" ht="14.25">
      <c r="A34" s="203" t="s">
        <v>39</v>
      </c>
      <c r="B34" s="354"/>
      <c r="C34" s="354" t="s">
        <v>33</v>
      </c>
      <c r="D34" s="354"/>
      <c r="E34" s="354" t="s">
        <v>33</v>
      </c>
      <c r="F34" s="354"/>
      <c r="G34" s="354" t="s">
        <v>33</v>
      </c>
      <c r="H34" s="354"/>
      <c r="I34" s="354" t="s">
        <v>33</v>
      </c>
      <c r="J34" s="67"/>
      <c r="K34" s="67"/>
      <c r="L34" s="355"/>
      <c r="M34" s="355"/>
      <c r="N34" s="355"/>
      <c r="O34" s="355"/>
      <c r="P34" s="218">
        <f t="shared" si="82"/>
        <v>32</v>
      </c>
      <c r="Q34" s="62">
        <f t="shared" si="86"/>
        <v>95</v>
      </c>
      <c r="R34" s="288" t="str">
        <f t="shared" si="83"/>
        <v>Игумнов</v>
      </c>
      <c r="S34" s="76" t="s">
        <v>10</v>
      </c>
      <c r="T34" s="77" t="s">
        <v>9</v>
      </c>
      <c r="U34" s="73">
        <f t="shared" si="84"/>
        <v>0</v>
      </c>
      <c r="V34" s="62">
        <f t="shared" si="85"/>
        <v>0</v>
      </c>
      <c r="W34" s="62"/>
      <c r="X34" s="242" t="s">
        <v>38</v>
      </c>
      <c r="Y34" s="7"/>
      <c r="Z34" s="7"/>
      <c r="AA34" s="7"/>
      <c r="AB34" s="13"/>
      <c r="AC34" s="13"/>
      <c r="AD34" s="13"/>
    </row>
    <row r="35" ht="14.25">
      <c r="A35" s="203" t="s">
        <v>40</v>
      </c>
      <c r="B35" s="354"/>
      <c r="C35" s="354" t="s">
        <v>33</v>
      </c>
      <c r="D35" s="354"/>
      <c r="E35" s="354" t="s">
        <v>33</v>
      </c>
      <c r="F35" s="354"/>
      <c r="G35" s="354" t="s">
        <v>33</v>
      </c>
      <c r="H35" s="354"/>
      <c r="I35" s="354" t="s">
        <v>33</v>
      </c>
      <c r="J35" s="67"/>
      <c r="K35" s="67"/>
      <c r="L35" s="355"/>
      <c r="M35" s="355"/>
      <c r="N35" s="355"/>
      <c r="O35" s="355"/>
      <c r="P35" s="218">
        <f t="shared" si="82"/>
        <v>32</v>
      </c>
      <c r="Q35" s="62">
        <f t="shared" si="86"/>
        <v>95</v>
      </c>
      <c r="R35" s="288" t="str">
        <f t="shared" si="83"/>
        <v>Душин</v>
      </c>
      <c r="S35" s="76" t="s">
        <v>58</v>
      </c>
      <c r="T35" s="77" t="s">
        <v>59</v>
      </c>
      <c r="U35" s="73">
        <f t="shared" si="84"/>
        <v>0</v>
      </c>
      <c r="V35" s="62">
        <f t="shared" si="85"/>
        <v>0</v>
      </c>
      <c r="W35" s="229"/>
      <c r="X35" s="74" t="s">
        <v>34</v>
      </c>
      <c r="Y35" s="7"/>
      <c r="Z35" s="7"/>
      <c r="AA35" s="7"/>
      <c r="AB35" s="13"/>
      <c r="AC35" s="13"/>
      <c r="AD35" s="13"/>
    </row>
    <row r="36" ht="14.25">
      <c r="A36" s="203" t="s">
        <v>31</v>
      </c>
      <c r="B36" s="354"/>
      <c r="C36" s="354" t="s">
        <v>33</v>
      </c>
      <c r="D36" s="354"/>
      <c r="E36" s="354" t="s">
        <v>33</v>
      </c>
      <c r="F36" s="354"/>
      <c r="G36" s="354" t="s">
        <v>56</v>
      </c>
      <c r="H36" s="354"/>
      <c r="I36" s="354" t="s">
        <v>33</v>
      </c>
      <c r="J36" s="67"/>
      <c r="K36" s="67"/>
      <c r="L36" s="355"/>
      <c r="M36" s="355"/>
      <c r="N36" s="355"/>
      <c r="O36" s="355"/>
      <c r="P36" s="218">
        <f t="shared" si="82"/>
        <v>31</v>
      </c>
      <c r="Q36" s="62">
        <f t="shared" si="86"/>
        <v>96</v>
      </c>
      <c r="R36" s="288" t="str">
        <f t="shared" si="83"/>
        <v>Нетронин</v>
      </c>
      <c r="S36" s="76" t="s">
        <v>58</v>
      </c>
      <c r="T36" s="77" t="s">
        <v>59</v>
      </c>
      <c r="U36" s="73">
        <f t="shared" si="84"/>
        <v>0</v>
      </c>
      <c r="V36" s="62">
        <f t="shared" si="85"/>
        <v>0</v>
      </c>
      <c r="W36" s="62"/>
      <c r="X36" s="74" t="s">
        <v>34</v>
      </c>
      <c r="Y36" s="7"/>
      <c r="Z36" s="7"/>
      <c r="AA36" s="7"/>
      <c r="AB36" s="13"/>
      <c r="AC36" s="13"/>
      <c r="AD36" s="13"/>
    </row>
    <row r="37" ht="14.25">
      <c r="A37" s="203" t="s">
        <v>62</v>
      </c>
      <c r="B37" s="354"/>
      <c r="C37" s="354" t="s">
        <v>33</v>
      </c>
      <c r="D37" s="354"/>
      <c r="E37" s="354" t="s">
        <v>33</v>
      </c>
      <c r="F37" s="354"/>
      <c r="G37" s="354" t="s">
        <v>33</v>
      </c>
      <c r="H37" s="354"/>
      <c r="I37" s="354" t="s">
        <v>33</v>
      </c>
      <c r="J37" s="67"/>
      <c r="K37" s="67"/>
      <c r="L37" s="355"/>
      <c r="M37" s="355"/>
      <c r="N37" s="355"/>
      <c r="O37" s="355"/>
      <c r="P37" s="218">
        <f t="shared" si="82"/>
        <v>32</v>
      </c>
      <c r="Q37" s="62">
        <f t="shared" si="86"/>
        <v>95</v>
      </c>
      <c r="R37" s="288" t="str">
        <f t="shared" si="83"/>
        <v>Раимова</v>
      </c>
      <c r="S37" s="76" t="s">
        <v>10</v>
      </c>
      <c r="T37" s="77" t="s">
        <v>9</v>
      </c>
      <c r="U37" s="73">
        <f t="shared" si="84"/>
        <v>0</v>
      </c>
      <c r="V37" s="62">
        <f t="shared" si="85"/>
        <v>0</v>
      </c>
      <c r="W37" s="62"/>
      <c r="X37" s="74" t="s">
        <v>38</v>
      </c>
      <c r="Y37" s="7"/>
      <c r="Z37" s="7"/>
      <c r="AA37" s="7"/>
      <c r="AB37" s="13"/>
      <c r="AC37" s="13"/>
      <c r="AD37" s="13"/>
    </row>
    <row r="38" ht="14.25">
      <c r="A38" s="203" t="s">
        <v>63</v>
      </c>
      <c r="B38" s="354"/>
      <c r="C38" s="354" t="s">
        <v>33</v>
      </c>
      <c r="D38" s="354"/>
      <c r="E38" s="354" t="s">
        <v>33</v>
      </c>
      <c r="F38" s="354"/>
      <c r="G38" s="354" t="s">
        <v>33</v>
      </c>
      <c r="H38" s="354"/>
      <c r="I38" s="354" t="s">
        <v>56</v>
      </c>
      <c r="J38" s="67"/>
      <c r="K38" s="67"/>
      <c r="L38" s="355"/>
      <c r="M38" s="355"/>
      <c r="N38" s="355"/>
      <c r="O38" s="355"/>
      <c r="P38" s="218">
        <f t="shared" si="82"/>
        <v>31</v>
      </c>
      <c r="Q38" s="62">
        <f t="shared" si="86"/>
        <v>96</v>
      </c>
      <c r="R38" s="288" t="str">
        <f t="shared" si="83"/>
        <v>Войтехович</v>
      </c>
      <c r="S38" s="76" t="s">
        <v>10</v>
      </c>
      <c r="T38" s="77" t="s">
        <v>9</v>
      </c>
      <c r="U38" s="73">
        <f t="shared" si="84"/>
        <v>0</v>
      </c>
      <c r="V38" s="62">
        <f t="shared" si="85"/>
        <v>0</v>
      </c>
      <c r="W38" s="62"/>
      <c r="X38" s="74" t="s">
        <v>38</v>
      </c>
      <c r="Y38" s="7"/>
      <c r="Z38" s="7"/>
      <c r="AA38" s="7"/>
      <c r="AB38" s="13"/>
      <c r="AC38" s="13"/>
      <c r="AD38" s="13"/>
    </row>
    <row r="39" ht="14.25">
      <c r="A39" s="203" t="s">
        <v>64</v>
      </c>
      <c r="B39" s="354"/>
      <c r="C39" s="354" t="s">
        <v>33</v>
      </c>
      <c r="D39" s="354"/>
      <c r="E39" s="354" t="s">
        <v>33</v>
      </c>
      <c r="F39" s="354"/>
      <c r="G39" s="354" t="s">
        <v>33</v>
      </c>
      <c r="H39" s="354"/>
      <c r="I39" s="354" t="s">
        <v>33</v>
      </c>
      <c r="J39" s="67"/>
      <c r="K39" s="67"/>
      <c r="L39" s="381"/>
      <c r="M39" s="355"/>
      <c r="N39" s="355"/>
      <c r="O39" s="382"/>
      <c r="P39" s="218">
        <f t="shared" si="82"/>
        <v>32</v>
      </c>
      <c r="Q39" s="62">
        <f t="shared" si="86"/>
        <v>95</v>
      </c>
      <c r="R39" s="288" t="str">
        <f t="shared" si="83"/>
        <v>Васильев</v>
      </c>
      <c r="S39" s="71" t="s">
        <v>12</v>
      </c>
      <c r="T39" s="72" t="s">
        <v>11</v>
      </c>
      <c r="U39" s="73">
        <f t="shared" si="84"/>
        <v>0</v>
      </c>
      <c r="V39" s="62">
        <f t="shared" si="85"/>
        <v>0</v>
      </c>
      <c r="W39" s="62"/>
      <c r="X39" s="383" t="s">
        <v>44</v>
      </c>
      <c r="Y39" s="7"/>
      <c r="Z39" s="7"/>
      <c r="AA39" s="7"/>
      <c r="AB39" s="13"/>
      <c r="AC39" s="13"/>
      <c r="AD39" s="13"/>
    </row>
    <row r="40" ht="14.25">
      <c r="A40" s="205" t="s">
        <v>43</v>
      </c>
      <c r="B40" s="76"/>
      <c r="C40" s="361">
        <v>11</v>
      </c>
      <c r="D40" s="76"/>
      <c r="E40" s="361">
        <v>11</v>
      </c>
      <c r="F40" s="384"/>
      <c r="G40" s="384"/>
      <c r="H40" s="76"/>
      <c r="I40" s="361">
        <v>11</v>
      </c>
      <c r="J40" s="360"/>
      <c r="K40" s="360"/>
      <c r="L40" s="360"/>
      <c r="M40" s="360"/>
      <c r="N40" s="360"/>
      <c r="O40" s="360"/>
      <c r="P40" s="218">
        <f t="shared" si="82"/>
        <v>33</v>
      </c>
      <c r="Q40" s="62">
        <f t="shared" si="86"/>
        <v>101</v>
      </c>
      <c r="R40" s="219" t="str">
        <f t="shared" si="83"/>
        <v>Дащенко</v>
      </c>
      <c r="S40" s="76" t="s">
        <v>10</v>
      </c>
      <c r="T40" s="77" t="s">
        <v>9</v>
      </c>
      <c r="U40" s="90">
        <f t="shared" si="84"/>
        <v>0</v>
      </c>
      <c r="V40" s="62">
        <v>3</v>
      </c>
      <c r="W40" s="62"/>
      <c r="X40" s="74" t="s">
        <v>34</v>
      </c>
      <c r="Y40" s="7"/>
      <c r="Z40" s="7"/>
      <c r="AA40" s="7"/>
      <c r="AB40" s="13"/>
      <c r="AC40" s="13"/>
      <c r="AD40" s="13"/>
    </row>
    <row r="41" ht="14.25">
      <c r="A41" s="205" t="s">
        <v>45</v>
      </c>
      <c r="B41" s="77"/>
      <c r="C41" s="359">
        <v>11</v>
      </c>
      <c r="D41" s="384"/>
      <c r="E41" s="384"/>
      <c r="F41" s="384"/>
      <c r="G41" s="384"/>
      <c r="H41" s="67"/>
      <c r="I41" s="362"/>
      <c r="J41" s="76"/>
      <c r="K41" s="361">
        <v>11</v>
      </c>
      <c r="L41" s="76"/>
      <c r="M41" s="361">
        <v>11</v>
      </c>
      <c r="N41" s="384"/>
      <c r="O41" s="384"/>
      <c r="P41" s="218">
        <f t="shared" si="82"/>
        <v>33</v>
      </c>
      <c r="Q41" s="62">
        <f t="shared" si="86"/>
        <v>101</v>
      </c>
      <c r="R41" s="219" t="str">
        <f t="shared" si="83"/>
        <v>Пузырь</v>
      </c>
      <c r="S41" s="76" t="s">
        <v>10</v>
      </c>
      <c r="T41" s="77" t="s">
        <v>9</v>
      </c>
      <c r="U41" s="73">
        <v>1</v>
      </c>
      <c r="V41" s="62">
        <v>2</v>
      </c>
      <c r="W41" s="62"/>
      <c r="X41" s="74" t="s">
        <v>34</v>
      </c>
      <c r="Y41" s="7"/>
      <c r="Z41" s="7"/>
      <c r="AA41" s="7"/>
      <c r="AB41" s="13"/>
      <c r="AC41" s="13"/>
      <c r="AD41" s="13"/>
    </row>
    <row r="42" ht="14.25">
      <c r="A42" s="205" t="s">
        <v>65</v>
      </c>
      <c r="B42" s="384"/>
      <c r="C42" s="384"/>
      <c r="D42" s="384"/>
      <c r="E42" s="384"/>
      <c r="F42" s="77"/>
      <c r="G42" s="359">
        <v>11</v>
      </c>
      <c r="H42" s="77"/>
      <c r="I42" s="359">
        <v>11</v>
      </c>
      <c r="J42" s="384"/>
      <c r="K42" s="384"/>
      <c r="L42" s="384"/>
      <c r="M42" s="384"/>
      <c r="N42" s="76"/>
      <c r="O42" s="361">
        <v>11</v>
      </c>
      <c r="P42" s="218">
        <f t="shared" si="82"/>
        <v>33</v>
      </c>
      <c r="Q42" s="62">
        <f t="shared" si="86"/>
        <v>90</v>
      </c>
      <c r="R42" s="219" t="str">
        <f t="shared" si="83"/>
        <v>Рожнева</v>
      </c>
      <c r="S42" s="76" t="s">
        <v>10</v>
      </c>
      <c r="T42" s="77" t="s">
        <v>9</v>
      </c>
      <c r="U42" s="90">
        <v>2</v>
      </c>
      <c r="V42" s="62">
        <v>1</v>
      </c>
      <c r="W42" s="62"/>
      <c r="X42" s="74" t="s">
        <v>34</v>
      </c>
      <c r="Y42" s="7"/>
      <c r="Z42" s="7"/>
      <c r="AA42" s="7"/>
      <c r="AB42" s="13"/>
      <c r="AC42" s="13"/>
      <c r="AD42" s="13"/>
    </row>
    <row r="43" ht="14.25">
      <c r="A43" s="205" t="s">
        <v>47</v>
      </c>
      <c r="B43" s="76"/>
      <c r="C43" s="361">
        <v>11</v>
      </c>
      <c r="D43" s="360"/>
      <c r="E43" s="360"/>
      <c r="F43" s="384"/>
      <c r="G43" s="384"/>
      <c r="H43" s="67"/>
      <c r="I43" s="362"/>
      <c r="J43" s="77"/>
      <c r="K43" s="359">
        <v>11</v>
      </c>
      <c r="L43" s="77"/>
      <c r="M43" s="359">
        <v>11</v>
      </c>
      <c r="N43" s="384"/>
      <c r="O43" s="384"/>
      <c r="P43" s="218">
        <f t="shared" si="82"/>
        <v>33</v>
      </c>
      <c r="Q43" s="62">
        <f t="shared" si="86"/>
        <v>101</v>
      </c>
      <c r="R43" s="219" t="str">
        <f t="shared" si="83"/>
        <v>Торубара</v>
      </c>
      <c r="S43" s="76" t="s">
        <v>10</v>
      </c>
      <c r="T43" s="77" t="s">
        <v>9</v>
      </c>
      <c r="U43" s="90">
        <v>2</v>
      </c>
      <c r="V43" s="62">
        <v>1</v>
      </c>
      <c r="W43" s="62"/>
      <c r="X43" s="74" t="s">
        <v>34</v>
      </c>
      <c r="Y43" s="7"/>
      <c r="Z43" s="7"/>
      <c r="AA43" s="7"/>
      <c r="AB43" s="13"/>
      <c r="AC43" s="13"/>
      <c r="AD43" s="13"/>
    </row>
    <row r="44" ht="14.25">
      <c r="A44" s="205" t="s">
        <v>48</v>
      </c>
      <c r="B44" s="385"/>
      <c r="C44" s="386"/>
      <c r="D44" s="77"/>
      <c r="E44" s="359">
        <v>11</v>
      </c>
      <c r="F44" s="77"/>
      <c r="G44" s="359">
        <v>11</v>
      </c>
      <c r="H44" s="387"/>
      <c r="I44" s="385"/>
      <c r="J44" s="385"/>
      <c r="K44" s="386"/>
      <c r="L44" s="76"/>
      <c r="M44" s="361">
        <v>11</v>
      </c>
      <c r="N44" s="76"/>
      <c r="O44" s="361">
        <v>11</v>
      </c>
      <c r="P44" s="218">
        <f t="shared" si="82"/>
        <v>44</v>
      </c>
      <c r="Q44" s="62">
        <f t="shared" si="86"/>
        <v>79</v>
      </c>
      <c r="R44" s="288" t="str">
        <f t="shared" si="83"/>
        <v>Стрыгин</v>
      </c>
      <c r="S44" s="71" t="s">
        <v>8</v>
      </c>
      <c r="T44" s="72" t="s">
        <v>7</v>
      </c>
      <c r="U44" s="73">
        <v>2</v>
      </c>
      <c r="V44" s="62">
        <v>2</v>
      </c>
      <c r="W44" s="62"/>
      <c r="X44" s="74" t="s">
        <v>49</v>
      </c>
      <c r="Y44" s="7"/>
      <c r="Z44" s="7"/>
      <c r="AA44" s="7"/>
      <c r="AB44" s="13"/>
      <c r="AC44" s="13"/>
      <c r="AD44" s="13"/>
    </row>
    <row r="45" ht="14.25">
      <c r="A45" s="388" t="s">
        <v>50</v>
      </c>
      <c r="B45" s="2" t="s">
        <v>1</v>
      </c>
      <c r="C45" s="3">
        <v>8</v>
      </c>
      <c r="D45" s="389" t="s">
        <v>1</v>
      </c>
      <c r="E45" s="390">
        <v>8</v>
      </c>
      <c r="F45" s="391" t="s">
        <v>1</v>
      </c>
      <c r="G45" s="392">
        <v>8</v>
      </c>
      <c r="H45" s="393" t="s">
        <v>1</v>
      </c>
      <c r="I45" s="394">
        <v>8</v>
      </c>
      <c r="J45" s="2" t="s">
        <v>1</v>
      </c>
      <c r="K45" s="3">
        <v>8</v>
      </c>
      <c r="L45" s="389" t="s">
        <v>1</v>
      </c>
      <c r="M45" s="390"/>
      <c r="N45" s="391"/>
      <c r="O45" s="392"/>
      <c r="P45" s="253">
        <f t="shared" si="82"/>
        <v>40</v>
      </c>
      <c r="Q45" s="62">
        <f t="shared" si="86"/>
        <v>94</v>
      </c>
      <c r="R45" s="288" t="str">
        <f t="shared" si="83"/>
        <v>Фрик</v>
      </c>
      <c r="S45" s="71" t="s">
        <v>12</v>
      </c>
      <c r="T45" s="72" t="s">
        <v>11</v>
      </c>
      <c r="U45" s="73">
        <f t="shared" si="84"/>
        <v>0</v>
      </c>
      <c r="V45" s="62">
        <f t="shared" si="85"/>
        <v>0</v>
      </c>
      <c r="W45" s="62"/>
      <c r="X45" s="242" t="s">
        <v>44</v>
      </c>
      <c r="Y45" s="7"/>
      <c r="Z45" s="7"/>
      <c r="AA45" s="7"/>
      <c r="AB45" s="13"/>
      <c r="AC45" s="13"/>
      <c r="AD45" s="13"/>
    </row>
    <row r="46" ht="14.25">
      <c r="A46" s="206" t="s">
        <v>51</v>
      </c>
      <c r="B46" s="355"/>
      <c r="C46" s="355"/>
      <c r="D46" s="395"/>
      <c r="E46" s="396"/>
      <c r="F46" s="76"/>
      <c r="G46" s="361">
        <v>11</v>
      </c>
      <c r="H46" s="76"/>
      <c r="I46" s="361">
        <v>11</v>
      </c>
      <c r="J46" s="355"/>
      <c r="K46" s="355"/>
      <c r="L46" s="395"/>
      <c r="M46" s="396"/>
      <c r="N46" s="77"/>
      <c r="O46" s="359">
        <v>11</v>
      </c>
      <c r="P46" s="218">
        <f t="shared" si="82"/>
        <v>33</v>
      </c>
      <c r="Q46" s="62">
        <f t="shared" si="86"/>
        <v>90</v>
      </c>
      <c r="R46" s="288" t="str">
        <f t="shared" si="83"/>
        <v>Истрашкин</v>
      </c>
      <c r="S46" s="71" t="s">
        <v>10</v>
      </c>
      <c r="T46" s="72" t="s">
        <v>9</v>
      </c>
      <c r="U46" s="73">
        <v>1</v>
      </c>
      <c r="V46" s="62">
        <v>2</v>
      </c>
      <c r="W46" s="62"/>
      <c r="X46" s="242" t="s">
        <v>34</v>
      </c>
      <c r="Y46" s="7"/>
      <c r="Z46" s="7"/>
      <c r="AA46" s="7"/>
      <c r="AB46" s="13"/>
      <c r="AC46" s="13"/>
      <c r="AD46" s="13"/>
    </row>
    <row r="47" ht="14.25">
      <c r="A47" s="397" t="s">
        <v>66</v>
      </c>
      <c r="B47" s="357"/>
      <c r="C47" s="358"/>
      <c r="D47" s="76"/>
      <c r="E47" s="361">
        <v>11</v>
      </c>
      <c r="F47" s="76"/>
      <c r="G47" s="361">
        <v>11</v>
      </c>
      <c r="H47" s="398"/>
      <c r="I47" s="399"/>
      <c r="J47" s="357"/>
      <c r="K47" s="358"/>
      <c r="L47" s="77"/>
      <c r="M47" s="359">
        <v>11</v>
      </c>
      <c r="N47" s="77"/>
      <c r="O47" s="359">
        <v>11</v>
      </c>
      <c r="P47" s="218">
        <f t="shared" si="82"/>
        <v>44</v>
      </c>
      <c r="Q47" s="62">
        <f t="shared" si="86"/>
        <v>79</v>
      </c>
      <c r="R47" s="288" t="str">
        <f t="shared" si="83"/>
        <v>Качаев</v>
      </c>
      <c r="S47" s="71" t="s">
        <v>10</v>
      </c>
      <c r="T47" s="72" t="s">
        <v>9</v>
      </c>
      <c r="U47" s="73">
        <v>2</v>
      </c>
      <c r="V47" s="62">
        <v>2</v>
      </c>
      <c r="W47" s="62"/>
      <c r="X47" s="242" t="s">
        <v>34</v>
      </c>
      <c r="Y47" s="7"/>
      <c r="Z47" s="7"/>
      <c r="AA47" s="7"/>
      <c r="AB47" s="13"/>
      <c r="AC47" s="13"/>
      <c r="AD47" s="13"/>
    </row>
    <row r="48" ht="14.25">
      <c r="A48" s="97"/>
      <c r="B48" s="53">
        <v>46181</v>
      </c>
      <c r="C48" s="53"/>
      <c r="D48" s="53">
        <v>46182</v>
      </c>
      <c r="E48" s="53"/>
      <c r="F48" s="53">
        <v>46183</v>
      </c>
      <c r="G48" s="53"/>
      <c r="H48" s="53">
        <v>46184</v>
      </c>
      <c r="I48" s="53"/>
      <c r="J48" s="144">
        <v>46185</v>
      </c>
      <c r="K48" s="144"/>
      <c r="L48" s="53">
        <v>46186</v>
      </c>
      <c r="M48" s="53"/>
      <c r="N48" s="53">
        <v>46187</v>
      </c>
      <c r="O48" s="53"/>
      <c r="P48" s="400"/>
      <c r="Q48" s="401"/>
      <c r="R48" s="402"/>
      <c r="S48" s="178"/>
      <c r="T48" s="178"/>
      <c r="U48" s="373"/>
      <c r="V48" s="100"/>
      <c r="W48" s="100"/>
      <c r="X48" s="403"/>
      <c r="Y48" s="7"/>
      <c r="Z48" s="7"/>
      <c r="AA48" s="7"/>
      <c r="AB48" s="13"/>
      <c r="AC48" s="13"/>
      <c r="AD48" s="13"/>
    </row>
    <row r="49" ht="14.25">
      <c r="A49" s="369"/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1"/>
      <c r="R49" s="372"/>
      <c r="S49" s="165"/>
      <c r="T49" s="165"/>
      <c r="U49" s="12"/>
      <c r="V49" s="100"/>
      <c r="W49" s="100"/>
      <c r="X49" s="242"/>
      <c r="Y49" s="7"/>
      <c r="Z49" s="7"/>
      <c r="AA49" s="7"/>
      <c r="AB49" s="13"/>
      <c r="AC49" s="13"/>
      <c r="AD49" s="13"/>
    </row>
    <row r="50" ht="14.25">
      <c r="A50" s="52"/>
      <c r="B50" s="56" t="s">
        <v>17</v>
      </c>
      <c r="C50" s="116"/>
      <c r="D50" s="56" t="s">
        <v>18</v>
      </c>
      <c r="E50" s="116"/>
      <c r="F50" s="56" t="s">
        <v>19</v>
      </c>
      <c r="G50" s="56"/>
      <c r="H50" s="56" t="s">
        <v>20</v>
      </c>
      <c r="I50" s="116"/>
      <c r="J50" s="56" t="s">
        <v>21</v>
      </c>
      <c r="K50" s="56"/>
      <c r="L50" s="56" t="s">
        <v>22</v>
      </c>
      <c r="M50" s="56"/>
      <c r="N50" s="56" t="s">
        <v>23</v>
      </c>
      <c r="O50" s="56"/>
      <c r="P50" s="404" t="s">
        <v>24</v>
      </c>
      <c r="Q50" s="405"/>
      <c r="R50" s="406"/>
      <c r="S50" s="143"/>
      <c r="T50" s="143"/>
      <c r="U50" s="90"/>
      <c r="V50" s="62"/>
      <c r="W50" s="62"/>
      <c r="X50" s="242"/>
      <c r="Y50" s="7"/>
      <c r="Z50" s="7"/>
      <c r="AA50" s="7"/>
      <c r="AB50" s="13"/>
      <c r="AC50" s="13"/>
      <c r="AD50" s="13"/>
    </row>
    <row r="51" ht="14.25">
      <c r="A51" s="407"/>
      <c r="B51" s="53">
        <v>46188</v>
      </c>
      <c r="C51" s="53"/>
      <c r="D51" s="53">
        <v>46189</v>
      </c>
      <c r="E51" s="53"/>
      <c r="F51" s="53">
        <v>46190</v>
      </c>
      <c r="G51" s="53"/>
      <c r="H51" s="53">
        <v>46191</v>
      </c>
      <c r="I51" s="53"/>
      <c r="J51" s="53">
        <v>46192</v>
      </c>
      <c r="K51" s="53"/>
      <c r="L51" s="53">
        <v>46193</v>
      </c>
      <c r="M51" s="53"/>
      <c r="N51" s="53">
        <v>46194</v>
      </c>
      <c r="O51" s="54"/>
      <c r="P51" s="408" t="s">
        <v>25</v>
      </c>
      <c r="Q51" s="409" t="s">
        <v>26</v>
      </c>
      <c r="R51" s="410"/>
      <c r="S51" s="147"/>
      <c r="T51" s="147"/>
      <c r="U51" s="194" t="s">
        <v>27</v>
      </c>
      <c r="V51" s="61" t="s">
        <v>28</v>
      </c>
      <c r="W51" s="229" t="s">
        <v>29</v>
      </c>
      <c r="X51" s="74" t="s">
        <v>30</v>
      </c>
      <c r="Y51" s="7"/>
      <c r="Z51" s="7"/>
      <c r="AA51" s="7"/>
      <c r="AB51" s="13"/>
      <c r="AC51" s="13"/>
      <c r="AD51" s="13"/>
    </row>
    <row r="52" ht="14.25">
      <c r="A52" s="217" t="s">
        <v>35</v>
      </c>
      <c r="B52" s="354"/>
      <c r="C52" s="354" t="s">
        <v>33</v>
      </c>
      <c r="D52" s="354"/>
      <c r="E52" s="354" t="s">
        <v>56</v>
      </c>
      <c r="F52" s="354"/>
      <c r="G52" s="354" t="s">
        <v>33</v>
      </c>
      <c r="H52" s="354"/>
      <c r="I52" s="354" t="s">
        <v>33</v>
      </c>
      <c r="J52" s="354"/>
      <c r="K52" s="354" t="s">
        <v>33</v>
      </c>
      <c r="L52" s="355"/>
      <c r="M52" s="355"/>
      <c r="N52" s="355"/>
      <c r="O52" s="355"/>
      <c r="P52" s="218">
        <f t="shared" si="82"/>
        <v>39</v>
      </c>
      <c r="Q52" s="62">
        <f t="shared" si="86"/>
        <v>56</v>
      </c>
      <c r="R52" s="288" t="str">
        <f t="shared" si="83"/>
        <v>Рычков</v>
      </c>
      <c r="S52" s="76" t="s">
        <v>10</v>
      </c>
      <c r="T52" s="77" t="s">
        <v>9</v>
      </c>
      <c r="U52" s="73">
        <f t="shared" si="84"/>
        <v>0</v>
      </c>
      <c r="V52" s="62">
        <f t="shared" si="85"/>
        <v>0</v>
      </c>
      <c r="W52" s="62"/>
      <c r="X52" s="74" t="s">
        <v>34</v>
      </c>
      <c r="Y52" s="7"/>
      <c r="Z52" s="7"/>
      <c r="AA52" s="7"/>
      <c r="AB52" s="13"/>
      <c r="AC52" s="13"/>
      <c r="AD52" s="13"/>
    </row>
    <row r="53" ht="14.25">
      <c r="A53" s="203" t="s">
        <v>61</v>
      </c>
      <c r="B53" s="354"/>
      <c r="C53" s="354" t="s">
        <v>33</v>
      </c>
      <c r="D53" s="354"/>
      <c r="E53" s="354" t="s">
        <v>33</v>
      </c>
      <c r="F53" s="354"/>
      <c r="G53" s="354" t="s">
        <v>56</v>
      </c>
      <c r="H53" s="354"/>
      <c r="I53" s="354" t="s">
        <v>33</v>
      </c>
      <c r="J53" s="354"/>
      <c r="K53" s="354" t="s">
        <v>33</v>
      </c>
      <c r="L53" s="355"/>
      <c r="M53" s="355"/>
      <c r="N53" s="355"/>
      <c r="O53" s="355"/>
      <c r="P53" s="218">
        <f t="shared" si="82"/>
        <v>39</v>
      </c>
      <c r="Q53" s="62">
        <f t="shared" si="86"/>
        <v>56</v>
      </c>
      <c r="R53" s="288" t="str">
        <f t="shared" si="83"/>
        <v>Карузина</v>
      </c>
      <c r="S53" s="76" t="s">
        <v>10</v>
      </c>
      <c r="T53" s="77" t="s">
        <v>9</v>
      </c>
      <c r="U53" s="73">
        <f t="shared" si="84"/>
        <v>0</v>
      </c>
      <c r="V53" s="62">
        <f t="shared" si="85"/>
        <v>0</v>
      </c>
      <c r="W53" s="62"/>
      <c r="X53" s="79" t="s">
        <v>34</v>
      </c>
      <c r="Y53" s="7"/>
      <c r="Z53" s="7"/>
      <c r="AA53" s="7"/>
      <c r="AB53" s="13"/>
      <c r="AC53" s="13"/>
      <c r="AD53" s="13"/>
    </row>
    <row r="54" ht="14.25">
      <c r="A54" s="203" t="s">
        <v>39</v>
      </c>
      <c r="B54" s="411"/>
      <c r="C54" s="411" t="s">
        <v>33</v>
      </c>
      <c r="D54" s="411"/>
      <c r="E54" s="411" t="s">
        <v>33</v>
      </c>
      <c r="F54" s="411"/>
      <c r="G54" s="411" t="s">
        <v>33</v>
      </c>
      <c r="H54" s="411"/>
      <c r="I54" s="411" t="s">
        <v>56</v>
      </c>
      <c r="J54" s="411"/>
      <c r="K54" s="411" t="s">
        <v>33</v>
      </c>
      <c r="L54" s="412"/>
      <c r="M54" s="413"/>
      <c r="N54" s="413"/>
      <c r="O54" s="414"/>
      <c r="P54" s="218">
        <f t="shared" si="82"/>
        <v>39</v>
      </c>
      <c r="Q54" s="62">
        <f t="shared" si="86"/>
        <v>56</v>
      </c>
      <c r="R54" s="288" t="str">
        <f t="shared" si="83"/>
        <v>Игумнов</v>
      </c>
      <c r="S54" s="76" t="s">
        <v>10</v>
      </c>
      <c r="T54" s="77" t="s">
        <v>9</v>
      </c>
      <c r="U54" s="73">
        <f t="shared" si="84"/>
        <v>0</v>
      </c>
      <c r="V54" s="62">
        <f t="shared" si="85"/>
        <v>0</v>
      </c>
      <c r="W54" s="62"/>
      <c r="X54" s="74" t="s">
        <v>38</v>
      </c>
      <c r="Y54" s="7"/>
      <c r="Z54" s="7"/>
      <c r="AA54" s="7"/>
      <c r="AB54" s="13"/>
      <c r="AC54" s="13"/>
      <c r="AD54" s="13"/>
    </row>
    <row r="55" ht="14.25">
      <c r="A55" s="415" t="s">
        <v>40</v>
      </c>
      <c r="B55" s="2" t="s">
        <v>1</v>
      </c>
      <c r="C55" s="3">
        <v>8</v>
      </c>
      <c r="D55" s="2" t="s">
        <v>1</v>
      </c>
      <c r="E55" s="3">
        <v>8</v>
      </c>
      <c r="F55" s="2" t="s">
        <v>1</v>
      </c>
      <c r="G55" s="3">
        <v>8</v>
      </c>
      <c r="H55" s="2" t="s">
        <v>1</v>
      </c>
      <c r="I55" s="3">
        <v>8</v>
      </c>
      <c r="J55" s="2" t="s">
        <v>1</v>
      </c>
      <c r="K55" s="3">
        <v>8</v>
      </c>
      <c r="L55" s="2" t="s">
        <v>1</v>
      </c>
      <c r="M55" s="3"/>
      <c r="N55" s="2"/>
      <c r="O55" s="3"/>
      <c r="P55" s="253">
        <f t="shared" si="82"/>
        <v>40</v>
      </c>
      <c r="Q55" s="62">
        <f t="shared" si="86"/>
        <v>55</v>
      </c>
      <c r="R55" s="288" t="str">
        <f t="shared" si="83"/>
        <v>Душин</v>
      </c>
      <c r="S55" s="76" t="s">
        <v>58</v>
      </c>
      <c r="T55" s="77" t="s">
        <v>59</v>
      </c>
      <c r="U55" s="73">
        <f t="shared" si="84"/>
        <v>0</v>
      </c>
      <c r="V55" s="62">
        <f t="shared" si="85"/>
        <v>0</v>
      </c>
      <c r="W55" s="62"/>
      <c r="X55" s="74" t="s">
        <v>34</v>
      </c>
      <c r="Y55" s="7"/>
      <c r="Z55" s="7"/>
      <c r="AA55" s="7"/>
      <c r="AB55" s="13"/>
      <c r="AC55" s="13"/>
      <c r="AD55" s="13"/>
    </row>
    <row r="56" ht="14.25">
      <c r="A56" s="203" t="s">
        <v>31</v>
      </c>
      <c r="B56" s="416"/>
      <c r="C56" s="416" t="s">
        <v>33</v>
      </c>
      <c r="D56" s="416"/>
      <c r="E56" s="416" t="s">
        <v>33</v>
      </c>
      <c r="F56" s="416"/>
      <c r="G56" s="416" t="s">
        <v>33</v>
      </c>
      <c r="H56" s="416"/>
      <c r="I56" s="416" t="s">
        <v>33</v>
      </c>
      <c r="J56" s="416"/>
      <c r="K56" s="416" t="s">
        <v>33</v>
      </c>
      <c r="L56" s="417"/>
      <c r="M56" s="417"/>
      <c r="N56" s="417"/>
      <c r="O56" s="417"/>
      <c r="P56" s="218">
        <f t="shared" si="82"/>
        <v>40</v>
      </c>
      <c r="Q56" s="62">
        <f t="shared" si="86"/>
        <v>56</v>
      </c>
      <c r="R56" s="219" t="str">
        <f t="shared" si="83"/>
        <v>Нетронин</v>
      </c>
      <c r="S56" s="76" t="s">
        <v>58</v>
      </c>
      <c r="T56" s="77" t="s">
        <v>59</v>
      </c>
      <c r="U56" s="90">
        <f t="shared" si="84"/>
        <v>0</v>
      </c>
      <c r="V56" s="62">
        <f t="shared" si="85"/>
        <v>0</v>
      </c>
      <c r="W56" s="62"/>
      <c r="X56" s="74" t="s">
        <v>34</v>
      </c>
      <c r="Y56" s="7"/>
      <c r="Z56" s="7"/>
      <c r="AA56" s="7"/>
      <c r="AB56" s="13"/>
      <c r="AC56" s="13"/>
      <c r="AD56" s="13"/>
    </row>
    <row r="57" ht="14.25">
      <c r="A57" s="203" t="s">
        <v>62</v>
      </c>
      <c r="B57" s="354"/>
      <c r="C57" s="354" t="s">
        <v>33</v>
      </c>
      <c r="D57" s="354"/>
      <c r="E57" s="354" t="s">
        <v>33</v>
      </c>
      <c r="F57" s="354"/>
      <c r="G57" s="354" t="s">
        <v>33</v>
      </c>
      <c r="H57" s="354"/>
      <c r="I57" s="354" t="s">
        <v>33</v>
      </c>
      <c r="J57" s="354"/>
      <c r="K57" s="354" t="s">
        <v>56</v>
      </c>
      <c r="L57" s="384"/>
      <c r="M57" s="384"/>
      <c r="N57" s="384"/>
      <c r="O57" s="384"/>
      <c r="P57" s="218">
        <f t="shared" si="82"/>
        <v>39</v>
      </c>
      <c r="Q57" s="62">
        <f t="shared" si="86"/>
        <v>56</v>
      </c>
      <c r="R57" s="219" t="str">
        <f t="shared" si="83"/>
        <v>Раимова</v>
      </c>
      <c r="S57" s="76" t="s">
        <v>10</v>
      </c>
      <c r="T57" s="77" t="s">
        <v>9</v>
      </c>
      <c r="U57" s="73">
        <f t="shared" si="84"/>
        <v>0</v>
      </c>
      <c r="V57" s="62">
        <f t="shared" si="85"/>
        <v>0</v>
      </c>
      <c r="W57" s="62"/>
      <c r="X57" s="74" t="s">
        <v>38</v>
      </c>
      <c r="Y57" s="7"/>
      <c r="Z57" s="7"/>
      <c r="AA57" s="7"/>
      <c r="AB57" s="13"/>
      <c r="AC57" s="13"/>
      <c r="AD57" s="13"/>
    </row>
    <row r="58" ht="14.25">
      <c r="A58" s="203" t="s">
        <v>63</v>
      </c>
      <c r="B58" s="354"/>
      <c r="C58" s="354" t="s">
        <v>33</v>
      </c>
      <c r="D58" s="354"/>
      <c r="E58" s="354" t="s">
        <v>33</v>
      </c>
      <c r="F58" s="354"/>
      <c r="G58" s="354" t="s">
        <v>33</v>
      </c>
      <c r="H58" s="354"/>
      <c r="I58" s="354" t="s">
        <v>33</v>
      </c>
      <c r="J58" s="354"/>
      <c r="K58" s="354" t="s">
        <v>33</v>
      </c>
      <c r="L58" s="384"/>
      <c r="M58" s="384"/>
      <c r="N58" s="384"/>
      <c r="O58" s="384"/>
      <c r="P58" s="218">
        <f t="shared" si="82"/>
        <v>40</v>
      </c>
      <c r="Q58" s="62">
        <f t="shared" si="86"/>
        <v>56</v>
      </c>
      <c r="R58" s="219" t="str">
        <f t="shared" si="83"/>
        <v>Войтехович</v>
      </c>
      <c r="S58" s="76" t="s">
        <v>10</v>
      </c>
      <c r="T58" s="77" t="s">
        <v>9</v>
      </c>
      <c r="U58" s="90">
        <f t="shared" si="84"/>
        <v>0</v>
      </c>
      <c r="V58" s="62">
        <f t="shared" si="85"/>
        <v>0</v>
      </c>
      <c r="W58" s="62"/>
      <c r="X58" s="74" t="s">
        <v>38</v>
      </c>
      <c r="Y58" s="7"/>
      <c r="Z58" s="7"/>
      <c r="AA58" s="7"/>
      <c r="AB58" s="13"/>
      <c r="AC58" s="13"/>
      <c r="AD58" s="13"/>
    </row>
    <row r="59" ht="14.25">
      <c r="A59" s="203" t="s">
        <v>64</v>
      </c>
      <c r="B59" s="354"/>
      <c r="C59" s="354" t="s">
        <v>56</v>
      </c>
      <c r="D59" s="354"/>
      <c r="E59" s="354" t="s">
        <v>33</v>
      </c>
      <c r="F59" s="354"/>
      <c r="G59" s="354" t="s">
        <v>33</v>
      </c>
      <c r="H59" s="354"/>
      <c r="I59" s="354" t="s">
        <v>33</v>
      </c>
      <c r="J59" s="354"/>
      <c r="K59" s="354" t="s">
        <v>33</v>
      </c>
      <c r="L59" s="384"/>
      <c r="M59" s="384"/>
      <c r="N59" s="384"/>
      <c r="O59" s="384"/>
      <c r="P59" s="218">
        <f t="shared" si="82"/>
        <v>39</v>
      </c>
      <c r="Q59" s="62">
        <f t="shared" si="86"/>
        <v>56</v>
      </c>
      <c r="R59" s="219" t="str">
        <f t="shared" si="83"/>
        <v>Васильев</v>
      </c>
      <c r="S59" s="71" t="s">
        <v>12</v>
      </c>
      <c r="T59" s="72" t="s">
        <v>11</v>
      </c>
      <c r="U59" s="90">
        <f t="shared" si="84"/>
        <v>0</v>
      </c>
      <c r="V59" s="62">
        <f t="shared" si="85"/>
        <v>0</v>
      </c>
      <c r="W59" s="62"/>
      <c r="X59" s="383" t="s">
        <v>44</v>
      </c>
      <c r="Y59" s="7"/>
      <c r="Z59" s="7"/>
      <c r="AA59" s="7"/>
      <c r="AB59" s="13"/>
      <c r="AC59" s="13"/>
      <c r="AD59" s="13"/>
    </row>
    <row r="60" ht="14.25">
      <c r="A60" s="205" t="s">
        <v>43</v>
      </c>
      <c r="B60" s="76"/>
      <c r="C60" s="361">
        <v>11</v>
      </c>
      <c r="D60" s="76"/>
      <c r="E60" s="361">
        <v>11</v>
      </c>
      <c r="F60" s="384"/>
      <c r="G60" s="384"/>
      <c r="H60" s="384"/>
      <c r="I60" s="384"/>
      <c r="J60" s="77"/>
      <c r="K60" s="359">
        <v>11</v>
      </c>
      <c r="L60" s="77"/>
      <c r="M60" s="359">
        <v>11</v>
      </c>
      <c r="N60" s="384"/>
      <c r="O60" s="384"/>
      <c r="P60" s="218">
        <f t="shared" si="82"/>
        <v>44</v>
      </c>
      <c r="Q60" s="62">
        <f t="shared" si="86"/>
        <v>57</v>
      </c>
      <c r="R60" s="288" t="str">
        <f t="shared" si="83"/>
        <v>Дащенко</v>
      </c>
      <c r="S60" s="76" t="s">
        <v>10</v>
      </c>
      <c r="T60" s="77" t="s">
        <v>9</v>
      </c>
      <c r="U60" s="73">
        <v>2</v>
      </c>
      <c r="V60" s="62">
        <v>2</v>
      </c>
      <c r="W60" s="62"/>
      <c r="X60" s="74" t="s">
        <v>34</v>
      </c>
      <c r="Y60" s="7"/>
      <c r="Z60" s="7"/>
      <c r="AA60" s="7"/>
      <c r="AB60" s="13"/>
      <c r="AC60" s="13"/>
      <c r="AD60" s="13"/>
    </row>
    <row r="61" ht="14.25">
      <c r="A61" s="205" t="s">
        <v>45</v>
      </c>
      <c r="B61" s="384"/>
      <c r="C61" s="384"/>
      <c r="D61" s="77"/>
      <c r="E61" s="359">
        <v>11</v>
      </c>
      <c r="F61" s="77"/>
      <c r="G61" s="359">
        <v>11</v>
      </c>
      <c r="H61" s="384"/>
      <c r="I61" s="384"/>
      <c r="J61" s="384"/>
      <c r="K61" s="384"/>
      <c r="L61" s="77"/>
      <c r="M61" s="359">
        <v>11</v>
      </c>
      <c r="N61" s="77"/>
      <c r="O61" s="359">
        <v>11</v>
      </c>
      <c r="P61" s="218">
        <f t="shared" si="82"/>
        <v>44</v>
      </c>
      <c r="Q61" s="62">
        <f t="shared" si="86"/>
        <v>57</v>
      </c>
      <c r="R61" s="288" t="str">
        <f t="shared" si="83"/>
        <v>Пузырь</v>
      </c>
      <c r="S61" s="76" t="s">
        <v>10</v>
      </c>
      <c r="T61" s="77" t="s">
        <v>9</v>
      </c>
      <c r="U61" s="73">
        <v>4</v>
      </c>
      <c r="V61" s="62">
        <f>COUNTIF(S61,B61)+COUNTIF(S61,D61)+COUNTIF(S61,F61)+COUNTIF(S61,H61)+COUNTIF(S61,J61)+COUNTIF(S61,#REF!)+COUNTIF(S61,N61)</f>
        <v>0</v>
      </c>
      <c r="W61" s="62"/>
      <c r="X61" s="74" t="s">
        <v>34</v>
      </c>
      <c r="Y61" s="7"/>
      <c r="Z61" s="7"/>
      <c r="AA61" s="7"/>
      <c r="AB61" s="13"/>
      <c r="AC61" s="13"/>
      <c r="AD61" s="13"/>
    </row>
    <row r="62" ht="14.25">
      <c r="A62" s="205" t="s">
        <v>65</v>
      </c>
      <c r="B62" s="76"/>
      <c r="C62" s="361">
        <v>11</v>
      </c>
      <c r="D62" s="384"/>
      <c r="E62" s="384"/>
      <c r="F62" s="384"/>
      <c r="G62" s="384"/>
      <c r="H62" s="67"/>
      <c r="I62" s="362"/>
      <c r="J62" s="76"/>
      <c r="K62" s="361">
        <v>11</v>
      </c>
      <c r="L62" s="76"/>
      <c r="M62" s="361">
        <v>11</v>
      </c>
      <c r="N62" s="384"/>
      <c r="O62" s="384"/>
      <c r="P62" s="218">
        <f t="shared" si="82"/>
        <v>33</v>
      </c>
      <c r="Q62" s="62">
        <f t="shared" si="86"/>
        <v>57</v>
      </c>
      <c r="R62" s="288" t="str">
        <f t="shared" si="83"/>
        <v>Рожнева</v>
      </c>
      <c r="S62" s="76" t="s">
        <v>10</v>
      </c>
      <c r="T62" s="77" t="s">
        <v>9</v>
      </c>
      <c r="U62" s="73">
        <f>COUNTIF(T62,B62)+COUNTIF(T62,D62)+COUNTIF(T62,F62)+COUNTIF(T62,H62)+COUNTIF(T62,J62)+COUNTIF(T62,L61)+COUNTIF(T62,N62)</f>
        <v>0</v>
      </c>
      <c r="V62" s="62">
        <v>3</v>
      </c>
      <c r="W62" s="62"/>
      <c r="X62" s="242" t="s">
        <v>34</v>
      </c>
      <c r="Y62" s="7"/>
      <c r="Z62" s="7"/>
      <c r="AA62" s="7"/>
      <c r="AB62" s="13"/>
      <c r="AC62" s="13"/>
      <c r="AD62" s="13"/>
    </row>
    <row r="63" ht="14.25">
      <c r="A63" s="278" t="s">
        <v>47</v>
      </c>
      <c r="B63" s="418" t="s">
        <v>1</v>
      </c>
      <c r="C63" s="419">
        <v>8</v>
      </c>
      <c r="D63" s="418" t="s">
        <v>1</v>
      </c>
      <c r="E63" s="419">
        <v>8</v>
      </c>
      <c r="F63" s="418" t="s">
        <v>1</v>
      </c>
      <c r="G63" s="419">
        <v>8</v>
      </c>
      <c r="H63" s="418" t="s">
        <v>1</v>
      </c>
      <c r="I63" s="419">
        <v>8</v>
      </c>
      <c r="J63" s="418" t="s">
        <v>1</v>
      </c>
      <c r="K63" s="419">
        <v>8</v>
      </c>
      <c r="L63" s="418" t="s">
        <v>1</v>
      </c>
      <c r="M63" s="419"/>
      <c r="N63" s="418"/>
      <c r="O63" s="419"/>
      <c r="P63" s="285">
        <f t="shared" si="82"/>
        <v>40</v>
      </c>
      <c r="Q63" s="62">
        <f t="shared" si="86"/>
        <v>61</v>
      </c>
      <c r="R63" s="288" t="str">
        <f t="shared" si="83"/>
        <v>Торубара</v>
      </c>
      <c r="S63" s="76" t="s">
        <v>10</v>
      </c>
      <c r="T63" s="77" t="s">
        <v>9</v>
      </c>
      <c r="U63" s="73">
        <f>COUNTIF(T63,B63)+COUNTIF(T63,D63)+COUNTIF(T63,F63)+COUNTIF(T63,H63)+COUNTIF(T63,J63)+COUNTIF(T63,L63)+COUNTIF(T63,N63)</f>
        <v>0</v>
      </c>
      <c r="V63" s="62">
        <f t="shared" ref="V63:V99" si="87">COUNTIF(S63,B63)+COUNTIF(S63,D63)+COUNTIF(S63,F63)+COUNTIF(S63,H63)+COUNTIF(S63,J63)+COUNTIF(S63,L63)+COUNTIF(S63,N63)</f>
        <v>0</v>
      </c>
      <c r="W63" s="62"/>
      <c r="X63" s="242" t="s">
        <v>34</v>
      </c>
      <c r="Y63" s="7"/>
      <c r="Z63" s="7"/>
      <c r="AA63" s="7"/>
      <c r="AB63" s="13"/>
      <c r="AC63" s="13"/>
      <c r="AD63" s="13"/>
    </row>
    <row r="64" ht="14.25">
      <c r="A64" s="205" t="s">
        <v>48</v>
      </c>
      <c r="B64" s="384"/>
      <c r="C64" s="384"/>
      <c r="D64" s="384"/>
      <c r="E64" s="384"/>
      <c r="F64" s="77"/>
      <c r="G64" s="359">
        <v>11</v>
      </c>
      <c r="H64" s="77"/>
      <c r="I64" s="359">
        <v>11</v>
      </c>
      <c r="J64" s="384"/>
      <c r="K64" s="384"/>
      <c r="L64" s="384"/>
      <c r="M64" s="384"/>
      <c r="N64" s="67"/>
      <c r="O64" s="362"/>
      <c r="P64" s="218">
        <f t="shared" si="82"/>
        <v>22</v>
      </c>
      <c r="Q64" s="62">
        <f t="shared" si="86"/>
        <v>57</v>
      </c>
      <c r="R64" s="219" t="str">
        <f t="shared" si="83"/>
        <v>Стрыгин</v>
      </c>
      <c r="S64" s="71" t="s">
        <v>8</v>
      </c>
      <c r="T64" s="72" t="s">
        <v>7</v>
      </c>
      <c r="U64" s="73">
        <v>2</v>
      </c>
      <c r="V64" s="62">
        <f t="shared" si="87"/>
        <v>0</v>
      </c>
      <c r="W64" s="62"/>
      <c r="X64" s="242" t="s">
        <v>49</v>
      </c>
      <c r="Y64" s="7"/>
      <c r="Z64" s="7"/>
      <c r="AA64" s="7"/>
      <c r="AB64" s="13"/>
      <c r="AC64" s="13"/>
      <c r="AD64" s="13"/>
    </row>
    <row r="65" ht="14.25">
      <c r="A65" s="205" t="s">
        <v>50</v>
      </c>
      <c r="B65" s="420"/>
      <c r="C65" s="420"/>
      <c r="D65" s="76"/>
      <c r="E65" s="361">
        <v>11</v>
      </c>
      <c r="F65" s="76"/>
      <c r="G65" s="361">
        <v>11</v>
      </c>
      <c r="H65" s="384"/>
      <c r="I65" s="384"/>
      <c r="J65" s="77"/>
      <c r="K65" s="359">
        <v>11</v>
      </c>
      <c r="L65" s="360"/>
      <c r="M65" s="360"/>
      <c r="N65" s="76"/>
      <c r="O65" s="361">
        <v>11</v>
      </c>
      <c r="P65" s="218">
        <f t="shared" si="82"/>
        <v>44</v>
      </c>
      <c r="Q65" s="62">
        <f t="shared" si="86"/>
        <v>50</v>
      </c>
      <c r="R65" s="322" t="str">
        <f t="shared" si="83"/>
        <v>Фрик</v>
      </c>
      <c r="S65" s="268" t="s">
        <v>12</v>
      </c>
      <c r="T65" s="84" t="s">
        <v>11</v>
      </c>
      <c r="U65" s="227">
        <v>1</v>
      </c>
      <c r="V65" s="62">
        <v>3</v>
      </c>
      <c r="W65" s="62"/>
      <c r="X65" s="242" t="s">
        <v>44</v>
      </c>
      <c r="Y65" s="7"/>
      <c r="Z65" s="7"/>
      <c r="AA65" s="7"/>
      <c r="AB65" s="13"/>
      <c r="AC65" s="13"/>
      <c r="AD65" s="13"/>
    </row>
    <row r="66" ht="14.25">
      <c r="A66" s="206" t="s">
        <v>51</v>
      </c>
      <c r="B66" s="77"/>
      <c r="C66" s="359">
        <v>11</v>
      </c>
      <c r="D66" s="384"/>
      <c r="E66" s="384"/>
      <c r="F66" s="384"/>
      <c r="G66" s="384"/>
      <c r="H66" s="76"/>
      <c r="I66" s="361">
        <v>11</v>
      </c>
      <c r="J66" s="76"/>
      <c r="K66" s="361">
        <v>11</v>
      </c>
      <c r="L66" s="76"/>
      <c r="M66" s="361">
        <v>11</v>
      </c>
      <c r="N66" s="384"/>
      <c r="O66" s="384"/>
      <c r="P66" s="218">
        <f t="shared" si="82"/>
        <v>44</v>
      </c>
      <c r="Q66" s="62">
        <f t="shared" si="86"/>
        <v>46</v>
      </c>
      <c r="R66" s="288" t="str">
        <f t="shared" si="83"/>
        <v>Истрашкин</v>
      </c>
      <c r="S66" s="71" t="s">
        <v>10</v>
      </c>
      <c r="T66" s="72" t="s">
        <v>9</v>
      </c>
      <c r="U66" s="73">
        <v>1</v>
      </c>
      <c r="V66" s="62">
        <v>3</v>
      </c>
      <c r="W66" s="62"/>
      <c r="X66" s="242" t="s">
        <v>34</v>
      </c>
      <c r="Y66" s="7"/>
      <c r="Z66" s="7"/>
      <c r="AA66" s="7"/>
      <c r="AB66" s="13"/>
      <c r="AC66" s="13"/>
      <c r="AD66" s="13"/>
    </row>
    <row r="67" ht="14.25">
      <c r="A67" s="397" t="s">
        <v>66</v>
      </c>
      <c r="B67" s="384"/>
      <c r="C67" s="384"/>
      <c r="D67" s="384"/>
      <c r="E67" s="384"/>
      <c r="F67" s="76"/>
      <c r="G67" s="361">
        <v>11</v>
      </c>
      <c r="H67" s="76"/>
      <c r="I67" s="361">
        <v>11</v>
      </c>
      <c r="J67" s="384"/>
      <c r="K67" s="384"/>
      <c r="L67" s="384"/>
      <c r="M67" s="384"/>
      <c r="N67" s="77"/>
      <c r="O67" s="359">
        <v>11</v>
      </c>
      <c r="P67" s="366">
        <f t="shared" si="82"/>
        <v>33</v>
      </c>
      <c r="Q67" s="421">
        <f t="shared" si="86"/>
        <v>46</v>
      </c>
      <c r="R67" s="288" t="str">
        <f t="shared" si="83"/>
        <v>Качаев</v>
      </c>
      <c r="S67" s="71" t="s">
        <v>10</v>
      </c>
      <c r="T67" s="72" t="s">
        <v>9</v>
      </c>
      <c r="U67" s="73">
        <v>1</v>
      </c>
      <c r="V67" s="62">
        <v>2</v>
      </c>
      <c r="W67" s="229"/>
      <c r="X67" s="74" t="s">
        <v>34</v>
      </c>
      <c r="Y67" s="7"/>
      <c r="Z67" s="7"/>
      <c r="AA67" s="7"/>
      <c r="AB67" s="13"/>
      <c r="AC67" s="13"/>
      <c r="AD67" s="13"/>
    </row>
    <row r="68" ht="14.25">
      <c r="A68" s="92"/>
      <c r="B68" s="53">
        <v>46188</v>
      </c>
      <c r="C68" s="53"/>
      <c r="D68" s="53">
        <v>46189</v>
      </c>
      <c r="E68" s="53"/>
      <c r="F68" s="53">
        <v>46190</v>
      </c>
      <c r="G68" s="53"/>
      <c r="H68" s="53">
        <v>46191</v>
      </c>
      <c r="I68" s="53"/>
      <c r="J68" s="53">
        <v>46192</v>
      </c>
      <c r="K68" s="53"/>
      <c r="L68" s="53">
        <v>46193</v>
      </c>
      <c r="M68" s="53"/>
      <c r="N68" s="53">
        <v>46194</v>
      </c>
      <c r="O68" s="54"/>
      <c r="P68" s="68"/>
      <c r="Q68" s="67"/>
      <c r="R68" s="422"/>
      <c r="S68" s="138"/>
      <c r="T68" s="138"/>
      <c r="U68" s="194" t="s">
        <v>27</v>
      </c>
      <c r="V68" s="61" t="s">
        <v>28</v>
      </c>
      <c r="W68" s="62" t="s">
        <v>29</v>
      </c>
      <c r="X68" s="74" t="s">
        <v>34</v>
      </c>
      <c r="Y68" s="7"/>
      <c r="Z68" s="7"/>
      <c r="AA68" s="7"/>
      <c r="AB68" s="13"/>
      <c r="AC68" s="13"/>
      <c r="AD68" s="13"/>
    </row>
    <row r="69" ht="14.25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423"/>
      <c r="Q69" s="98"/>
      <c r="R69" s="424"/>
      <c r="S69" s="425"/>
      <c r="T69" s="425"/>
      <c r="U69" s="372"/>
      <c r="V69" s="165"/>
      <c r="W69" s="100"/>
      <c r="X69" s="403"/>
      <c r="Y69" s="7"/>
      <c r="Z69" s="7"/>
      <c r="AA69" s="7"/>
      <c r="AB69" s="13"/>
      <c r="AC69" s="13"/>
      <c r="AD69" s="13"/>
    </row>
    <row r="70" ht="14.25">
      <c r="A70" s="52"/>
      <c r="B70" s="56" t="s">
        <v>17</v>
      </c>
      <c r="C70" s="116"/>
      <c r="D70" s="56" t="s">
        <v>18</v>
      </c>
      <c r="E70" s="116"/>
      <c r="F70" s="56" t="s">
        <v>19</v>
      </c>
      <c r="G70" s="56"/>
      <c r="H70" s="56" t="s">
        <v>20</v>
      </c>
      <c r="I70" s="116"/>
      <c r="J70" s="129" t="s">
        <v>21</v>
      </c>
      <c r="K70" s="129"/>
      <c r="L70" s="56" t="s">
        <v>22</v>
      </c>
      <c r="M70" s="56"/>
      <c r="N70" s="56" t="s">
        <v>23</v>
      </c>
      <c r="O70" s="56"/>
      <c r="P70" s="404" t="s">
        <v>24</v>
      </c>
      <c r="Q70" s="405"/>
      <c r="R70" s="406"/>
      <c r="S70" s="143"/>
      <c r="T70" s="143"/>
      <c r="U70" s="90"/>
      <c r="V70" s="62"/>
      <c r="W70" s="62"/>
      <c r="X70" s="74"/>
      <c r="Y70" s="7"/>
      <c r="Z70" s="7"/>
      <c r="AA70" s="7"/>
      <c r="AB70" s="13"/>
      <c r="AC70" s="13"/>
      <c r="AD70" s="13"/>
    </row>
    <row r="71" ht="14.25">
      <c r="A71" s="407"/>
      <c r="B71" s="53">
        <v>46195</v>
      </c>
      <c r="C71" s="53"/>
      <c r="D71" s="53">
        <v>46196</v>
      </c>
      <c r="E71" s="53"/>
      <c r="F71" s="53">
        <v>46197</v>
      </c>
      <c r="G71" s="53"/>
      <c r="H71" s="53">
        <v>46198</v>
      </c>
      <c r="I71" s="53"/>
      <c r="J71" s="53">
        <v>46199</v>
      </c>
      <c r="K71" s="53"/>
      <c r="L71" s="53">
        <v>46200</v>
      </c>
      <c r="M71" s="53"/>
      <c r="N71" s="53">
        <v>46201</v>
      </c>
      <c r="O71" s="54"/>
      <c r="P71" s="408" t="s">
        <v>25</v>
      </c>
      <c r="Q71" s="409" t="s">
        <v>26</v>
      </c>
      <c r="R71" s="410"/>
      <c r="S71" s="147"/>
      <c r="T71" s="147"/>
      <c r="U71" s="194" t="s">
        <v>27</v>
      </c>
      <c r="V71" s="61" t="s">
        <v>28</v>
      </c>
      <c r="W71" s="62" t="s">
        <v>29</v>
      </c>
      <c r="X71" s="74" t="s">
        <v>30</v>
      </c>
      <c r="Y71" s="7"/>
      <c r="Z71" s="7"/>
      <c r="AA71" s="7"/>
      <c r="AB71" s="13"/>
      <c r="AC71" s="13"/>
      <c r="AD71" s="13"/>
    </row>
    <row r="72" ht="14.25">
      <c r="A72" s="217" t="s">
        <v>35</v>
      </c>
      <c r="B72" s="354"/>
      <c r="C72" s="426" t="s">
        <v>33</v>
      </c>
      <c r="D72" s="354"/>
      <c r="E72" s="426" t="s">
        <v>33</v>
      </c>
      <c r="F72" s="354"/>
      <c r="G72" s="354" t="s">
        <v>33</v>
      </c>
      <c r="H72" s="354"/>
      <c r="I72" s="354" t="s">
        <v>33</v>
      </c>
      <c r="J72" s="354"/>
      <c r="K72" s="354" t="s">
        <v>33</v>
      </c>
      <c r="L72" s="384"/>
      <c r="M72" s="384"/>
      <c r="N72" s="384"/>
      <c r="O72" s="384"/>
      <c r="P72" s="218">
        <f t="shared" si="82"/>
        <v>40</v>
      </c>
      <c r="Q72" s="62">
        <f t="shared" si="86"/>
        <v>16</v>
      </c>
      <c r="R72" s="219" t="str">
        <f t="shared" si="83"/>
        <v>Рычков</v>
      </c>
      <c r="S72" s="76" t="s">
        <v>10</v>
      </c>
      <c r="T72" s="77" t="s">
        <v>9</v>
      </c>
      <c r="U72" s="90">
        <f t="shared" ref="U72:U99" si="88">COUNTIF(T72,B72)+COUNTIF(T72,D72)+COUNTIF(T72,F72)+COUNTIF(T72,H72)+COUNTIF(T72,J72)+COUNTIF(T72,L72)+COUNTIF(T72,N72)</f>
        <v>0</v>
      </c>
      <c r="V72" s="62">
        <f t="shared" si="87"/>
        <v>0</v>
      </c>
      <c r="W72" s="62"/>
      <c r="X72" s="74" t="s">
        <v>34</v>
      </c>
      <c r="Y72" s="7"/>
      <c r="Z72" s="7"/>
      <c r="AA72" s="7"/>
      <c r="AB72" s="13"/>
      <c r="AC72" s="13"/>
      <c r="AD72" s="13"/>
    </row>
    <row r="73" ht="14.25">
      <c r="A73" s="203" t="s">
        <v>61</v>
      </c>
      <c r="B73" s="354"/>
      <c r="C73" s="354" t="s">
        <v>33</v>
      </c>
      <c r="D73" s="354"/>
      <c r="E73" s="354" t="s">
        <v>33</v>
      </c>
      <c r="F73" s="354"/>
      <c r="G73" s="354" t="s">
        <v>33</v>
      </c>
      <c r="H73" s="354"/>
      <c r="I73" s="354" t="s">
        <v>33</v>
      </c>
      <c r="J73" s="354"/>
      <c r="K73" s="354" t="s">
        <v>33</v>
      </c>
      <c r="L73" s="384"/>
      <c r="M73" s="384"/>
      <c r="N73" s="384"/>
      <c r="O73" s="384"/>
      <c r="P73" s="218">
        <f t="shared" si="82"/>
        <v>40</v>
      </c>
      <c r="Q73" s="62">
        <f t="shared" si="86"/>
        <v>16</v>
      </c>
      <c r="R73" s="219" t="str">
        <f t="shared" si="83"/>
        <v>Карузина</v>
      </c>
      <c r="S73" s="76" t="s">
        <v>10</v>
      </c>
      <c r="T73" s="77" t="s">
        <v>9</v>
      </c>
      <c r="U73" s="73">
        <f t="shared" si="88"/>
        <v>0</v>
      </c>
      <c r="V73" s="62">
        <f t="shared" si="87"/>
        <v>0</v>
      </c>
      <c r="W73" s="62"/>
      <c r="X73" s="79" t="s">
        <v>34</v>
      </c>
      <c r="Y73" s="7"/>
      <c r="Z73" s="7"/>
      <c r="AA73" s="7"/>
      <c r="AB73" s="13"/>
      <c r="AC73" s="13"/>
      <c r="AD73" s="13"/>
    </row>
    <row r="74" ht="14.25">
      <c r="A74" s="203" t="s">
        <v>39</v>
      </c>
      <c r="B74" s="411"/>
      <c r="C74" s="411" t="s">
        <v>33</v>
      </c>
      <c r="D74" s="411"/>
      <c r="E74" s="411" t="s">
        <v>33</v>
      </c>
      <c r="F74" s="411"/>
      <c r="G74" s="411" t="s">
        <v>33</v>
      </c>
      <c r="H74" s="411"/>
      <c r="I74" s="411" t="s">
        <v>33</v>
      </c>
      <c r="J74" s="411"/>
      <c r="K74" s="411" t="s">
        <v>33</v>
      </c>
      <c r="L74" s="427"/>
      <c r="M74" s="427"/>
      <c r="N74" s="427"/>
      <c r="O74" s="427"/>
      <c r="P74" s="218">
        <f t="shared" si="82"/>
        <v>40</v>
      </c>
      <c r="Q74" s="62">
        <f t="shared" si="86"/>
        <v>16</v>
      </c>
      <c r="R74" s="219" t="str">
        <f t="shared" si="83"/>
        <v>Игумнов</v>
      </c>
      <c r="S74" s="76" t="s">
        <v>10</v>
      </c>
      <c r="T74" s="77" t="s">
        <v>9</v>
      </c>
      <c r="U74" s="90">
        <f t="shared" si="88"/>
        <v>0</v>
      </c>
      <c r="V74" s="62">
        <f t="shared" si="87"/>
        <v>0</v>
      </c>
      <c r="W74" s="62"/>
      <c r="X74" s="74" t="s">
        <v>38</v>
      </c>
      <c r="Y74" s="7"/>
      <c r="Z74" s="7"/>
      <c r="AA74" s="7"/>
      <c r="AB74" s="13"/>
      <c r="AC74" s="13"/>
      <c r="AD74" s="13"/>
    </row>
    <row r="75" ht="14.25">
      <c r="A75" s="415" t="s">
        <v>40</v>
      </c>
      <c r="B75" s="2" t="s">
        <v>1</v>
      </c>
      <c r="C75" s="3">
        <v>8</v>
      </c>
      <c r="D75" s="2" t="s">
        <v>1</v>
      </c>
      <c r="E75" s="3">
        <v>8</v>
      </c>
      <c r="F75" s="2" t="s">
        <v>1</v>
      </c>
      <c r="G75" s="3">
        <v>8</v>
      </c>
      <c r="H75" s="2" t="s">
        <v>1</v>
      </c>
      <c r="I75" s="3">
        <v>8</v>
      </c>
      <c r="J75" s="2" t="s">
        <v>1</v>
      </c>
      <c r="K75" s="3">
        <v>8</v>
      </c>
      <c r="L75" s="2" t="s">
        <v>1</v>
      </c>
      <c r="M75" s="3"/>
      <c r="N75" s="2"/>
      <c r="O75" s="3"/>
      <c r="P75" s="253">
        <f t="shared" si="82"/>
        <v>40</v>
      </c>
      <c r="Q75" s="62">
        <f t="shared" si="86"/>
        <v>15</v>
      </c>
      <c r="R75" s="219" t="str">
        <f t="shared" si="83"/>
        <v>Душин</v>
      </c>
      <c r="S75" s="76" t="s">
        <v>58</v>
      </c>
      <c r="T75" s="77" t="s">
        <v>59</v>
      </c>
      <c r="U75" s="90">
        <f t="shared" si="88"/>
        <v>0</v>
      </c>
      <c r="V75" s="62">
        <f t="shared" si="87"/>
        <v>0</v>
      </c>
      <c r="W75" s="62"/>
      <c r="X75" s="74" t="s">
        <v>34</v>
      </c>
      <c r="Y75" s="7"/>
      <c r="Z75" s="7"/>
      <c r="AA75" s="7"/>
      <c r="AB75" s="13"/>
      <c r="AC75" s="13"/>
      <c r="AD75" s="13"/>
    </row>
    <row r="76" ht="14.25">
      <c r="A76" s="203" t="s">
        <v>31</v>
      </c>
      <c r="B76" s="428"/>
      <c r="C76" s="428" t="s">
        <v>33</v>
      </c>
      <c r="D76" s="428"/>
      <c r="E76" s="428" t="s">
        <v>33</v>
      </c>
      <c r="F76" s="428"/>
      <c r="G76" s="428" t="s">
        <v>33</v>
      </c>
      <c r="H76" s="428"/>
      <c r="I76" s="428" t="s">
        <v>33</v>
      </c>
      <c r="J76" s="428"/>
      <c r="K76" s="428" t="s">
        <v>33</v>
      </c>
      <c r="L76" s="355"/>
      <c r="M76" s="355"/>
      <c r="N76" s="355"/>
      <c r="O76" s="355"/>
      <c r="P76" s="218">
        <f t="shared" ref="P76:P99" si="89">C76+E76+G76+I76+K76+M76+O76</f>
        <v>40</v>
      </c>
      <c r="Q76" s="62">
        <f t="shared" si="86"/>
        <v>16</v>
      </c>
      <c r="R76" s="288" t="str">
        <f t="shared" ref="R76:R99" si="90">A76</f>
        <v>Нетронин</v>
      </c>
      <c r="S76" s="76" t="s">
        <v>58</v>
      </c>
      <c r="T76" s="77" t="s">
        <v>59</v>
      </c>
      <c r="U76" s="73">
        <f t="shared" si="88"/>
        <v>0</v>
      </c>
      <c r="V76" s="62">
        <f t="shared" si="87"/>
        <v>0</v>
      </c>
      <c r="W76" s="62"/>
      <c r="X76" s="74" t="s">
        <v>34</v>
      </c>
      <c r="Y76" s="7"/>
      <c r="Z76" s="7"/>
      <c r="AA76" s="7"/>
      <c r="AB76" s="13"/>
      <c r="AC76" s="13"/>
      <c r="AD76" s="13"/>
    </row>
    <row r="77" ht="14.25">
      <c r="A77" s="203" t="s">
        <v>62</v>
      </c>
      <c r="B77" s="411"/>
      <c r="C77" s="411" t="s">
        <v>33</v>
      </c>
      <c r="D77" s="411"/>
      <c r="E77" s="411" t="s">
        <v>33</v>
      </c>
      <c r="F77" s="411"/>
      <c r="G77" s="411" t="s">
        <v>33</v>
      </c>
      <c r="H77" s="411"/>
      <c r="I77" s="411" t="s">
        <v>33</v>
      </c>
      <c r="J77" s="411"/>
      <c r="K77" s="411" t="s">
        <v>33</v>
      </c>
      <c r="L77" s="412"/>
      <c r="M77" s="413"/>
      <c r="N77" s="413"/>
      <c r="O77" s="414"/>
      <c r="P77" s="218">
        <f t="shared" si="89"/>
        <v>40</v>
      </c>
      <c r="Q77" s="62">
        <f t="shared" si="86"/>
        <v>16</v>
      </c>
      <c r="R77" s="288" t="str">
        <f t="shared" si="90"/>
        <v>Раимова</v>
      </c>
      <c r="S77" s="76" t="s">
        <v>10</v>
      </c>
      <c r="T77" s="77" t="s">
        <v>9</v>
      </c>
      <c r="U77" s="73">
        <f t="shared" si="88"/>
        <v>0</v>
      </c>
      <c r="V77" s="62">
        <f t="shared" si="87"/>
        <v>0</v>
      </c>
      <c r="W77" s="62"/>
      <c r="X77" s="74" t="s">
        <v>38</v>
      </c>
      <c r="Y77" s="7"/>
      <c r="Z77" s="7"/>
      <c r="AA77" s="7"/>
      <c r="AB77" s="13"/>
      <c r="AC77" s="13"/>
      <c r="AD77" s="13"/>
    </row>
    <row r="78" ht="14.25">
      <c r="A78" s="415" t="s">
        <v>63</v>
      </c>
      <c r="B78" s="2" t="s">
        <v>1</v>
      </c>
      <c r="C78" s="3">
        <v>8</v>
      </c>
      <c r="D78" s="2" t="s">
        <v>1</v>
      </c>
      <c r="E78" s="3">
        <v>8</v>
      </c>
      <c r="F78" s="2" t="s">
        <v>1</v>
      </c>
      <c r="G78" s="3">
        <v>8</v>
      </c>
      <c r="H78" s="2" t="s">
        <v>1</v>
      </c>
      <c r="I78" s="3">
        <v>8</v>
      </c>
      <c r="J78" s="2" t="s">
        <v>1</v>
      </c>
      <c r="K78" s="3">
        <v>8</v>
      </c>
      <c r="L78" s="2" t="s">
        <v>1</v>
      </c>
      <c r="M78" s="3"/>
      <c r="N78" s="2"/>
      <c r="O78" s="3"/>
      <c r="P78" s="253">
        <f t="shared" si="89"/>
        <v>40</v>
      </c>
      <c r="Q78" s="62">
        <f t="shared" si="86"/>
        <v>16</v>
      </c>
      <c r="R78" s="288" t="str">
        <f t="shared" si="90"/>
        <v>Войтехович</v>
      </c>
      <c r="S78" s="76" t="s">
        <v>10</v>
      </c>
      <c r="T78" s="77" t="s">
        <v>9</v>
      </c>
      <c r="U78" s="73">
        <f t="shared" si="88"/>
        <v>0</v>
      </c>
      <c r="V78" s="62">
        <f t="shared" si="87"/>
        <v>0</v>
      </c>
      <c r="W78" s="62"/>
      <c r="X78" s="74" t="s">
        <v>38</v>
      </c>
      <c r="Y78" s="7"/>
      <c r="Z78" s="7"/>
      <c r="AA78" s="7"/>
      <c r="AB78" s="13"/>
      <c r="AC78" s="13"/>
      <c r="AD78" s="13"/>
    </row>
    <row r="79" ht="14.25">
      <c r="A79" s="203" t="s">
        <v>64</v>
      </c>
      <c r="B79" s="428"/>
      <c r="C79" s="428" t="s">
        <v>33</v>
      </c>
      <c r="D79" s="428"/>
      <c r="E79" s="428" t="s">
        <v>33</v>
      </c>
      <c r="F79" s="428"/>
      <c r="G79" s="428" t="s">
        <v>33</v>
      </c>
      <c r="H79" s="428"/>
      <c r="I79" s="428" t="s">
        <v>33</v>
      </c>
      <c r="J79" s="428"/>
      <c r="K79" s="428" t="s">
        <v>33</v>
      </c>
      <c r="L79" s="429"/>
      <c r="M79" s="395"/>
      <c r="N79" s="395"/>
      <c r="O79" s="396"/>
      <c r="P79" s="218">
        <f t="shared" si="89"/>
        <v>40</v>
      </c>
      <c r="Q79" s="62">
        <f t="shared" si="86"/>
        <v>16</v>
      </c>
      <c r="R79" s="288" t="str">
        <f t="shared" si="90"/>
        <v>Васильев</v>
      </c>
      <c r="S79" s="71" t="s">
        <v>12</v>
      </c>
      <c r="T79" s="72" t="s">
        <v>11</v>
      </c>
      <c r="U79" s="73">
        <f t="shared" si="88"/>
        <v>0</v>
      </c>
      <c r="V79" s="62">
        <f t="shared" si="87"/>
        <v>0</v>
      </c>
      <c r="W79" s="62"/>
      <c r="X79" s="383" t="s">
        <v>44</v>
      </c>
      <c r="Y79" s="7"/>
      <c r="Z79" s="7"/>
      <c r="AA79" s="7"/>
      <c r="AB79" s="13"/>
      <c r="AC79" s="13"/>
      <c r="AD79" s="13"/>
    </row>
    <row r="80" ht="14.25">
      <c r="A80" s="205" t="s">
        <v>43</v>
      </c>
      <c r="B80" s="355"/>
      <c r="C80" s="430"/>
      <c r="D80" s="76"/>
      <c r="E80" s="361">
        <v>11</v>
      </c>
      <c r="F80" s="76"/>
      <c r="G80" s="361">
        <v>11</v>
      </c>
      <c r="H80" s="398"/>
      <c r="I80" s="399"/>
      <c r="J80" s="399"/>
      <c r="K80" s="431"/>
      <c r="L80" s="77"/>
      <c r="M80" s="359">
        <v>11</v>
      </c>
      <c r="N80" s="77"/>
      <c r="O80" s="359">
        <v>11</v>
      </c>
      <c r="P80" s="218">
        <f t="shared" si="89"/>
        <v>44</v>
      </c>
      <c r="Q80" s="62">
        <f t="shared" si="86"/>
        <v>13</v>
      </c>
      <c r="R80" s="219" t="str">
        <f t="shared" si="90"/>
        <v>Дащенко</v>
      </c>
      <c r="S80" s="76" t="s">
        <v>10</v>
      </c>
      <c r="T80" s="77" t="s">
        <v>9</v>
      </c>
      <c r="U80" s="73">
        <v>2</v>
      </c>
      <c r="V80" s="62">
        <v>2</v>
      </c>
      <c r="W80" s="62"/>
      <c r="X80" s="242" t="s">
        <v>34</v>
      </c>
      <c r="Y80" s="7"/>
      <c r="Z80" s="7"/>
      <c r="AA80" s="7"/>
      <c r="AB80" s="13"/>
      <c r="AC80" s="13"/>
      <c r="AD80" s="13"/>
    </row>
    <row r="81" ht="14.25">
      <c r="A81" s="205" t="s">
        <v>45</v>
      </c>
      <c r="B81" s="355"/>
      <c r="C81" s="355"/>
      <c r="D81" s="399"/>
      <c r="E81" s="431"/>
      <c r="F81" s="76"/>
      <c r="G81" s="361">
        <v>11</v>
      </c>
      <c r="H81" s="76"/>
      <c r="I81" s="361">
        <v>11</v>
      </c>
      <c r="J81" s="76"/>
      <c r="K81" s="361">
        <v>11</v>
      </c>
      <c r="L81" s="398"/>
      <c r="M81" s="431"/>
      <c r="N81" s="67"/>
      <c r="O81" s="362"/>
      <c r="P81" s="218">
        <f t="shared" si="89"/>
        <v>33</v>
      </c>
      <c r="Q81" s="62">
        <f t="shared" si="86"/>
        <v>24</v>
      </c>
      <c r="R81" s="322" t="str">
        <f t="shared" si="90"/>
        <v>Пузырь</v>
      </c>
      <c r="S81" s="173" t="s">
        <v>10</v>
      </c>
      <c r="T81" s="300" t="s">
        <v>9</v>
      </c>
      <c r="U81" s="227">
        <f t="shared" si="88"/>
        <v>0</v>
      </c>
      <c r="V81" s="62">
        <v>3</v>
      </c>
      <c r="W81" s="62"/>
      <c r="X81" s="242" t="s">
        <v>34</v>
      </c>
      <c r="Y81" s="7"/>
      <c r="Z81" s="7"/>
      <c r="AA81" s="7"/>
      <c r="AB81" s="13"/>
      <c r="AC81" s="13"/>
      <c r="AD81" s="13"/>
    </row>
    <row r="82" ht="14.25">
      <c r="A82" s="205" t="s">
        <v>65</v>
      </c>
      <c r="B82" s="413"/>
      <c r="C82" s="414"/>
      <c r="D82" s="77"/>
      <c r="E82" s="359">
        <v>11</v>
      </c>
      <c r="F82" s="77"/>
      <c r="G82" s="359">
        <v>11</v>
      </c>
      <c r="H82" s="387"/>
      <c r="I82" s="385"/>
      <c r="J82" s="385"/>
      <c r="K82" s="386"/>
      <c r="L82" s="76"/>
      <c r="M82" s="361">
        <v>11</v>
      </c>
      <c r="N82" s="76"/>
      <c r="O82" s="361">
        <v>11</v>
      </c>
      <c r="P82" s="218">
        <f t="shared" si="89"/>
        <v>44</v>
      </c>
      <c r="Q82" s="62">
        <f t="shared" si="86"/>
        <v>13</v>
      </c>
      <c r="R82" s="288" t="str">
        <f t="shared" si="90"/>
        <v>Рожнева</v>
      </c>
      <c r="S82" s="76" t="s">
        <v>10</v>
      </c>
      <c r="T82" s="77" t="s">
        <v>9</v>
      </c>
      <c r="U82" s="73">
        <v>2</v>
      </c>
      <c r="V82" s="62">
        <v>2</v>
      </c>
      <c r="W82" s="62"/>
      <c r="X82" s="242" t="s">
        <v>34</v>
      </c>
      <c r="Y82" s="7"/>
      <c r="Z82" s="7"/>
      <c r="AA82" s="7"/>
      <c r="AB82" s="13"/>
      <c r="AC82" s="13"/>
      <c r="AD82" s="13"/>
    </row>
    <row r="83" ht="14.25">
      <c r="A83" s="388" t="s">
        <v>47</v>
      </c>
      <c r="B83" s="393" t="s">
        <v>1</v>
      </c>
      <c r="C83" s="394">
        <v>8</v>
      </c>
      <c r="D83" s="391" t="s">
        <v>1</v>
      </c>
      <c r="E83" s="392">
        <v>8</v>
      </c>
      <c r="F83" s="389" t="s">
        <v>1</v>
      </c>
      <c r="G83" s="390">
        <v>8</v>
      </c>
      <c r="H83" s="2" t="s">
        <v>1</v>
      </c>
      <c r="I83" s="3">
        <v>8</v>
      </c>
      <c r="J83" s="393" t="s">
        <v>1</v>
      </c>
      <c r="K83" s="394">
        <v>8</v>
      </c>
      <c r="L83" s="391" t="s">
        <v>1</v>
      </c>
      <c r="M83" s="392"/>
      <c r="N83" s="391"/>
      <c r="O83" s="392"/>
      <c r="P83" s="253">
        <f t="shared" si="89"/>
        <v>40</v>
      </c>
      <c r="Q83" s="62">
        <f t="shared" si="86"/>
        <v>21</v>
      </c>
      <c r="R83" s="288" t="str">
        <f t="shared" si="90"/>
        <v>Торубара</v>
      </c>
      <c r="S83" s="76" t="s">
        <v>10</v>
      </c>
      <c r="T83" s="77" t="s">
        <v>9</v>
      </c>
      <c r="U83" s="73">
        <f t="shared" si="88"/>
        <v>0</v>
      </c>
      <c r="V83" s="62">
        <f t="shared" si="87"/>
        <v>0</v>
      </c>
      <c r="W83" s="229"/>
      <c r="X83" s="74" t="s">
        <v>34</v>
      </c>
      <c r="Y83" s="7"/>
      <c r="Z83" s="7"/>
      <c r="AA83" s="7"/>
      <c r="AB83" s="13"/>
      <c r="AC83" s="13"/>
      <c r="AD83" s="13"/>
    </row>
    <row r="84" ht="14.25">
      <c r="A84" s="205" t="s">
        <v>48</v>
      </c>
      <c r="B84" s="76"/>
      <c r="C84" s="361">
        <v>11</v>
      </c>
      <c r="D84" s="76"/>
      <c r="E84" s="361">
        <v>11</v>
      </c>
      <c r="F84" s="355"/>
      <c r="G84" s="355"/>
      <c r="H84" s="395"/>
      <c r="I84" s="396"/>
      <c r="J84" s="67"/>
      <c r="K84" s="362"/>
      <c r="L84" s="77"/>
      <c r="M84" s="359">
        <v>11</v>
      </c>
      <c r="N84" s="77"/>
      <c r="O84" s="359">
        <v>11</v>
      </c>
      <c r="P84" s="218">
        <f t="shared" si="89"/>
        <v>44</v>
      </c>
      <c r="Q84" s="62">
        <f t="shared" si="86"/>
        <v>13</v>
      </c>
      <c r="R84" s="288" t="str">
        <f t="shared" si="90"/>
        <v>Стрыгин</v>
      </c>
      <c r="S84" s="71" t="s">
        <v>8</v>
      </c>
      <c r="T84" s="72" t="s">
        <v>7</v>
      </c>
      <c r="U84" s="73">
        <v>2</v>
      </c>
      <c r="V84" s="62">
        <v>2</v>
      </c>
      <c r="W84" s="62"/>
      <c r="X84" s="74" t="s">
        <v>49</v>
      </c>
      <c r="Y84" s="7"/>
      <c r="Z84" s="7"/>
      <c r="AA84" s="7"/>
      <c r="AB84" s="13"/>
      <c r="AC84" s="13"/>
      <c r="AD84" s="13"/>
    </row>
    <row r="85" ht="14.25">
      <c r="A85" s="205" t="s">
        <v>50</v>
      </c>
      <c r="B85" s="76"/>
      <c r="C85" s="361">
        <v>11</v>
      </c>
      <c r="D85" s="398"/>
      <c r="E85" s="399"/>
      <c r="F85" s="357"/>
      <c r="G85" s="358"/>
      <c r="H85" s="77"/>
      <c r="I85" s="359">
        <v>11</v>
      </c>
      <c r="J85" s="77"/>
      <c r="K85" s="359">
        <v>11</v>
      </c>
      <c r="L85" s="398"/>
      <c r="M85" s="399"/>
      <c r="N85" s="399"/>
      <c r="O85" s="431"/>
      <c r="P85" s="218">
        <f t="shared" si="89"/>
        <v>33</v>
      </c>
      <c r="Q85" s="62">
        <f t="shared" si="86"/>
        <v>17</v>
      </c>
      <c r="R85" s="288" t="str">
        <f t="shared" si="90"/>
        <v>Фрик</v>
      </c>
      <c r="S85" s="71" t="s">
        <v>12</v>
      </c>
      <c r="T85" s="72" t="s">
        <v>11</v>
      </c>
      <c r="U85" s="73">
        <v>2</v>
      </c>
      <c r="V85" s="62">
        <v>1</v>
      </c>
      <c r="W85" s="62"/>
      <c r="X85" s="74" t="s">
        <v>44</v>
      </c>
      <c r="Y85" s="7"/>
      <c r="Z85" s="7"/>
      <c r="AA85" s="7"/>
      <c r="AB85" s="13"/>
      <c r="AC85" s="13"/>
      <c r="AD85" s="13"/>
    </row>
    <row r="86" ht="14.25">
      <c r="A86" s="206" t="s">
        <v>51</v>
      </c>
      <c r="B86" s="399"/>
      <c r="C86" s="431"/>
      <c r="D86" s="77"/>
      <c r="E86" s="359">
        <v>11</v>
      </c>
      <c r="F86" s="77"/>
      <c r="G86" s="359">
        <v>11</v>
      </c>
      <c r="H86" s="398"/>
      <c r="I86" s="399"/>
      <c r="J86" s="399"/>
      <c r="K86" s="431"/>
      <c r="L86" s="76"/>
      <c r="M86" s="361">
        <v>11</v>
      </c>
      <c r="N86" s="76"/>
      <c r="O86" s="361">
        <v>11</v>
      </c>
      <c r="P86" s="218">
        <f t="shared" si="89"/>
        <v>44</v>
      </c>
      <c r="Q86" s="62">
        <f t="shared" si="86"/>
        <v>2</v>
      </c>
      <c r="R86" s="288" t="str">
        <f t="shared" si="90"/>
        <v>Истрашкин</v>
      </c>
      <c r="S86" s="71" t="s">
        <v>10</v>
      </c>
      <c r="T86" s="72" t="s">
        <v>9</v>
      </c>
      <c r="U86" s="73">
        <v>2</v>
      </c>
      <c r="V86" s="62">
        <v>2</v>
      </c>
      <c r="W86" s="62"/>
      <c r="X86" s="74" t="s">
        <v>34</v>
      </c>
      <c r="Y86" s="7"/>
      <c r="Z86" s="7"/>
      <c r="AA86" s="7"/>
      <c r="AB86" s="13"/>
      <c r="AC86" s="13"/>
      <c r="AD86" s="13"/>
    </row>
    <row r="87" ht="14.25">
      <c r="A87" s="397" t="s">
        <v>66</v>
      </c>
      <c r="B87" s="77"/>
      <c r="C87" s="359">
        <v>11</v>
      </c>
      <c r="D87" s="67"/>
      <c r="E87" s="362"/>
      <c r="F87" s="355"/>
      <c r="G87" s="431"/>
      <c r="H87" s="76"/>
      <c r="I87" s="361">
        <v>11</v>
      </c>
      <c r="J87" s="76"/>
      <c r="K87" s="361">
        <v>11</v>
      </c>
      <c r="L87" s="355"/>
      <c r="M87" s="355"/>
      <c r="N87" s="355"/>
      <c r="O87" s="355"/>
      <c r="P87" s="366">
        <f t="shared" si="89"/>
        <v>33</v>
      </c>
      <c r="Q87" s="421">
        <f t="shared" si="86"/>
        <v>13</v>
      </c>
      <c r="R87" s="288" t="str">
        <f t="shared" si="90"/>
        <v>Качаев</v>
      </c>
      <c r="S87" s="71" t="s">
        <v>10</v>
      </c>
      <c r="T87" s="72" t="s">
        <v>9</v>
      </c>
      <c r="U87" s="73">
        <v>1</v>
      </c>
      <c r="V87" s="62">
        <v>2</v>
      </c>
      <c r="W87" s="62"/>
      <c r="X87" s="74" t="s">
        <v>34</v>
      </c>
      <c r="Y87" s="7"/>
      <c r="Z87" s="7"/>
      <c r="AA87" s="7"/>
      <c r="AB87" s="13"/>
      <c r="AC87" s="13"/>
      <c r="AD87" s="13"/>
    </row>
    <row r="88" ht="14.25">
      <c r="A88" s="92"/>
      <c r="B88" s="53">
        <v>46195</v>
      </c>
      <c r="C88" s="53"/>
      <c r="D88" s="53">
        <v>46196</v>
      </c>
      <c r="E88" s="53"/>
      <c r="F88" s="53">
        <v>46197</v>
      </c>
      <c r="G88" s="53"/>
      <c r="H88" s="53">
        <v>46198</v>
      </c>
      <c r="I88" s="53"/>
      <c r="J88" s="53">
        <v>46199</v>
      </c>
      <c r="K88" s="53"/>
      <c r="L88" s="53">
        <v>46200</v>
      </c>
      <c r="M88" s="53"/>
      <c r="N88" s="53">
        <v>46201</v>
      </c>
      <c r="O88" s="54"/>
      <c r="P88" s="68"/>
      <c r="Q88" s="67"/>
      <c r="R88" s="297"/>
      <c r="S88" s="138"/>
      <c r="T88" s="138"/>
      <c r="U88" s="60" t="s">
        <v>27</v>
      </c>
      <c r="V88" s="61" t="s">
        <v>28</v>
      </c>
      <c r="W88" s="62" t="s">
        <v>29</v>
      </c>
      <c r="X88" s="432"/>
      <c r="Y88" s="7"/>
      <c r="Z88" s="7"/>
      <c r="AA88" s="7"/>
      <c r="AB88" s="13"/>
      <c r="AC88" s="13"/>
      <c r="AD88" s="13"/>
    </row>
    <row r="89" ht="14.25">
      <c r="A89" s="314"/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314"/>
      <c r="O89" s="314"/>
      <c r="P89" s="314"/>
      <c r="Q89" s="98"/>
      <c r="R89" s="139"/>
      <c r="S89" s="139"/>
      <c r="T89" s="139"/>
      <c r="U89" s="127"/>
      <c r="V89" s="127"/>
      <c r="W89" s="128"/>
      <c r="X89" s="7"/>
      <c r="Y89" s="7"/>
      <c r="Z89" s="7"/>
      <c r="AA89" s="7"/>
      <c r="AB89" s="13"/>
      <c r="AC89" s="13"/>
      <c r="AD89" s="13"/>
    </row>
    <row r="90" ht="14.25">
      <c r="A90" s="52"/>
      <c r="B90" s="56" t="s">
        <v>17</v>
      </c>
      <c r="C90" s="116"/>
      <c r="D90" s="56" t="s">
        <v>18</v>
      </c>
      <c r="E90" s="116"/>
      <c r="F90" s="56" t="s">
        <v>19</v>
      </c>
      <c r="G90" s="56"/>
      <c r="H90" s="56" t="s">
        <v>20</v>
      </c>
      <c r="I90" s="116"/>
      <c r="J90" s="129" t="s">
        <v>21</v>
      </c>
      <c r="K90" s="129"/>
      <c r="L90" s="56" t="s">
        <v>22</v>
      </c>
      <c r="M90" s="56"/>
      <c r="N90" s="56" t="s">
        <v>23</v>
      </c>
      <c r="O90" s="56"/>
      <c r="P90" s="404" t="s">
        <v>24</v>
      </c>
      <c r="Q90" s="405"/>
      <c r="R90" s="406"/>
      <c r="S90" s="143"/>
      <c r="T90" s="143"/>
      <c r="U90" s="62"/>
      <c r="V90" s="62"/>
      <c r="W90" s="62"/>
      <c r="X90" s="51"/>
      <c r="Y90" s="7"/>
      <c r="Z90" s="7"/>
      <c r="AA90" s="7"/>
      <c r="AB90" s="13"/>
      <c r="AC90" s="13"/>
      <c r="AD90" s="13"/>
    </row>
    <row r="91" ht="14.25">
      <c r="A91" s="407"/>
      <c r="B91" s="53">
        <v>46202</v>
      </c>
      <c r="C91" s="53"/>
      <c r="D91" s="53">
        <v>46203</v>
      </c>
      <c r="E91" s="53"/>
      <c r="F91" s="53">
        <v>46204</v>
      </c>
      <c r="G91" s="53"/>
      <c r="H91" s="53">
        <v>46205</v>
      </c>
      <c r="I91" s="53"/>
      <c r="J91" s="53">
        <v>46206</v>
      </c>
      <c r="K91" s="53"/>
      <c r="L91" s="53">
        <v>46207</v>
      </c>
      <c r="M91" s="53"/>
      <c r="N91" s="53">
        <v>46208</v>
      </c>
      <c r="O91" s="54"/>
      <c r="P91" s="408" t="s">
        <v>25</v>
      </c>
      <c r="Q91" s="409" t="s">
        <v>26</v>
      </c>
      <c r="R91" s="410"/>
      <c r="S91" s="147"/>
      <c r="T91" s="147"/>
      <c r="U91" s="60" t="s">
        <v>27</v>
      </c>
      <c r="V91" s="61" t="s">
        <v>28</v>
      </c>
      <c r="W91" s="62" t="s">
        <v>29</v>
      </c>
      <c r="X91" s="63" t="s">
        <v>30</v>
      </c>
      <c r="Y91" s="7"/>
      <c r="Z91" s="7"/>
      <c r="AA91" s="7"/>
      <c r="AB91" s="13"/>
      <c r="AC91" s="13"/>
      <c r="AD91" s="13"/>
    </row>
    <row r="92" ht="14.25">
      <c r="A92" s="217" t="s">
        <v>35</v>
      </c>
      <c r="B92" s="354"/>
      <c r="C92" s="354" t="s">
        <v>33</v>
      </c>
      <c r="D92" s="354"/>
      <c r="E92" s="354" t="s">
        <v>33</v>
      </c>
      <c r="F92" s="355"/>
      <c r="G92" s="355"/>
      <c r="H92" s="355"/>
      <c r="I92" s="355"/>
      <c r="J92" s="355"/>
      <c r="K92" s="355"/>
      <c r="L92" s="355"/>
      <c r="M92" s="355"/>
      <c r="N92" s="355"/>
      <c r="O92" s="430"/>
      <c r="P92" s="218">
        <f t="shared" si="89"/>
        <v>16</v>
      </c>
      <c r="Q92" s="62">
        <f t="shared" si="86"/>
        <v>0</v>
      </c>
      <c r="R92" s="219" t="str">
        <f t="shared" si="90"/>
        <v>Рычков</v>
      </c>
      <c r="S92" s="76" t="s">
        <v>10</v>
      </c>
      <c r="T92" s="77" t="s">
        <v>9</v>
      </c>
      <c r="U92" s="73">
        <f t="shared" si="88"/>
        <v>0</v>
      </c>
      <c r="V92" s="62">
        <f t="shared" si="87"/>
        <v>0</v>
      </c>
      <c r="W92" s="62"/>
      <c r="X92" s="74" t="s">
        <v>34</v>
      </c>
      <c r="Y92" s="7"/>
      <c r="Z92" s="7"/>
      <c r="AA92" s="7"/>
      <c r="AB92" s="13"/>
      <c r="AC92" s="13"/>
      <c r="AD92" s="13"/>
    </row>
    <row r="93" ht="14.25">
      <c r="A93" s="203" t="s">
        <v>61</v>
      </c>
      <c r="B93" s="354"/>
      <c r="C93" s="354" t="s">
        <v>33</v>
      </c>
      <c r="D93" s="354"/>
      <c r="E93" s="354" t="s">
        <v>33</v>
      </c>
      <c r="F93" s="355"/>
      <c r="G93" s="355"/>
      <c r="H93" s="355"/>
      <c r="I93" s="355"/>
      <c r="J93" s="355"/>
      <c r="K93" s="355"/>
      <c r="L93" s="355"/>
      <c r="M93" s="355"/>
      <c r="N93" s="355"/>
      <c r="O93" s="382"/>
      <c r="P93" s="218">
        <f t="shared" si="89"/>
        <v>16</v>
      </c>
      <c r="Q93" s="62">
        <f t="shared" si="86"/>
        <v>0</v>
      </c>
      <c r="R93" s="219" t="str">
        <f t="shared" si="90"/>
        <v>Карузина</v>
      </c>
      <c r="S93" s="76" t="s">
        <v>10</v>
      </c>
      <c r="T93" s="77" t="s">
        <v>9</v>
      </c>
      <c r="U93" s="73">
        <f t="shared" si="88"/>
        <v>0</v>
      </c>
      <c r="V93" s="62">
        <f t="shared" si="87"/>
        <v>0</v>
      </c>
      <c r="W93" s="62"/>
      <c r="X93" s="79" t="s">
        <v>34</v>
      </c>
      <c r="Y93" s="7"/>
      <c r="Z93" s="7"/>
      <c r="AA93" s="7"/>
      <c r="AB93" s="13"/>
      <c r="AC93" s="13"/>
      <c r="AD93" s="13"/>
    </row>
    <row r="94" ht="14.25">
      <c r="A94" s="203" t="s">
        <v>39</v>
      </c>
      <c r="B94" s="354"/>
      <c r="C94" s="354" t="s">
        <v>33</v>
      </c>
      <c r="D94" s="354"/>
      <c r="E94" s="354" t="s">
        <v>33</v>
      </c>
      <c r="F94" s="355"/>
      <c r="G94" s="355"/>
      <c r="H94" s="355"/>
      <c r="I94" s="355"/>
      <c r="J94" s="355"/>
      <c r="K94" s="355"/>
      <c r="L94" s="355"/>
      <c r="M94" s="355"/>
      <c r="N94" s="355"/>
      <c r="O94" s="382"/>
      <c r="P94" s="218">
        <f t="shared" si="89"/>
        <v>16</v>
      </c>
      <c r="Q94" s="62">
        <f t="shared" si="86"/>
        <v>0</v>
      </c>
      <c r="R94" s="219" t="str">
        <f t="shared" si="90"/>
        <v>Игумнов</v>
      </c>
      <c r="S94" s="76" t="s">
        <v>10</v>
      </c>
      <c r="T94" s="77" t="s">
        <v>9</v>
      </c>
      <c r="U94" s="73">
        <f t="shared" si="88"/>
        <v>0</v>
      </c>
      <c r="V94" s="62">
        <f t="shared" si="87"/>
        <v>0</v>
      </c>
      <c r="W94" s="62"/>
      <c r="X94" s="74" t="s">
        <v>38</v>
      </c>
      <c r="Y94" s="7"/>
      <c r="Z94" s="7"/>
      <c r="AA94" s="7"/>
      <c r="AB94" s="13"/>
      <c r="AC94" s="13"/>
      <c r="AD94" s="13"/>
    </row>
    <row r="95" ht="14.25">
      <c r="A95" s="203" t="s">
        <v>40</v>
      </c>
      <c r="B95" s="354"/>
      <c r="C95" s="354" t="s">
        <v>56</v>
      </c>
      <c r="D95" s="354"/>
      <c r="E95" s="354" t="s">
        <v>33</v>
      </c>
      <c r="F95" s="355"/>
      <c r="G95" s="355"/>
      <c r="H95" s="355"/>
      <c r="I95" s="355"/>
      <c r="J95" s="355"/>
      <c r="K95" s="355"/>
      <c r="L95" s="355"/>
      <c r="M95" s="355"/>
      <c r="N95" s="355"/>
      <c r="O95" s="382"/>
      <c r="P95" s="218">
        <f t="shared" si="89"/>
        <v>15</v>
      </c>
      <c r="Q95" s="62">
        <f t="shared" si="86"/>
        <v>0</v>
      </c>
      <c r="R95" s="219" t="str">
        <f t="shared" si="90"/>
        <v>Душин</v>
      </c>
      <c r="S95" s="76" t="s">
        <v>58</v>
      </c>
      <c r="T95" s="77" t="s">
        <v>59</v>
      </c>
      <c r="U95" s="73">
        <f t="shared" si="88"/>
        <v>0</v>
      </c>
      <c r="V95" s="62">
        <f t="shared" si="87"/>
        <v>0</v>
      </c>
      <c r="W95" s="62"/>
      <c r="X95" s="74" t="s">
        <v>34</v>
      </c>
      <c r="Y95" s="7"/>
      <c r="Z95" s="7"/>
      <c r="AA95" s="7"/>
      <c r="AB95" s="13"/>
      <c r="AC95" s="13"/>
      <c r="AD95" s="13"/>
    </row>
    <row r="96" ht="14.25">
      <c r="A96" s="203" t="s">
        <v>31</v>
      </c>
      <c r="B96" s="354"/>
      <c r="C96" s="354" t="s">
        <v>33</v>
      </c>
      <c r="D96" s="354"/>
      <c r="E96" s="354" t="s">
        <v>33</v>
      </c>
      <c r="F96" s="355"/>
      <c r="G96" s="355"/>
      <c r="H96" s="355"/>
      <c r="I96" s="355"/>
      <c r="J96" s="355"/>
      <c r="K96" s="355"/>
      <c r="L96" s="355"/>
      <c r="M96" s="355"/>
      <c r="N96" s="355"/>
      <c r="O96" s="382"/>
      <c r="P96" s="218">
        <f t="shared" si="89"/>
        <v>16</v>
      </c>
      <c r="Q96" s="62">
        <f t="shared" ref="Q96:Q99" si="91">Q76-P96</f>
        <v>0</v>
      </c>
      <c r="R96" s="219" t="str">
        <f t="shared" si="90"/>
        <v>Нетронин</v>
      </c>
      <c r="S96" s="76" t="s">
        <v>58</v>
      </c>
      <c r="T96" s="77" t="s">
        <v>59</v>
      </c>
      <c r="U96" s="73">
        <f t="shared" si="88"/>
        <v>0</v>
      </c>
      <c r="V96" s="62">
        <f t="shared" si="87"/>
        <v>0</v>
      </c>
      <c r="W96" s="62"/>
      <c r="X96" s="74" t="s">
        <v>34</v>
      </c>
      <c r="Y96" s="7"/>
      <c r="Z96" s="7"/>
      <c r="AA96" s="7"/>
      <c r="AB96" s="13"/>
      <c r="AC96" s="13"/>
      <c r="AD96" s="13"/>
    </row>
    <row r="97" ht="14.25">
      <c r="A97" s="203" t="s">
        <v>62</v>
      </c>
      <c r="B97" s="411"/>
      <c r="C97" s="411" t="s">
        <v>33</v>
      </c>
      <c r="D97" s="411"/>
      <c r="E97" s="411" t="s">
        <v>33</v>
      </c>
      <c r="F97" s="412"/>
      <c r="G97" s="413"/>
      <c r="H97" s="413"/>
      <c r="I97" s="413"/>
      <c r="J97" s="413"/>
      <c r="K97" s="413"/>
      <c r="L97" s="413"/>
      <c r="M97" s="413"/>
      <c r="N97" s="413"/>
      <c r="O97" s="414"/>
      <c r="P97" s="218">
        <f t="shared" si="89"/>
        <v>16</v>
      </c>
      <c r="Q97" s="62">
        <f t="shared" si="91"/>
        <v>0</v>
      </c>
      <c r="R97" s="219" t="str">
        <f t="shared" si="90"/>
        <v>Раимова</v>
      </c>
      <c r="S97" s="76" t="s">
        <v>10</v>
      </c>
      <c r="T97" s="77" t="s">
        <v>9</v>
      </c>
      <c r="U97" s="73">
        <f t="shared" si="88"/>
        <v>0</v>
      </c>
      <c r="V97" s="62">
        <f t="shared" si="87"/>
        <v>0</v>
      </c>
      <c r="W97" s="62"/>
      <c r="X97" s="74" t="s">
        <v>38</v>
      </c>
      <c r="Y97" s="7"/>
      <c r="Z97" s="7"/>
      <c r="AA97" s="7"/>
      <c r="AB97" s="13"/>
      <c r="AC97" s="13"/>
      <c r="AD97" s="13"/>
    </row>
    <row r="98" ht="14.25">
      <c r="A98" s="415" t="s">
        <v>63</v>
      </c>
      <c r="B98" s="2" t="s">
        <v>1</v>
      </c>
      <c r="C98" s="3">
        <v>8</v>
      </c>
      <c r="D98" s="2" t="s">
        <v>1</v>
      </c>
      <c r="E98" s="3">
        <v>8</v>
      </c>
      <c r="F98" s="2"/>
      <c r="G98" s="3"/>
      <c r="H98" s="2"/>
      <c r="I98" s="3"/>
      <c r="J98" s="2"/>
      <c r="K98" s="3"/>
      <c r="L98" s="2"/>
      <c r="M98" s="3"/>
      <c r="N98" s="2"/>
      <c r="O98" s="3"/>
      <c r="P98" s="253">
        <f t="shared" si="89"/>
        <v>16</v>
      </c>
      <c r="Q98" s="62">
        <f t="shared" si="91"/>
        <v>0</v>
      </c>
      <c r="R98" s="219" t="str">
        <f t="shared" si="90"/>
        <v>Войтехович</v>
      </c>
      <c r="S98" s="76" t="s">
        <v>10</v>
      </c>
      <c r="T98" s="77" t="s">
        <v>9</v>
      </c>
      <c r="U98" s="73">
        <f t="shared" si="88"/>
        <v>0</v>
      </c>
      <c r="V98" s="62">
        <f t="shared" si="87"/>
        <v>0</v>
      </c>
      <c r="W98" s="62"/>
      <c r="X98" s="74" t="s">
        <v>38</v>
      </c>
      <c r="Y98" s="7"/>
      <c r="Z98" s="7"/>
      <c r="AA98" s="7"/>
      <c r="AB98" s="13"/>
      <c r="AC98" s="13"/>
      <c r="AD98" s="13"/>
    </row>
    <row r="99" ht="14.25">
      <c r="A99" s="203" t="s">
        <v>64</v>
      </c>
      <c r="B99" s="428"/>
      <c r="C99" s="428" t="s">
        <v>33</v>
      </c>
      <c r="D99" s="428"/>
      <c r="E99" s="428" t="s">
        <v>33</v>
      </c>
      <c r="F99" s="355"/>
      <c r="G99" s="355"/>
      <c r="H99" s="355"/>
      <c r="I99" s="355"/>
      <c r="J99" s="355"/>
      <c r="K99" s="355"/>
      <c r="L99" s="355"/>
      <c r="M99" s="355"/>
      <c r="N99" s="355"/>
      <c r="O99" s="433"/>
      <c r="P99" s="218">
        <f t="shared" si="89"/>
        <v>16</v>
      </c>
      <c r="Q99" s="62">
        <f t="shared" si="91"/>
        <v>0</v>
      </c>
      <c r="R99" s="219" t="str">
        <f t="shared" si="90"/>
        <v>Васильев</v>
      </c>
      <c r="S99" s="71" t="s">
        <v>12</v>
      </c>
      <c r="T99" s="72" t="s">
        <v>11</v>
      </c>
      <c r="U99" s="73">
        <f t="shared" si="88"/>
        <v>0</v>
      </c>
      <c r="V99" s="62">
        <f t="shared" si="87"/>
        <v>0</v>
      </c>
      <c r="W99" s="62"/>
      <c r="X99" s="434" t="s">
        <v>44</v>
      </c>
      <c r="Y99" s="7"/>
      <c r="Z99" s="7"/>
      <c r="AA99" s="7"/>
      <c r="AB99" s="13"/>
      <c r="AC99" s="13"/>
      <c r="AD99" s="13"/>
    </row>
    <row r="100" ht="14.25">
      <c r="A100" s="205" t="s">
        <v>43</v>
      </c>
      <c r="B100" s="355"/>
      <c r="C100" s="355"/>
      <c r="D100" s="399"/>
      <c r="E100" s="399"/>
      <c r="F100" s="357"/>
      <c r="G100" s="357"/>
      <c r="H100" s="355"/>
      <c r="I100" s="355"/>
      <c r="J100" s="355"/>
      <c r="K100" s="355"/>
      <c r="L100" s="355"/>
      <c r="M100" s="355"/>
      <c r="N100" s="355"/>
      <c r="O100" s="382"/>
      <c r="P100" s="218">
        <f t="shared" ref="P100:P107" si="92">C100+E100+G100+I100+K100+M100+O100</f>
        <v>0</v>
      </c>
      <c r="Q100" s="62">
        <f t="shared" ref="Q100:Q107" si="93">Q80-P100</f>
        <v>13</v>
      </c>
      <c r="R100" s="219" t="str">
        <f t="shared" ref="R100:R107" si="94">A100</f>
        <v>Дащенко</v>
      </c>
      <c r="S100" s="76" t="s">
        <v>10</v>
      </c>
      <c r="T100" s="77" t="s">
        <v>9</v>
      </c>
      <c r="U100" s="73">
        <f>COUNTIF(T100,B100)+COUNTIF(T100,D100)+COUNTIF(T100,F100)+COUNTIF(T100,H100)+COUNTIF(T100,J100)+COUNTIF(T100,L100)+COUNTIF(T100,N100)</f>
        <v>0</v>
      </c>
      <c r="V100" s="62">
        <f t="shared" ref="V100:V106" si="95">COUNTIF(S100,B100)+COUNTIF(S100,D100)+COUNTIF(S100,F100)+COUNTIF(S100,H100)+COUNTIF(S100,J100)+COUNTIF(S100,L100)+COUNTIF(S100,N100)</f>
        <v>0</v>
      </c>
      <c r="W100" s="62"/>
      <c r="X100" s="74" t="s">
        <v>34</v>
      </c>
      <c r="Y100" s="7"/>
      <c r="Z100" s="7"/>
      <c r="AA100" s="7"/>
      <c r="AB100" s="13"/>
      <c r="AC100" s="13"/>
      <c r="AD100" s="13"/>
    </row>
    <row r="101" ht="14.25">
      <c r="A101" s="205" t="s">
        <v>45</v>
      </c>
      <c r="B101" s="355"/>
      <c r="C101" s="382"/>
      <c r="D101" s="77"/>
      <c r="E101" s="359">
        <v>11</v>
      </c>
      <c r="F101" s="77"/>
      <c r="G101" s="359"/>
      <c r="H101" s="355"/>
      <c r="I101" s="355"/>
      <c r="J101" s="355"/>
      <c r="K101" s="355"/>
      <c r="L101" s="355"/>
      <c r="M101" s="355"/>
      <c r="N101" s="355"/>
      <c r="O101" s="382"/>
      <c r="P101" s="218">
        <f t="shared" si="92"/>
        <v>11</v>
      </c>
      <c r="Q101" s="62">
        <f t="shared" si="93"/>
        <v>13</v>
      </c>
      <c r="R101" s="219" t="str">
        <f t="shared" si="94"/>
        <v>Пузырь</v>
      </c>
      <c r="S101" s="76" t="s">
        <v>10</v>
      </c>
      <c r="T101" s="77" t="s">
        <v>9</v>
      </c>
      <c r="U101" s="73">
        <v>1</v>
      </c>
      <c r="V101" s="62">
        <f t="shared" si="95"/>
        <v>0</v>
      </c>
      <c r="W101" s="62"/>
      <c r="X101" s="74" t="s">
        <v>34</v>
      </c>
      <c r="Y101" s="7"/>
      <c r="Z101" s="7"/>
      <c r="AA101" s="7"/>
      <c r="AB101" s="13"/>
      <c r="AC101" s="13"/>
      <c r="AD101" s="13"/>
    </row>
    <row r="102" ht="14.25">
      <c r="A102" s="205" t="s">
        <v>65</v>
      </c>
      <c r="B102" s="357"/>
      <c r="C102" s="357"/>
      <c r="D102" s="355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82"/>
      <c r="P102" s="218">
        <f t="shared" si="92"/>
        <v>0</v>
      </c>
      <c r="Q102" s="62">
        <f t="shared" si="93"/>
        <v>13</v>
      </c>
      <c r="R102" s="219" t="str">
        <f t="shared" si="94"/>
        <v>Рожнева</v>
      </c>
      <c r="S102" s="76" t="s">
        <v>10</v>
      </c>
      <c r="T102" s="77" t="s">
        <v>9</v>
      </c>
      <c r="U102" s="73">
        <f>COUNTIF(T102,B102)+COUNTIF(T102,D102)+COUNTIF(T102,F102)+COUNTIF(T102,H102)+COUNTIF(T102,J102)+COUNTIF(T102,L102)+COUNTIF(T102,N102)</f>
        <v>0</v>
      </c>
      <c r="V102" s="62">
        <f t="shared" si="95"/>
        <v>0</v>
      </c>
      <c r="W102" s="62"/>
      <c r="X102" s="74" t="s">
        <v>34</v>
      </c>
      <c r="Y102" s="7"/>
      <c r="Z102" s="7"/>
      <c r="AA102" s="7"/>
      <c r="AB102" s="13"/>
      <c r="AC102" s="13"/>
      <c r="AD102" s="13"/>
    </row>
    <row r="103" ht="14.25">
      <c r="A103" s="205" t="s">
        <v>47</v>
      </c>
      <c r="B103" s="77"/>
      <c r="C103" s="359">
        <v>11</v>
      </c>
      <c r="D103" s="355"/>
      <c r="E103" s="355"/>
      <c r="F103" s="355"/>
      <c r="G103" s="355"/>
      <c r="H103" s="355"/>
      <c r="I103" s="355"/>
      <c r="J103" s="355"/>
      <c r="K103" s="355"/>
      <c r="L103" s="355"/>
      <c r="M103" s="355"/>
      <c r="N103" s="355"/>
      <c r="O103" s="382"/>
      <c r="P103" s="218">
        <f t="shared" si="92"/>
        <v>11</v>
      </c>
      <c r="Q103" s="62">
        <f t="shared" si="93"/>
        <v>10</v>
      </c>
      <c r="R103" s="219" t="str">
        <f t="shared" si="94"/>
        <v>Торубара</v>
      </c>
      <c r="S103" s="76" t="s">
        <v>10</v>
      </c>
      <c r="T103" s="77" t="s">
        <v>9</v>
      </c>
      <c r="U103" s="73">
        <v>1</v>
      </c>
      <c r="V103" s="62">
        <f t="shared" si="95"/>
        <v>0</v>
      </c>
      <c r="W103" s="62"/>
      <c r="X103" s="74" t="s">
        <v>34</v>
      </c>
      <c r="Y103" s="7"/>
      <c r="Z103" s="7"/>
      <c r="AA103" s="7"/>
      <c r="AB103" s="13"/>
      <c r="AC103" s="13"/>
      <c r="AD103" s="13"/>
    </row>
    <row r="104" ht="14.25">
      <c r="A104" s="205" t="s">
        <v>48</v>
      </c>
      <c r="B104" s="399"/>
      <c r="C104" s="399"/>
      <c r="D104" s="357"/>
      <c r="E104" s="357"/>
      <c r="F104" s="355"/>
      <c r="G104" s="355"/>
      <c r="H104" s="355"/>
      <c r="I104" s="355"/>
      <c r="J104" s="355"/>
      <c r="K104" s="355"/>
      <c r="L104" s="355"/>
      <c r="M104" s="355"/>
      <c r="N104" s="355"/>
      <c r="O104" s="382"/>
      <c r="P104" s="218">
        <f t="shared" si="92"/>
        <v>0</v>
      </c>
      <c r="Q104" s="62">
        <f t="shared" si="93"/>
        <v>13</v>
      </c>
      <c r="R104" s="219" t="str">
        <f t="shared" si="94"/>
        <v>Стрыгин</v>
      </c>
      <c r="S104" s="71" t="s">
        <v>8</v>
      </c>
      <c r="T104" s="72" t="s">
        <v>7</v>
      </c>
      <c r="U104" s="73">
        <f t="shared" ref="U104:U107" si="96">COUNTIF(T104,B104)+COUNTIF(T104,D104)+COUNTIF(T104,F104)+COUNTIF(T104,H104)+COUNTIF(T104,J104)+COUNTIF(T104,L104)+COUNTIF(T104,N104)</f>
        <v>0</v>
      </c>
      <c r="V104" s="62">
        <f t="shared" si="95"/>
        <v>0</v>
      </c>
      <c r="W104" s="62"/>
      <c r="X104" s="74" t="s">
        <v>49</v>
      </c>
      <c r="Y104" s="7"/>
      <c r="Z104" s="7"/>
      <c r="AA104" s="7"/>
      <c r="AB104" s="13"/>
      <c r="AC104" s="13"/>
      <c r="AD104" s="13"/>
    </row>
    <row r="105" ht="14.25">
      <c r="A105" s="205" t="s">
        <v>50</v>
      </c>
      <c r="B105" s="76"/>
      <c r="C105" s="361">
        <v>11</v>
      </c>
      <c r="D105" s="76"/>
      <c r="E105" s="361">
        <v>11</v>
      </c>
      <c r="F105" s="355"/>
      <c r="G105" s="355"/>
      <c r="H105" s="355"/>
      <c r="I105" s="355"/>
      <c r="J105" s="355"/>
      <c r="K105" s="355"/>
      <c r="L105" s="355"/>
      <c r="M105" s="355"/>
      <c r="N105" s="355"/>
      <c r="O105" s="382"/>
      <c r="P105" s="218">
        <f t="shared" si="92"/>
        <v>22</v>
      </c>
      <c r="Q105" s="62">
        <f t="shared" si="93"/>
        <v>-5</v>
      </c>
      <c r="R105" s="219" t="str">
        <f t="shared" si="94"/>
        <v>Фрик</v>
      </c>
      <c r="S105" s="71" t="s">
        <v>12</v>
      </c>
      <c r="T105" s="72" t="s">
        <v>11</v>
      </c>
      <c r="U105" s="73">
        <f t="shared" si="96"/>
        <v>0</v>
      </c>
      <c r="V105" s="62">
        <v>2</v>
      </c>
      <c r="W105" s="62"/>
      <c r="X105" s="74" t="s">
        <v>44</v>
      </c>
      <c r="Y105" s="7"/>
      <c r="Z105" s="7"/>
      <c r="AA105" s="7"/>
      <c r="AB105" s="13"/>
      <c r="AC105" s="13"/>
      <c r="AD105" s="13"/>
    </row>
    <row r="106" ht="14.25">
      <c r="A106" s="206" t="s">
        <v>51</v>
      </c>
      <c r="B106" s="399"/>
      <c r="C106" s="399"/>
      <c r="D106" s="399"/>
      <c r="E106" s="399"/>
      <c r="F106" s="355"/>
      <c r="G106" s="355"/>
      <c r="H106" s="355"/>
      <c r="I106" s="355"/>
      <c r="J106" s="355"/>
      <c r="K106" s="355"/>
      <c r="L106" s="355"/>
      <c r="M106" s="355"/>
      <c r="N106" s="355"/>
      <c r="O106" s="382"/>
      <c r="P106" s="218">
        <f t="shared" si="92"/>
        <v>0</v>
      </c>
      <c r="Q106" s="62">
        <f t="shared" si="93"/>
        <v>2</v>
      </c>
      <c r="R106" s="219" t="str">
        <f t="shared" si="94"/>
        <v>Истрашкин</v>
      </c>
      <c r="S106" s="71" t="s">
        <v>10</v>
      </c>
      <c r="T106" s="72" t="s">
        <v>9</v>
      </c>
      <c r="U106" s="73">
        <f t="shared" si="96"/>
        <v>0</v>
      </c>
      <c r="V106" s="62">
        <f t="shared" si="95"/>
        <v>0</v>
      </c>
      <c r="W106" s="62"/>
      <c r="X106" s="74" t="s">
        <v>34</v>
      </c>
      <c r="Y106" s="7"/>
      <c r="Z106" s="7"/>
      <c r="AA106" s="7"/>
      <c r="AB106" s="13"/>
      <c r="AC106" s="13"/>
      <c r="AD106" s="13"/>
    </row>
    <row r="107" ht="14.25">
      <c r="A107" s="397" t="s">
        <v>66</v>
      </c>
      <c r="B107" s="76"/>
      <c r="C107" s="361">
        <v>11</v>
      </c>
      <c r="D107" s="76"/>
      <c r="E107" s="361">
        <v>11</v>
      </c>
      <c r="F107" s="356"/>
      <c r="G107" s="357"/>
      <c r="H107" s="357"/>
      <c r="I107" s="357"/>
      <c r="J107" s="357"/>
      <c r="K107" s="357"/>
      <c r="L107" s="357"/>
      <c r="M107" s="357"/>
      <c r="N107" s="357"/>
      <c r="O107" s="358"/>
      <c r="P107" s="366">
        <f t="shared" si="92"/>
        <v>22</v>
      </c>
      <c r="Q107" s="421">
        <f t="shared" si="93"/>
        <v>-9</v>
      </c>
      <c r="R107" s="219" t="str">
        <f t="shared" si="94"/>
        <v>Качаев</v>
      </c>
      <c r="S107" s="71" t="s">
        <v>10</v>
      </c>
      <c r="T107" s="72" t="s">
        <v>9</v>
      </c>
      <c r="U107" s="73">
        <f t="shared" si="96"/>
        <v>0</v>
      </c>
      <c r="V107" s="62">
        <v>2</v>
      </c>
      <c r="W107" s="62"/>
      <c r="X107" s="299" t="s">
        <v>34</v>
      </c>
      <c r="Y107" s="7"/>
      <c r="Z107" s="7"/>
      <c r="AA107" s="7"/>
      <c r="AB107" s="13"/>
      <c r="AC107" s="13"/>
      <c r="AD107" s="13"/>
    </row>
    <row r="108" ht="14.25">
      <c r="A108" s="92"/>
      <c r="B108" s="53">
        <v>46202</v>
      </c>
      <c r="C108" s="53"/>
      <c r="D108" s="53">
        <v>46203</v>
      </c>
      <c r="E108" s="53"/>
      <c r="F108" s="53">
        <v>46204</v>
      </c>
      <c r="G108" s="53"/>
      <c r="H108" s="53">
        <v>46205</v>
      </c>
      <c r="I108" s="53"/>
      <c r="J108" s="53">
        <v>46206</v>
      </c>
      <c r="K108" s="53"/>
      <c r="L108" s="53">
        <v>46207</v>
      </c>
      <c r="M108" s="53"/>
      <c r="N108" s="53">
        <v>46208</v>
      </c>
      <c r="O108" s="54"/>
      <c r="P108" s="68"/>
      <c r="Q108" s="67"/>
      <c r="R108" s="422"/>
      <c r="S108" s="138"/>
      <c r="T108" s="138"/>
      <c r="U108" s="60" t="s">
        <v>27</v>
      </c>
      <c r="V108" s="61" t="s">
        <v>28</v>
      </c>
      <c r="W108" s="62" t="s">
        <v>29</v>
      </c>
      <c r="X108" s="7"/>
      <c r="Y108" s="7"/>
      <c r="Z108" s="7"/>
      <c r="AA108" s="7"/>
      <c r="AB108" s="13"/>
      <c r="AC108" s="13"/>
      <c r="AD108" s="13"/>
    </row>
    <row r="109" ht="14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7"/>
      <c r="Q644" s="153"/>
      <c r="R644" s="7"/>
      <c r="S644" s="7"/>
      <c r="T644" s="7"/>
      <c r="U644" s="153"/>
      <c r="V644" s="153"/>
      <c r="W644" s="12"/>
      <c r="X644" s="21"/>
      <c r="Y644" s="7"/>
      <c r="Z644" s="7"/>
      <c r="AA644" s="7"/>
      <c r="AB644" s="13"/>
      <c r="AC644" s="13"/>
      <c r="AD644" s="13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154"/>
      <c r="R645" s="21"/>
      <c r="S645" s="21"/>
      <c r="T645" s="21"/>
      <c r="U645" s="154"/>
      <c r="V645" s="154"/>
      <c r="W645" s="154"/>
      <c r="X645" s="21"/>
      <c r="Y645" s="21"/>
      <c r="Z645" s="21"/>
      <c r="AA645" s="21"/>
      <c r="AB645" s="21"/>
      <c r="AC645" s="21"/>
      <c r="AD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154"/>
      <c r="R646" s="21"/>
      <c r="S646" s="21"/>
      <c r="T646" s="21"/>
      <c r="U646" s="154"/>
      <c r="V646" s="154"/>
      <c r="W646" s="154"/>
      <c r="X646" s="21"/>
      <c r="Y646" s="21"/>
      <c r="Z646" s="21"/>
      <c r="AA646" s="21"/>
      <c r="AB646" s="21"/>
      <c r="AC646" s="21"/>
      <c r="AD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154"/>
      <c r="R647" s="21"/>
      <c r="S647" s="21"/>
      <c r="T647" s="21"/>
      <c r="U647" s="154"/>
      <c r="V647" s="154"/>
      <c r="W647" s="154"/>
      <c r="X647" s="21"/>
      <c r="Y647" s="21"/>
      <c r="Z647" s="21"/>
      <c r="AA647" s="21"/>
      <c r="AB647" s="21"/>
      <c r="AC647" s="21"/>
      <c r="AD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154"/>
      <c r="R648" s="21"/>
      <c r="S648" s="21"/>
      <c r="T648" s="21"/>
      <c r="U648" s="154"/>
      <c r="V648" s="154"/>
      <c r="W648" s="154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154"/>
      <c r="R649" s="21"/>
      <c r="S649" s="21"/>
      <c r="T649" s="21"/>
      <c r="U649" s="154"/>
      <c r="V649" s="154"/>
      <c r="W649" s="154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154"/>
      <c r="R650" s="21"/>
      <c r="S650" s="21"/>
      <c r="T650" s="21"/>
      <c r="U650" s="154"/>
      <c r="V650" s="154"/>
      <c r="W650" s="154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154"/>
      <c r="R651" s="21"/>
      <c r="S651" s="21"/>
      <c r="T651" s="21"/>
      <c r="U651" s="154"/>
      <c r="V651" s="154"/>
      <c r="W651" s="154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154"/>
      <c r="R652" s="21"/>
      <c r="S652" s="21"/>
      <c r="T652" s="21"/>
      <c r="U652" s="154"/>
      <c r="V652" s="154"/>
      <c r="W652" s="154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154"/>
      <c r="R653" s="21"/>
      <c r="S653" s="21"/>
      <c r="T653" s="21"/>
      <c r="U653" s="154"/>
      <c r="V653" s="154"/>
      <c r="W653" s="154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154"/>
      <c r="R654" s="21"/>
      <c r="S654" s="21"/>
      <c r="T654" s="21"/>
      <c r="U654" s="154"/>
      <c r="V654" s="154"/>
      <c r="W654" s="154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154"/>
      <c r="R655" s="21"/>
      <c r="S655" s="21"/>
      <c r="T655" s="21"/>
      <c r="U655" s="154"/>
      <c r="V655" s="154"/>
      <c r="W655" s="154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154"/>
      <c r="R656" s="21"/>
      <c r="S656" s="21"/>
      <c r="T656" s="21"/>
      <c r="U656" s="154"/>
      <c r="V656" s="154"/>
      <c r="W656" s="154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154"/>
      <c r="R657" s="21"/>
      <c r="S657" s="21"/>
      <c r="T657" s="21"/>
      <c r="U657" s="154"/>
      <c r="V657" s="154"/>
      <c r="W657" s="154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154"/>
      <c r="R658" s="21"/>
      <c r="S658" s="21"/>
      <c r="T658" s="21"/>
      <c r="U658" s="154"/>
      <c r="V658" s="154"/>
      <c r="W658" s="154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154"/>
      <c r="R659" s="21"/>
      <c r="S659" s="21"/>
      <c r="T659" s="21"/>
      <c r="U659" s="154"/>
      <c r="V659" s="154"/>
      <c r="W659" s="154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154"/>
      <c r="R660" s="21"/>
      <c r="S660" s="21"/>
      <c r="T660" s="21"/>
      <c r="U660" s="154"/>
      <c r="V660" s="154"/>
      <c r="W660" s="154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154"/>
      <c r="R661" s="21"/>
      <c r="S661" s="21"/>
      <c r="T661" s="21"/>
      <c r="U661" s="154"/>
      <c r="V661" s="154"/>
      <c r="W661" s="154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154"/>
      <c r="R662" s="21"/>
      <c r="S662" s="21"/>
      <c r="T662" s="21"/>
      <c r="U662" s="154"/>
      <c r="V662" s="154"/>
      <c r="W662" s="154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154"/>
      <c r="R663" s="21"/>
      <c r="S663" s="21"/>
      <c r="T663" s="21"/>
      <c r="U663" s="154"/>
      <c r="V663" s="154"/>
      <c r="W663" s="154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154"/>
      <c r="R664" s="21"/>
      <c r="S664" s="21"/>
      <c r="T664" s="21"/>
      <c r="U664" s="154"/>
      <c r="V664" s="154"/>
      <c r="W664" s="154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154"/>
      <c r="R665" s="21"/>
      <c r="S665" s="21"/>
      <c r="T665" s="21"/>
      <c r="U665" s="154"/>
      <c r="V665" s="154"/>
      <c r="W665" s="154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54"/>
      <c r="R666" s="21"/>
      <c r="S666" s="21"/>
      <c r="T666" s="21"/>
      <c r="U666" s="154"/>
      <c r="V666" s="154"/>
      <c r="W666" s="154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54"/>
      <c r="R667" s="21"/>
      <c r="S667" s="21"/>
      <c r="T667" s="21"/>
      <c r="U667" s="154"/>
      <c r="V667" s="154"/>
      <c r="W667" s="154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54"/>
      <c r="R668" s="21"/>
      <c r="S668" s="21"/>
      <c r="T668" s="21"/>
      <c r="U668" s="154"/>
      <c r="V668" s="154"/>
      <c r="W668" s="154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54"/>
      <c r="R669" s="21"/>
      <c r="S669" s="21"/>
      <c r="T669" s="21"/>
      <c r="U669" s="154"/>
      <c r="V669" s="154"/>
      <c r="W669" s="154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54"/>
      <c r="R670" s="21"/>
      <c r="S670" s="21"/>
      <c r="T670" s="21"/>
      <c r="U670" s="154"/>
      <c r="V670" s="154"/>
      <c r="W670" s="154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54"/>
      <c r="R671" s="21"/>
      <c r="S671" s="21"/>
      <c r="T671" s="21"/>
      <c r="U671" s="154"/>
      <c r="V671" s="154"/>
      <c r="W671" s="154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54"/>
      <c r="R672" s="21"/>
      <c r="S672" s="21"/>
      <c r="T672" s="21"/>
      <c r="U672" s="154"/>
      <c r="V672" s="154"/>
      <c r="W672" s="154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54"/>
      <c r="R673" s="21"/>
      <c r="S673" s="21"/>
      <c r="T673" s="21"/>
      <c r="U673" s="154"/>
      <c r="V673" s="154"/>
      <c r="W673" s="154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54"/>
      <c r="R674" s="21"/>
      <c r="S674" s="21"/>
      <c r="T674" s="21"/>
      <c r="U674" s="154"/>
      <c r="V674" s="154"/>
      <c r="W674" s="154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54"/>
      <c r="R675" s="21"/>
      <c r="S675" s="21"/>
      <c r="T675" s="21"/>
      <c r="U675" s="154"/>
      <c r="V675" s="154"/>
      <c r="W675" s="154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54"/>
      <c r="R676" s="21"/>
      <c r="S676" s="21"/>
      <c r="T676" s="21"/>
      <c r="U676" s="154"/>
      <c r="V676" s="154"/>
      <c r="W676" s="154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54"/>
      <c r="R677" s="21"/>
      <c r="S677" s="21"/>
      <c r="T677" s="21"/>
      <c r="U677" s="154"/>
      <c r="V677" s="154"/>
      <c r="W677" s="154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54"/>
      <c r="R678" s="21"/>
      <c r="S678" s="21"/>
      <c r="T678" s="21"/>
      <c r="U678" s="154"/>
      <c r="V678" s="154"/>
      <c r="W678" s="154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54"/>
      <c r="R679" s="21"/>
      <c r="S679" s="21"/>
      <c r="T679" s="21"/>
      <c r="U679" s="154"/>
      <c r="V679" s="154"/>
      <c r="W679" s="154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54"/>
      <c r="R680" s="21"/>
      <c r="S680" s="21"/>
      <c r="T680" s="21"/>
      <c r="U680" s="154"/>
      <c r="V680" s="154"/>
      <c r="W680" s="154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54"/>
      <c r="R681" s="21"/>
      <c r="S681" s="21"/>
      <c r="T681" s="21"/>
      <c r="U681" s="154"/>
      <c r="V681" s="154"/>
      <c r="W681" s="154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54"/>
      <c r="R682" s="21"/>
      <c r="S682" s="21"/>
      <c r="T682" s="21"/>
      <c r="U682" s="154"/>
      <c r="V682" s="154"/>
      <c r="W682" s="154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54"/>
      <c r="R683" s="21"/>
      <c r="S683" s="21"/>
      <c r="T683" s="21"/>
      <c r="U683" s="154"/>
      <c r="V683" s="154"/>
      <c r="W683" s="154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54"/>
      <c r="R684" s="21"/>
      <c r="S684" s="21"/>
      <c r="T684" s="21"/>
      <c r="U684" s="154"/>
      <c r="V684" s="154"/>
      <c r="W684" s="154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54"/>
      <c r="R685" s="21"/>
      <c r="S685" s="21"/>
      <c r="T685" s="21"/>
      <c r="U685" s="154"/>
      <c r="V685" s="154"/>
      <c r="W685" s="154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</sheetData>
  <mergeCells count="15">
    <mergeCell ref="F1:J1"/>
    <mergeCell ref="L1:N5"/>
    <mergeCell ref="F2:K5"/>
    <mergeCell ref="N6:P7"/>
    <mergeCell ref="F7:J7"/>
    <mergeCell ref="A9:Q9"/>
    <mergeCell ref="U9:V9"/>
    <mergeCell ref="P10:Q10"/>
    <mergeCell ref="U10:V10"/>
    <mergeCell ref="A29:Q29"/>
    <mergeCell ref="P30:Q30"/>
    <mergeCell ref="A49:Q49"/>
    <mergeCell ref="P50:Q50"/>
    <mergeCell ref="P70:Q70"/>
    <mergeCell ref="P90:Q9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2" zoomScale="100" workbookViewId="0">
      <selection activeCell="N92" activeCellId="0" sqref="N92"/>
    </sheetView>
  </sheetViews>
  <sheetFormatPr defaultRowHeight="13.5"/>
  <cols>
    <col customWidth="1" min="1" max="1" width="14"/>
    <col customWidth="1" min="2" max="2" width="12.5546875"/>
    <col customWidth="1" min="3" max="3" width="6"/>
    <col customWidth="1" min="4" max="4" width="10.5546875"/>
    <col customWidth="1" min="5" max="5" width="6"/>
    <col customWidth="1" min="6" max="6" width="10.33203125"/>
    <col customWidth="1" min="7" max="7" width="6"/>
    <col customWidth="1" min="8" max="8" width="11.44140625"/>
    <col customWidth="1" min="9" max="9" width="6"/>
    <col customWidth="1" min="10" max="10" width="11.5546875"/>
    <col customWidth="1" min="11" max="11" width="6"/>
    <col customWidth="1" min="12" max="12" width="11.109375"/>
    <col customWidth="1" min="13" max="13" width="6"/>
    <col customWidth="1" min="14" max="14" width="10.5546875"/>
    <col customWidth="1" min="15" max="16" width="6"/>
    <col customWidth="1" min="17" max="17" width="7.88671875"/>
    <col customWidth="1" min="18" max="18" width="13.33203125"/>
  </cols>
  <sheetData>
    <row r="1" s="21" customFormat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25">
      <c r="A2" s="14"/>
      <c r="B2" s="15" t="s">
        <v>3</v>
      </c>
      <c r="C2" s="15" t="s">
        <v>4</v>
      </c>
      <c r="D2" s="16" t="s">
        <v>5</v>
      </c>
      <c r="E2" s="16" t="s">
        <v>4</v>
      </c>
      <c r="F2" s="6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25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25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25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25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25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s="21" customFormat="1" ht="14.25">
      <c r="A10" s="143"/>
      <c r="B10" s="435" t="s">
        <v>17</v>
      </c>
      <c r="C10" s="436"/>
      <c r="D10" s="435" t="s">
        <v>18</v>
      </c>
      <c r="E10" s="436"/>
      <c r="F10" s="435" t="s">
        <v>19</v>
      </c>
      <c r="G10" s="435"/>
      <c r="H10" s="435" t="s">
        <v>20</v>
      </c>
      <c r="I10" s="436"/>
      <c r="J10" s="437" t="s">
        <v>21</v>
      </c>
      <c r="K10" s="437"/>
      <c r="L10" s="435" t="s">
        <v>22</v>
      </c>
      <c r="M10" s="435"/>
      <c r="N10" s="435" t="s">
        <v>23</v>
      </c>
      <c r="O10" s="435"/>
      <c r="P10" s="208" t="s">
        <v>24</v>
      </c>
      <c r="Q10" s="209"/>
      <c r="R10" s="143">
        <v>151</v>
      </c>
      <c r="S10" s="143"/>
      <c r="T10" s="143"/>
      <c r="U10" s="286">
        <v>151</v>
      </c>
      <c r="V10" s="90"/>
      <c r="W10" s="62"/>
      <c r="X10" s="51"/>
      <c r="Y10" s="7"/>
      <c r="Z10" s="7"/>
      <c r="AA10" s="7"/>
      <c r="AB10" s="13"/>
      <c r="AC10" s="13"/>
      <c r="AD10" s="13"/>
    </row>
    <row r="11" s="21" customFormat="1" ht="14.25">
      <c r="A11" s="248"/>
      <c r="B11" s="438">
        <v>46139</v>
      </c>
      <c r="C11" s="438"/>
      <c r="D11" s="438">
        <v>46140</v>
      </c>
      <c r="E11" s="438"/>
      <c r="F11" s="438">
        <v>46141</v>
      </c>
      <c r="G11" s="438"/>
      <c r="H11" s="438">
        <v>46142</v>
      </c>
      <c r="I11" s="438"/>
      <c r="J11" s="439">
        <v>46143</v>
      </c>
      <c r="K11" s="439"/>
      <c r="L11" s="439">
        <v>46144</v>
      </c>
      <c r="M11" s="439"/>
      <c r="N11" s="438">
        <v>46145</v>
      </c>
      <c r="O11" s="440"/>
      <c r="P11" s="309" t="s">
        <v>25</v>
      </c>
      <c r="Q11" s="214" t="s">
        <v>26</v>
      </c>
      <c r="R11" s="249"/>
      <c r="S11" s="147"/>
      <c r="T11" s="147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s="21" customFormat="1" ht="14.25">
      <c r="A12" s="203" t="s">
        <v>35</v>
      </c>
      <c r="B12" s="354"/>
      <c r="C12" s="354"/>
      <c r="D12" s="354"/>
      <c r="E12" s="354"/>
      <c r="F12" s="354"/>
      <c r="G12" s="354"/>
      <c r="H12" s="354"/>
      <c r="I12" s="354"/>
      <c r="J12" s="441"/>
      <c r="K12" s="441"/>
      <c r="L12" s="66"/>
      <c r="M12" s="66"/>
      <c r="N12" s="66"/>
      <c r="O12" s="66"/>
      <c r="P12" s="218">
        <f t="shared" ref="P12:P75" si="97">C12+E12+G12+I12+K12+M12+O12</f>
        <v>0</v>
      </c>
      <c r="Q12" s="62">
        <f>R10-P12</f>
        <v>151</v>
      </c>
      <c r="R12" s="219" t="str">
        <f t="shared" ref="R12:R75" si="98">A12</f>
        <v>Рычков</v>
      </c>
      <c r="S12" s="76" t="s">
        <v>10</v>
      </c>
      <c r="T12" s="77" t="s">
        <v>9</v>
      </c>
      <c r="U12" s="73">
        <f t="shared" ref="U12:U61" si="99">COUNTIF(T12,B12)+COUNTIF(T12,D12)+COUNTIF(T12,F12)+COUNTIF(T12,H12)+COUNTIF(T12,J12)+COUNTIF(T12,L12)+COUNTIF(T12,N12)</f>
        <v>0</v>
      </c>
      <c r="V12" s="62">
        <f t="shared" ref="V12:V61" si="100">COUNTIF(S12,B12)+COUNTIF(S12,D12)+COUNTIF(S12,F12)+COUNTIF(S12,H12)+COUNTIF(S12,J12)+COUNTIF(S12,L12)+COUNTIF(S12,N12)</f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s="21" customFormat="1" ht="14.25">
      <c r="A13" s="203" t="s">
        <v>61</v>
      </c>
      <c r="B13" s="354"/>
      <c r="C13" s="354"/>
      <c r="D13" s="354"/>
      <c r="E13" s="354"/>
      <c r="F13" s="354"/>
      <c r="G13" s="354"/>
      <c r="H13" s="354"/>
      <c r="I13" s="354"/>
      <c r="J13" s="441"/>
      <c r="K13" s="441"/>
      <c r="L13" s="66"/>
      <c r="M13" s="66"/>
      <c r="N13" s="67"/>
      <c r="O13" s="67"/>
      <c r="P13" s="218">
        <f t="shared" si="97"/>
        <v>0</v>
      </c>
      <c r="Q13" s="62">
        <f>R10-P13</f>
        <v>151</v>
      </c>
      <c r="R13" s="219" t="str">
        <f t="shared" si="98"/>
        <v>Карузина</v>
      </c>
      <c r="S13" s="76" t="s">
        <v>10</v>
      </c>
      <c r="T13" s="77" t="s">
        <v>9</v>
      </c>
      <c r="U13" s="73">
        <f t="shared" si="99"/>
        <v>0</v>
      </c>
      <c r="V13" s="62">
        <f t="shared" si="100"/>
        <v>0</v>
      </c>
      <c r="W13" s="62"/>
      <c r="X13" s="79" t="s">
        <v>34</v>
      </c>
      <c r="Y13" s="7"/>
      <c r="Z13" s="7"/>
      <c r="AA13" s="7"/>
      <c r="AB13" s="13"/>
      <c r="AC13" s="13"/>
      <c r="AD13" s="13"/>
    </row>
    <row r="14" s="21" customFormat="1" ht="14.25">
      <c r="A14" s="203" t="s">
        <v>39</v>
      </c>
      <c r="B14" s="354"/>
      <c r="C14" s="354"/>
      <c r="D14" s="354"/>
      <c r="E14" s="354"/>
      <c r="F14" s="354"/>
      <c r="G14" s="354"/>
      <c r="H14" s="354"/>
      <c r="I14" s="354"/>
      <c r="J14" s="441"/>
      <c r="K14" s="441"/>
      <c r="L14" s="66"/>
      <c r="M14" s="66"/>
      <c r="N14" s="66"/>
      <c r="O14" s="66"/>
      <c r="P14" s="218">
        <f t="shared" si="97"/>
        <v>0</v>
      </c>
      <c r="Q14" s="62">
        <f>R10-P14</f>
        <v>151</v>
      </c>
      <c r="R14" s="219" t="str">
        <f t="shared" si="98"/>
        <v>Игумнов</v>
      </c>
      <c r="S14" s="76" t="s">
        <v>10</v>
      </c>
      <c r="T14" s="77" t="s">
        <v>9</v>
      </c>
      <c r="U14" s="73">
        <f t="shared" si="99"/>
        <v>0</v>
      </c>
      <c r="V14" s="62">
        <f t="shared" si="100"/>
        <v>0</v>
      </c>
      <c r="W14" s="62"/>
      <c r="X14" s="74" t="s">
        <v>38</v>
      </c>
      <c r="Y14" s="7"/>
      <c r="Z14" s="7"/>
      <c r="AA14" s="7"/>
      <c r="AB14" s="13"/>
      <c r="AC14" s="13"/>
      <c r="AD14" s="13"/>
    </row>
    <row r="15" s="21" customFormat="1" ht="14.25">
      <c r="A15" s="203" t="s">
        <v>40</v>
      </c>
      <c r="B15" s="354"/>
      <c r="C15" s="354"/>
      <c r="D15" s="354"/>
      <c r="E15" s="354"/>
      <c r="F15" s="354"/>
      <c r="G15" s="354"/>
      <c r="H15" s="354"/>
      <c r="I15" s="354"/>
      <c r="J15" s="441"/>
      <c r="K15" s="441"/>
      <c r="L15" s="66"/>
      <c r="M15" s="66"/>
      <c r="N15" s="66"/>
      <c r="O15" s="66"/>
      <c r="P15" s="218">
        <f t="shared" si="97"/>
        <v>0</v>
      </c>
      <c r="Q15" s="62">
        <f>R10-P15</f>
        <v>151</v>
      </c>
      <c r="R15" s="219" t="str">
        <f t="shared" si="98"/>
        <v>Душин</v>
      </c>
      <c r="S15" s="76" t="s">
        <v>58</v>
      </c>
      <c r="T15" s="77" t="s">
        <v>59</v>
      </c>
      <c r="U15" s="73">
        <f t="shared" si="99"/>
        <v>0</v>
      </c>
      <c r="V15" s="62">
        <f t="shared" si="100"/>
        <v>0</v>
      </c>
      <c r="W15" s="62"/>
      <c r="X15" s="74" t="s">
        <v>34</v>
      </c>
      <c r="Y15" s="7"/>
      <c r="Z15" s="7"/>
      <c r="AA15" s="7"/>
      <c r="AB15" s="13"/>
      <c r="AC15" s="13"/>
      <c r="AD15" s="13"/>
    </row>
    <row r="16" s="21" customFormat="1" ht="14.25">
      <c r="A16" s="203" t="s">
        <v>31</v>
      </c>
      <c r="B16" s="354"/>
      <c r="C16" s="354"/>
      <c r="D16" s="354"/>
      <c r="E16" s="354"/>
      <c r="F16" s="354"/>
      <c r="G16" s="354"/>
      <c r="H16" s="354"/>
      <c r="I16" s="354"/>
      <c r="J16" s="441"/>
      <c r="K16" s="441"/>
      <c r="L16" s="66"/>
      <c r="M16" s="66"/>
      <c r="N16" s="66"/>
      <c r="O16" s="66"/>
      <c r="P16" s="218">
        <f t="shared" si="97"/>
        <v>0</v>
      </c>
      <c r="Q16" s="62">
        <f>R10-P16</f>
        <v>151</v>
      </c>
      <c r="R16" s="219" t="str">
        <f t="shared" si="98"/>
        <v>Нетронин</v>
      </c>
      <c r="S16" s="76" t="s">
        <v>58</v>
      </c>
      <c r="T16" s="77" t="s">
        <v>59</v>
      </c>
      <c r="U16" s="73">
        <f t="shared" si="99"/>
        <v>0</v>
      </c>
      <c r="V16" s="62">
        <f t="shared" si="100"/>
        <v>0</v>
      </c>
      <c r="W16" s="62"/>
      <c r="X16" s="74" t="s">
        <v>34</v>
      </c>
      <c r="Y16" s="7"/>
      <c r="Z16" s="7"/>
      <c r="AA16" s="7"/>
      <c r="AB16" s="13"/>
      <c r="AC16" s="13"/>
      <c r="AD16" s="13"/>
    </row>
    <row r="17" s="21" customFormat="1" ht="14.25">
      <c r="A17" s="203" t="s">
        <v>62</v>
      </c>
      <c r="B17" s="354"/>
      <c r="C17" s="354"/>
      <c r="D17" s="354"/>
      <c r="E17" s="354"/>
      <c r="F17" s="354"/>
      <c r="G17" s="354"/>
      <c r="H17" s="354"/>
      <c r="I17" s="354"/>
      <c r="J17" s="441"/>
      <c r="K17" s="441"/>
      <c r="L17" s="66"/>
      <c r="M17" s="66"/>
      <c r="N17" s="66"/>
      <c r="O17" s="66"/>
      <c r="P17" s="285">
        <f t="shared" si="97"/>
        <v>0</v>
      </c>
      <c r="Q17" s="62">
        <f>R10-P17</f>
        <v>151</v>
      </c>
      <c r="R17" s="442" t="str">
        <f t="shared" si="98"/>
        <v>Раимова</v>
      </c>
      <c r="S17" s="76" t="s">
        <v>10</v>
      </c>
      <c r="T17" s="77" t="s">
        <v>9</v>
      </c>
      <c r="U17" s="90">
        <f t="shared" si="99"/>
        <v>0</v>
      </c>
      <c r="V17" s="62">
        <f t="shared" si="100"/>
        <v>0</v>
      </c>
      <c r="W17" s="62"/>
      <c r="X17" s="74" t="s">
        <v>38</v>
      </c>
      <c r="Y17" s="7"/>
      <c r="Z17" s="7"/>
      <c r="AA17" s="7"/>
      <c r="AB17" s="13"/>
      <c r="AC17" s="13"/>
      <c r="AD17" s="13"/>
    </row>
    <row r="18" s="21" customFormat="1" ht="14.25">
      <c r="A18" s="203" t="s">
        <v>63</v>
      </c>
      <c r="B18" s="354"/>
      <c r="C18" s="354"/>
      <c r="D18" s="354"/>
      <c r="E18" s="354"/>
      <c r="F18" s="354"/>
      <c r="G18" s="354"/>
      <c r="H18" s="354"/>
      <c r="I18" s="354"/>
      <c r="J18" s="441"/>
      <c r="K18" s="441"/>
      <c r="L18" s="66"/>
      <c r="M18" s="66"/>
      <c r="N18" s="66"/>
      <c r="O18" s="66"/>
      <c r="P18" s="218">
        <f t="shared" si="97"/>
        <v>0</v>
      </c>
      <c r="Q18" s="62">
        <f>R10-P18</f>
        <v>151</v>
      </c>
      <c r="R18" s="219" t="str">
        <f t="shared" si="98"/>
        <v>Войтехович</v>
      </c>
      <c r="S18" s="76" t="s">
        <v>10</v>
      </c>
      <c r="T18" s="77" t="s">
        <v>9</v>
      </c>
      <c r="U18" s="73">
        <f t="shared" si="99"/>
        <v>0</v>
      </c>
      <c r="V18" s="62">
        <f t="shared" si="100"/>
        <v>0</v>
      </c>
      <c r="W18" s="62"/>
      <c r="X18" s="74" t="s">
        <v>34</v>
      </c>
      <c r="Y18" s="7"/>
      <c r="Z18" s="7"/>
      <c r="AA18" s="7"/>
      <c r="AB18" s="13"/>
      <c r="AC18" s="13"/>
      <c r="AD18" s="13"/>
    </row>
    <row r="19" s="21" customFormat="1" ht="14.25">
      <c r="A19" s="203" t="s">
        <v>64</v>
      </c>
      <c r="B19" s="411"/>
      <c r="C19" s="411"/>
      <c r="D19" s="411"/>
      <c r="E19" s="411"/>
      <c r="F19" s="411"/>
      <c r="G19" s="411"/>
      <c r="H19" s="354"/>
      <c r="I19" s="354"/>
      <c r="J19" s="441"/>
      <c r="K19" s="441"/>
      <c r="L19" s="360"/>
      <c r="M19" s="360"/>
      <c r="N19" s="360"/>
      <c r="O19" s="360"/>
      <c r="P19" s="218">
        <f t="shared" si="97"/>
        <v>0</v>
      </c>
      <c r="Q19" s="62">
        <f>R10-P19</f>
        <v>151</v>
      </c>
      <c r="R19" s="219" t="str">
        <f t="shared" si="98"/>
        <v>Васильев</v>
      </c>
      <c r="S19" s="71" t="s">
        <v>12</v>
      </c>
      <c r="T19" s="72" t="s">
        <v>11</v>
      </c>
      <c r="U19" s="73">
        <f t="shared" si="99"/>
        <v>0</v>
      </c>
      <c r="V19" s="62">
        <f t="shared" si="100"/>
        <v>0</v>
      </c>
      <c r="W19" s="62"/>
      <c r="X19" s="74" t="s">
        <v>38</v>
      </c>
      <c r="Y19" s="7"/>
      <c r="Z19" s="7"/>
      <c r="AA19" s="7"/>
      <c r="AB19" s="13"/>
      <c r="AC19" s="13"/>
      <c r="AD19" s="13"/>
    </row>
    <row r="20" s="21" customFormat="1" ht="14.25">
      <c r="A20" s="388" t="s">
        <v>43</v>
      </c>
      <c r="B20" s="443"/>
      <c r="C20" s="443"/>
      <c r="D20" s="367"/>
      <c r="E20" s="367"/>
      <c r="F20" s="444"/>
      <c r="G20" s="445"/>
      <c r="H20" s="76"/>
      <c r="I20" s="361"/>
      <c r="J20" s="76"/>
      <c r="K20" s="361">
        <v>11</v>
      </c>
      <c r="L20" s="173"/>
      <c r="M20" s="361">
        <v>11</v>
      </c>
      <c r="N20" s="360"/>
      <c r="O20" s="360"/>
      <c r="P20" s="218">
        <f t="shared" si="97"/>
        <v>22</v>
      </c>
      <c r="Q20" s="62">
        <f>R10-P20</f>
        <v>129</v>
      </c>
      <c r="R20" s="219" t="str">
        <f t="shared" si="98"/>
        <v>Дащенко</v>
      </c>
      <c r="S20" s="76" t="s">
        <v>10</v>
      </c>
      <c r="T20" s="77" t="s">
        <v>9</v>
      </c>
      <c r="U20" s="73">
        <f t="shared" si="99"/>
        <v>0</v>
      </c>
      <c r="V20" s="62">
        <f t="shared" si="100"/>
        <v>0</v>
      </c>
      <c r="W20" s="62"/>
      <c r="X20" s="74" t="s">
        <v>34</v>
      </c>
      <c r="Y20" s="7"/>
      <c r="Z20" s="7"/>
      <c r="AA20" s="7"/>
      <c r="AB20" s="13"/>
      <c r="AC20" s="13"/>
      <c r="AD20" s="13"/>
    </row>
    <row r="21" s="21" customFormat="1" ht="14.25">
      <c r="A21" s="205" t="s">
        <v>45</v>
      </c>
      <c r="B21" s="77"/>
      <c r="C21" s="359"/>
      <c r="D21" s="77"/>
      <c r="E21" s="359"/>
      <c r="F21" s="446"/>
      <c r="G21" s="362"/>
      <c r="H21" s="446"/>
      <c r="I21" s="362"/>
      <c r="J21" s="77"/>
      <c r="K21" s="359">
        <v>11</v>
      </c>
      <c r="L21" s="77"/>
      <c r="M21" s="359">
        <v>11</v>
      </c>
      <c r="N21" s="446"/>
      <c r="O21" s="362"/>
      <c r="P21" s="218">
        <f t="shared" si="97"/>
        <v>22</v>
      </c>
      <c r="Q21" s="62">
        <f>R10-P21</f>
        <v>129</v>
      </c>
      <c r="R21" s="219" t="str">
        <f t="shared" si="98"/>
        <v>Пузырь</v>
      </c>
      <c r="S21" s="76" t="s">
        <v>10</v>
      </c>
      <c r="T21" s="77" t="s">
        <v>9</v>
      </c>
      <c r="U21" s="73">
        <f t="shared" si="99"/>
        <v>0</v>
      </c>
      <c r="V21" s="62">
        <f t="shared" si="100"/>
        <v>0</v>
      </c>
      <c r="W21" s="62"/>
      <c r="X21" s="74" t="s">
        <v>34</v>
      </c>
      <c r="Y21" s="7"/>
      <c r="Z21" s="7"/>
      <c r="AA21" s="7"/>
      <c r="AB21" s="13"/>
      <c r="AC21" s="13"/>
      <c r="AD21" s="13"/>
    </row>
    <row r="22" s="21" customFormat="1" ht="14.25">
      <c r="A22" s="205" t="s">
        <v>65</v>
      </c>
      <c r="B22" s="67"/>
      <c r="C22" s="362"/>
      <c r="D22" s="67"/>
      <c r="E22" s="362"/>
      <c r="F22" s="77"/>
      <c r="G22" s="359"/>
      <c r="H22" s="77"/>
      <c r="I22" s="359"/>
      <c r="J22" s="360"/>
      <c r="K22" s="360"/>
      <c r="L22" s="360"/>
      <c r="M22" s="360"/>
      <c r="N22" s="76"/>
      <c r="O22" s="363">
        <v>11</v>
      </c>
      <c r="P22" s="218">
        <f t="shared" si="97"/>
        <v>11</v>
      </c>
      <c r="Q22" s="62">
        <f>R10-P22</f>
        <v>140</v>
      </c>
      <c r="R22" s="219" t="str">
        <f t="shared" si="98"/>
        <v>Рожнева</v>
      </c>
      <c r="S22" s="76" t="s">
        <v>10</v>
      </c>
      <c r="T22" s="77" t="s">
        <v>9</v>
      </c>
      <c r="U22" s="73">
        <f t="shared" si="99"/>
        <v>0</v>
      </c>
      <c r="V22" s="62">
        <f t="shared" si="100"/>
        <v>0</v>
      </c>
      <c r="W22" s="62"/>
      <c r="X22" s="74" t="s">
        <v>34</v>
      </c>
      <c r="Y22" s="7"/>
      <c r="Z22" s="7"/>
      <c r="AA22" s="7"/>
      <c r="AB22" s="13"/>
      <c r="AC22" s="13"/>
      <c r="AD22" s="13"/>
    </row>
    <row r="23" s="21" customFormat="1" ht="14.25">
      <c r="A23" s="205" t="s">
        <v>47</v>
      </c>
      <c r="B23" s="67"/>
      <c r="C23" s="362"/>
      <c r="D23" s="446"/>
      <c r="E23" s="362"/>
      <c r="F23" s="76"/>
      <c r="G23" s="361"/>
      <c r="H23" s="76"/>
      <c r="I23" s="361"/>
      <c r="J23" s="76"/>
      <c r="K23" s="361">
        <v>11</v>
      </c>
      <c r="L23" s="360"/>
      <c r="M23" s="360"/>
      <c r="N23" s="67"/>
      <c r="O23" s="362"/>
      <c r="P23" s="285">
        <f t="shared" si="97"/>
        <v>11</v>
      </c>
      <c r="Q23" s="62">
        <f>R10-P23</f>
        <v>140</v>
      </c>
      <c r="R23" s="219" t="str">
        <f t="shared" si="98"/>
        <v>Торубара</v>
      </c>
      <c r="S23" s="76" t="s">
        <v>10</v>
      </c>
      <c r="T23" s="77" t="s">
        <v>9</v>
      </c>
      <c r="U23" s="90">
        <f t="shared" si="99"/>
        <v>0</v>
      </c>
      <c r="V23" s="62">
        <f t="shared" si="100"/>
        <v>0</v>
      </c>
      <c r="W23" s="62"/>
      <c r="X23" s="74" t="s">
        <v>34</v>
      </c>
      <c r="Y23" s="7"/>
      <c r="Z23" s="7"/>
      <c r="AA23" s="7"/>
      <c r="AB23" s="13"/>
      <c r="AC23" s="13"/>
      <c r="AD23" s="13"/>
    </row>
    <row r="24" ht="14.25">
      <c r="A24" s="205" t="s">
        <v>48</v>
      </c>
      <c r="B24" s="67"/>
      <c r="C24" s="67"/>
      <c r="D24" s="77"/>
      <c r="E24" s="359"/>
      <c r="F24" s="77"/>
      <c r="G24" s="359"/>
      <c r="H24" s="67"/>
      <c r="I24" s="362"/>
      <c r="J24" s="360"/>
      <c r="K24" s="360"/>
      <c r="L24" s="292"/>
      <c r="M24" s="359">
        <v>11</v>
      </c>
      <c r="N24" s="251"/>
      <c r="O24" s="359">
        <v>11</v>
      </c>
      <c r="P24" s="218">
        <f t="shared" si="97"/>
        <v>22</v>
      </c>
      <c r="Q24" s="62">
        <f>R10-P24</f>
        <v>129</v>
      </c>
      <c r="R24" s="219" t="str">
        <f t="shared" si="98"/>
        <v>Стрыгин</v>
      </c>
      <c r="S24" s="71" t="s">
        <v>8</v>
      </c>
      <c r="T24" s="72" t="s">
        <v>7</v>
      </c>
      <c r="U24" s="90">
        <f t="shared" si="99"/>
        <v>0</v>
      </c>
      <c r="V24" s="62">
        <f t="shared" si="100"/>
        <v>0</v>
      </c>
      <c r="W24" s="62"/>
      <c r="X24" s="74" t="s">
        <v>49</v>
      </c>
      <c r="Y24" s="7"/>
      <c r="Z24" s="7"/>
      <c r="AA24" s="7"/>
      <c r="AB24" s="13"/>
      <c r="AC24" s="13"/>
      <c r="AD24" s="13"/>
    </row>
    <row r="25" ht="14.25">
      <c r="A25" s="205" t="s">
        <v>50</v>
      </c>
      <c r="B25" s="67"/>
      <c r="C25" s="362"/>
      <c r="D25" s="76"/>
      <c r="E25" s="361"/>
      <c r="F25" s="76"/>
      <c r="G25" s="361"/>
      <c r="H25" s="66"/>
      <c r="I25" s="66"/>
      <c r="J25" s="360"/>
      <c r="K25" s="360"/>
      <c r="L25" s="76"/>
      <c r="M25" s="361">
        <v>11</v>
      </c>
      <c r="N25" s="76"/>
      <c r="O25" s="361">
        <v>11</v>
      </c>
      <c r="P25" s="218">
        <f t="shared" si="97"/>
        <v>22</v>
      </c>
      <c r="Q25" s="62">
        <f>R10-P25</f>
        <v>129</v>
      </c>
      <c r="R25" s="219" t="str">
        <f t="shared" si="98"/>
        <v>Фрик</v>
      </c>
      <c r="S25" s="71" t="s">
        <v>12</v>
      </c>
      <c r="T25" s="72" t="s">
        <v>11</v>
      </c>
      <c r="U25" s="90">
        <f t="shared" si="99"/>
        <v>0</v>
      </c>
      <c r="V25" s="62">
        <f t="shared" si="100"/>
        <v>0</v>
      </c>
      <c r="W25" s="62"/>
      <c r="X25" s="74" t="s">
        <v>44</v>
      </c>
      <c r="Y25" s="7"/>
      <c r="Z25" s="7"/>
      <c r="AA25" s="7"/>
      <c r="AB25" s="13"/>
      <c r="AC25" s="13"/>
      <c r="AD25" s="13"/>
    </row>
    <row r="26" ht="14.25">
      <c r="A26" s="206" t="s">
        <v>51</v>
      </c>
      <c r="B26" s="76"/>
      <c r="C26" s="361"/>
      <c r="D26" s="447"/>
      <c r="E26" s="448"/>
      <c r="F26" s="67"/>
      <c r="G26" s="362"/>
      <c r="H26" s="72"/>
      <c r="I26" s="359"/>
      <c r="J26" s="77"/>
      <c r="K26" s="359">
        <v>11</v>
      </c>
      <c r="L26" s="449"/>
      <c r="M26" s="450"/>
      <c r="N26" s="292"/>
      <c r="O26" s="451">
        <v>11</v>
      </c>
      <c r="P26" s="218">
        <f t="shared" si="97"/>
        <v>22</v>
      </c>
      <c r="Q26" s="62">
        <f>R10-P26</f>
        <v>129</v>
      </c>
      <c r="R26" s="219" t="str">
        <f t="shared" si="98"/>
        <v>Истрашкин</v>
      </c>
      <c r="S26" s="71" t="s">
        <v>10</v>
      </c>
      <c r="T26" s="72" t="s">
        <v>9</v>
      </c>
      <c r="U26" s="90">
        <f t="shared" si="99"/>
        <v>0</v>
      </c>
      <c r="V26" s="62">
        <f t="shared" si="100"/>
        <v>0</v>
      </c>
      <c r="W26" s="62"/>
      <c r="X26" s="74" t="s">
        <v>34</v>
      </c>
      <c r="Y26" s="7"/>
      <c r="Z26" s="7"/>
      <c r="AA26" s="7"/>
      <c r="AB26" s="13"/>
      <c r="AC26" s="13"/>
      <c r="AD26" s="13"/>
    </row>
    <row r="27" s="21" customFormat="1" ht="14.25">
      <c r="A27" s="206" t="s">
        <v>66</v>
      </c>
      <c r="B27" s="360"/>
      <c r="C27" s="360"/>
      <c r="D27" s="452"/>
      <c r="E27" s="452"/>
      <c r="F27" s="360"/>
      <c r="G27" s="360"/>
      <c r="H27" s="360"/>
      <c r="I27" s="360"/>
      <c r="J27" s="360"/>
      <c r="K27" s="360"/>
      <c r="L27" s="360"/>
      <c r="M27" s="360"/>
      <c r="N27" s="360"/>
      <c r="O27" s="360"/>
      <c r="P27" s="218">
        <f t="shared" si="97"/>
        <v>0</v>
      </c>
      <c r="Q27" s="62">
        <f>R10-P27</f>
        <v>151</v>
      </c>
      <c r="R27" s="219" t="str">
        <f t="shared" si="98"/>
        <v>Качаев</v>
      </c>
      <c r="S27" s="71"/>
      <c r="T27" s="72"/>
      <c r="U27" s="73"/>
      <c r="V27" s="62"/>
      <c r="W27" s="62"/>
      <c r="X27" s="364"/>
      <c r="Y27" s="7"/>
      <c r="Z27" s="7"/>
      <c r="AA27" s="7"/>
      <c r="AB27" s="13"/>
      <c r="AC27" s="13"/>
      <c r="AD27" s="13"/>
    </row>
    <row r="28" s="21" customFormat="1" ht="14.25">
      <c r="A28" s="453"/>
      <c r="B28" s="210">
        <v>46139</v>
      </c>
      <c r="C28" s="210"/>
      <c r="D28" s="210">
        <v>46140</v>
      </c>
      <c r="E28" s="210"/>
      <c r="F28" s="210">
        <v>46141</v>
      </c>
      <c r="G28" s="210"/>
      <c r="H28" s="210">
        <v>46142</v>
      </c>
      <c r="I28" s="210"/>
      <c r="J28" s="454">
        <v>46143</v>
      </c>
      <c r="K28" s="454"/>
      <c r="L28" s="454">
        <v>46144</v>
      </c>
      <c r="M28" s="454"/>
      <c r="N28" s="210">
        <v>46145</v>
      </c>
      <c r="O28" s="212"/>
      <c r="P28" s="455"/>
      <c r="Q28" s="367"/>
      <c r="R28" s="207"/>
      <c r="S28" s="138"/>
      <c r="T28" s="138"/>
      <c r="U28" s="194" t="s">
        <v>27</v>
      </c>
      <c r="V28" s="61" t="s">
        <v>28</v>
      </c>
      <c r="W28" s="368" t="s">
        <v>29</v>
      </c>
      <c r="X28" s="87"/>
      <c r="Y28" s="7"/>
      <c r="Z28" s="7"/>
      <c r="AA28" s="7"/>
      <c r="AB28" s="13"/>
      <c r="AC28" s="13"/>
      <c r="AD28" s="13"/>
    </row>
    <row r="29" s="21" customFormat="1" ht="14.25">
      <c r="A29" s="369"/>
      <c r="B29" s="370"/>
      <c r="C29" s="370"/>
      <c r="D29" s="370"/>
      <c r="E29" s="370"/>
      <c r="F29" s="370"/>
      <c r="G29" s="370"/>
      <c r="H29" s="370"/>
      <c r="I29" s="370"/>
      <c r="J29" s="370"/>
      <c r="K29" s="370"/>
      <c r="L29" s="370"/>
      <c r="M29" s="370"/>
      <c r="N29" s="370"/>
      <c r="O29" s="370"/>
      <c r="P29" s="370"/>
      <c r="Q29" s="371"/>
      <c r="R29" s="372"/>
      <c r="S29" s="165"/>
      <c r="T29" s="165"/>
      <c r="U29" s="373"/>
      <c r="V29" s="100"/>
      <c r="W29" s="100"/>
      <c r="X29" s="456"/>
      <c r="Y29" s="7"/>
      <c r="Z29" s="7"/>
      <c r="AA29" s="7"/>
      <c r="AB29" s="13"/>
      <c r="AC29" s="13"/>
      <c r="AD29" s="13"/>
    </row>
    <row r="30" s="21" customFormat="1" ht="14.25">
      <c r="A30" s="98"/>
      <c r="B30" s="101" t="s">
        <v>17</v>
      </c>
      <c r="C30" s="101"/>
      <c r="D30" s="101" t="s">
        <v>18</v>
      </c>
      <c r="E30" s="101"/>
      <c r="F30" s="101" t="s">
        <v>19</v>
      </c>
      <c r="G30" s="101"/>
      <c r="H30" s="101" t="s">
        <v>20</v>
      </c>
      <c r="I30" s="101"/>
      <c r="J30" s="102" t="s">
        <v>21</v>
      </c>
      <c r="K30" s="102"/>
      <c r="L30" s="101" t="s">
        <v>22</v>
      </c>
      <c r="M30" s="101"/>
      <c r="N30" s="101" t="s">
        <v>23</v>
      </c>
      <c r="O30" s="101"/>
      <c r="P30" s="375" t="s">
        <v>24</v>
      </c>
      <c r="Q30" s="376"/>
      <c r="R30" s="372"/>
      <c r="S30" s="165"/>
      <c r="T30" s="165"/>
      <c r="U30" s="373"/>
      <c r="V30" s="100"/>
      <c r="W30" s="100"/>
      <c r="X30" s="74"/>
      <c r="Y30" s="7"/>
      <c r="Z30" s="7"/>
      <c r="AA30" s="7"/>
      <c r="AB30" s="13"/>
      <c r="AC30" s="13"/>
      <c r="AD30" s="13"/>
    </row>
    <row r="31" s="21" customFormat="1" ht="14.25">
      <c r="A31" s="377"/>
      <c r="B31" s="53">
        <v>46146</v>
      </c>
      <c r="C31" s="53"/>
      <c r="D31" s="53">
        <v>46147</v>
      </c>
      <c r="E31" s="53"/>
      <c r="F31" s="53">
        <v>46148</v>
      </c>
      <c r="G31" s="53"/>
      <c r="H31" s="53">
        <v>46149</v>
      </c>
      <c r="I31" s="53"/>
      <c r="J31" s="171">
        <v>46150</v>
      </c>
      <c r="K31" s="171"/>
      <c r="L31" s="144">
        <v>46151</v>
      </c>
      <c r="M31" s="144"/>
      <c r="N31" s="145">
        <v>46152</v>
      </c>
      <c r="O31" s="146"/>
      <c r="P31" s="378" t="s">
        <v>25</v>
      </c>
      <c r="Q31" s="379" t="s">
        <v>26</v>
      </c>
      <c r="R31" s="380"/>
      <c r="S31" s="239"/>
      <c r="T31" s="239"/>
      <c r="U31" s="172" t="s">
        <v>27</v>
      </c>
      <c r="V31" s="106" t="s">
        <v>28</v>
      </c>
      <c r="W31" s="100" t="s">
        <v>29</v>
      </c>
      <c r="X31" s="74" t="s">
        <v>30</v>
      </c>
      <c r="Y31" s="7"/>
      <c r="Z31" s="7"/>
      <c r="AA31" s="7"/>
      <c r="AB31" s="13"/>
      <c r="AC31" s="13"/>
      <c r="AD31" s="13"/>
    </row>
    <row r="32" s="21" customFormat="1" ht="14.25">
      <c r="A32" s="203" t="s">
        <v>35</v>
      </c>
      <c r="B32" s="354"/>
      <c r="C32" s="354" t="s">
        <v>33</v>
      </c>
      <c r="D32" s="354"/>
      <c r="E32" s="354" t="s">
        <v>33</v>
      </c>
      <c r="F32" s="354"/>
      <c r="G32" s="354" t="s">
        <v>33</v>
      </c>
      <c r="H32" s="354"/>
      <c r="I32" s="354" t="s">
        <v>33</v>
      </c>
      <c r="J32" s="354"/>
      <c r="K32" s="354" t="s">
        <v>33</v>
      </c>
      <c r="L32" s="66"/>
      <c r="M32" s="66"/>
      <c r="N32" s="66"/>
      <c r="O32" s="66"/>
      <c r="P32" s="285">
        <f t="shared" si="97"/>
        <v>40</v>
      </c>
      <c r="Q32" s="62">
        <f t="shared" ref="Q32:Q38" si="101">Q12-P32</f>
        <v>111</v>
      </c>
      <c r="R32" s="442" t="str">
        <f t="shared" si="98"/>
        <v>Рычков</v>
      </c>
      <c r="S32" s="76" t="s">
        <v>10</v>
      </c>
      <c r="T32" s="77" t="s">
        <v>9</v>
      </c>
      <c r="U32" s="90">
        <f t="shared" si="99"/>
        <v>0</v>
      </c>
      <c r="V32" s="62">
        <f t="shared" si="100"/>
        <v>0</v>
      </c>
      <c r="W32" s="62"/>
      <c r="X32" s="74" t="s">
        <v>34</v>
      </c>
      <c r="Y32" s="7"/>
      <c r="Z32" s="7"/>
      <c r="AA32" s="7"/>
      <c r="AB32" s="13"/>
      <c r="AC32" s="13"/>
      <c r="AD32" s="13"/>
    </row>
    <row r="33" s="21" customFormat="1" ht="14.25">
      <c r="A33" s="203" t="s">
        <v>61</v>
      </c>
      <c r="B33" s="354"/>
      <c r="C33" s="354" t="s">
        <v>33</v>
      </c>
      <c r="D33" s="354"/>
      <c r="E33" s="354" t="s">
        <v>33</v>
      </c>
      <c r="F33" s="354"/>
      <c r="G33" s="354" t="s">
        <v>33</v>
      </c>
      <c r="H33" s="354"/>
      <c r="I33" s="354" t="s">
        <v>33</v>
      </c>
      <c r="J33" s="354"/>
      <c r="K33" s="354" t="s">
        <v>33</v>
      </c>
      <c r="L33" s="66"/>
      <c r="M33" s="66"/>
      <c r="N33" s="67"/>
      <c r="O33" s="67"/>
      <c r="P33" s="218">
        <f t="shared" si="97"/>
        <v>40</v>
      </c>
      <c r="Q33" s="62">
        <f t="shared" si="101"/>
        <v>111</v>
      </c>
      <c r="R33" s="219" t="str">
        <f t="shared" si="98"/>
        <v>Карузина</v>
      </c>
      <c r="S33" s="76" t="s">
        <v>10</v>
      </c>
      <c r="T33" s="77" t="s">
        <v>9</v>
      </c>
      <c r="U33" s="73">
        <f t="shared" si="99"/>
        <v>0</v>
      </c>
      <c r="V33" s="62">
        <f t="shared" si="100"/>
        <v>0</v>
      </c>
      <c r="W33" s="62"/>
      <c r="X33" s="79" t="s">
        <v>34</v>
      </c>
      <c r="Y33" s="7"/>
      <c r="Z33" s="7"/>
      <c r="AA33" s="7"/>
      <c r="AB33" s="13"/>
      <c r="AC33" s="13"/>
      <c r="AD33" s="13"/>
    </row>
    <row r="34" s="21" customFormat="1" ht="14.25">
      <c r="A34" s="203" t="s">
        <v>39</v>
      </c>
      <c r="B34" s="354"/>
      <c r="C34" s="354" t="s">
        <v>33</v>
      </c>
      <c r="D34" s="354"/>
      <c r="E34" s="354" t="s">
        <v>33</v>
      </c>
      <c r="F34" s="354"/>
      <c r="G34" s="354" t="s">
        <v>33</v>
      </c>
      <c r="H34" s="354"/>
      <c r="I34" s="354" t="s">
        <v>33</v>
      </c>
      <c r="J34" s="354"/>
      <c r="K34" s="354" t="s">
        <v>33</v>
      </c>
      <c r="L34" s="66"/>
      <c r="M34" s="66"/>
      <c r="N34" s="66"/>
      <c r="O34" s="66"/>
      <c r="P34" s="218">
        <f t="shared" si="97"/>
        <v>40</v>
      </c>
      <c r="Q34" s="62">
        <f t="shared" si="101"/>
        <v>111</v>
      </c>
      <c r="R34" s="219" t="str">
        <f t="shared" si="98"/>
        <v>Игумнов</v>
      </c>
      <c r="S34" s="76" t="s">
        <v>10</v>
      </c>
      <c r="T34" s="77" t="s">
        <v>9</v>
      </c>
      <c r="U34" s="73">
        <f t="shared" si="99"/>
        <v>0</v>
      </c>
      <c r="V34" s="62">
        <f t="shared" si="100"/>
        <v>0</v>
      </c>
      <c r="W34" s="62"/>
      <c r="X34" s="74" t="s">
        <v>38</v>
      </c>
      <c r="Y34" s="7"/>
      <c r="Z34" s="7"/>
      <c r="AA34" s="7"/>
      <c r="AB34" s="13"/>
      <c r="AC34" s="13"/>
      <c r="AD34" s="13"/>
    </row>
    <row r="35" s="21" customFormat="1" ht="14.25">
      <c r="A35" s="203" t="s">
        <v>40</v>
      </c>
      <c r="B35" s="354"/>
      <c r="C35" s="457" t="s">
        <v>33</v>
      </c>
      <c r="D35" s="354"/>
      <c r="E35" s="354" t="s">
        <v>33</v>
      </c>
      <c r="F35" s="354"/>
      <c r="G35" s="354" t="s">
        <v>33</v>
      </c>
      <c r="H35" s="354"/>
      <c r="I35" s="354" t="s">
        <v>33</v>
      </c>
      <c r="J35" s="354"/>
      <c r="K35" s="354" t="s">
        <v>33</v>
      </c>
      <c r="L35" s="66"/>
      <c r="M35" s="66"/>
      <c r="N35" s="66"/>
      <c r="O35" s="66"/>
      <c r="P35" s="218">
        <f t="shared" si="97"/>
        <v>40</v>
      </c>
      <c r="Q35" s="62">
        <f t="shared" si="101"/>
        <v>111</v>
      </c>
      <c r="R35" s="219" t="str">
        <f t="shared" si="98"/>
        <v>Душин</v>
      </c>
      <c r="S35" s="76" t="s">
        <v>58</v>
      </c>
      <c r="T35" s="77" t="s">
        <v>59</v>
      </c>
      <c r="U35" s="73">
        <f t="shared" si="99"/>
        <v>0</v>
      </c>
      <c r="V35" s="62">
        <f t="shared" si="100"/>
        <v>0</v>
      </c>
      <c r="W35" s="62"/>
      <c r="X35" s="74" t="s">
        <v>34</v>
      </c>
      <c r="Y35" s="7"/>
      <c r="Z35" s="7"/>
      <c r="AA35" s="7"/>
      <c r="AB35" s="13"/>
      <c r="AC35" s="13"/>
      <c r="AD35" s="13"/>
    </row>
    <row r="36" s="21" customFormat="1" ht="14.25">
      <c r="A36" s="203" t="s">
        <v>31</v>
      </c>
      <c r="B36" s="354"/>
      <c r="C36" s="354" t="s">
        <v>33</v>
      </c>
      <c r="D36" s="354"/>
      <c r="E36" s="354" t="s">
        <v>33</v>
      </c>
      <c r="F36" s="354"/>
      <c r="G36" s="354" t="s">
        <v>33</v>
      </c>
      <c r="H36" s="354"/>
      <c r="I36" s="354" t="s">
        <v>33</v>
      </c>
      <c r="J36" s="354"/>
      <c r="K36" s="354" t="s">
        <v>33</v>
      </c>
      <c r="L36" s="66"/>
      <c r="M36" s="66"/>
      <c r="N36" s="66"/>
      <c r="O36" s="66"/>
      <c r="P36" s="218">
        <f t="shared" si="97"/>
        <v>40</v>
      </c>
      <c r="Q36" s="62">
        <f t="shared" si="101"/>
        <v>111</v>
      </c>
      <c r="R36" s="219" t="str">
        <f t="shared" si="98"/>
        <v>Нетронин</v>
      </c>
      <c r="S36" s="76" t="s">
        <v>58</v>
      </c>
      <c r="T36" s="77" t="s">
        <v>59</v>
      </c>
      <c r="U36" s="73">
        <f t="shared" si="99"/>
        <v>0</v>
      </c>
      <c r="V36" s="62">
        <f t="shared" si="100"/>
        <v>0</v>
      </c>
      <c r="W36" s="62"/>
      <c r="X36" s="74" t="s">
        <v>34</v>
      </c>
      <c r="Y36" s="7"/>
      <c r="Z36" s="7"/>
      <c r="AA36" s="7"/>
      <c r="AB36" s="13"/>
      <c r="AC36" s="13"/>
      <c r="AD36" s="13"/>
    </row>
    <row r="37" s="21" customFormat="1" ht="14.25">
      <c r="A37" s="203" t="s">
        <v>62</v>
      </c>
      <c r="B37" s="354"/>
      <c r="C37" s="354" t="s">
        <v>33</v>
      </c>
      <c r="D37" s="354"/>
      <c r="E37" s="354" t="s">
        <v>33</v>
      </c>
      <c r="F37" s="354"/>
      <c r="G37" s="354" t="s">
        <v>33</v>
      </c>
      <c r="H37" s="354"/>
      <c r="I37" s="354" t="s">
        <v>33</v>
      </c>
      <c r="J37" s="354"/>
      <c r="K37" s="354" t="s">
        <v>33</v>
      </c>
      <c r="L37" s="66"/>
      <c r="M37" s="66"/>
      <c r="N37" s="66"/>
      <c r="O37" s="66"/>
      <c r="P37" s="218">
        <f t="shared" si="97"/>
        <v>40</v>
      </c>
      <c r="Q37" s="62">
        <f t="shared" si="101"/>
        <v>111</v>
      </c>
      <c r="R37" s="219" t="str">
        <f t="shared" si="98"/>
        <v>Раимова</v>
      </c>
      <c r="S37" s="76" t="s">
        <v>10</v>
      </c>
      <c r="T37" s="77" t="s">
        <v>9</v>
      </c>
      <c r="U37" s="73">
        <f t="shared" si="99"/>
        <v>0</v>
      </c>
      <c r="V37" s="62">
        <f t="shared" si="100"/>
        <v>0</v>
      </c>
      <c r="W37" s="62"/>
      <c r="X37" s="74" t="s">
        <v>38</v>
      </c>
      <c r="Y37" s="7"/>
      <c r="Z37" s="7"/>
      <c r="AA37" s="7"/>
      <c r="AB37" s="13"/>
      <c r="AC37" s="13"/>
      <c r="AD37" s="13"/>
    </row>
    <row r="38" s="21" customFormat="1" ht="14.25">
      <c r="A38" s="203" t="s">
        <v>63</v>
      </c>
      <c r="B38" s="354"/>
      <c r="C38" s="457" t="s">
        <v>33</v>
      </c>
      <c r="D38" s="354"/>
      <c r="E38" s="354" t="s">
        <v>33</v>
      </c>
      <c r="F38" s="354"/>
      <c r="G38" s="354" t="s">
        <v>33</v>
      </c>
      <c r="H38" s="354"/>
      <c r="I38" s="354" t="s">
        <v>33</v>
      </c>
      <c r="J38" s="354"/>
      <c r="K38" s="354" t="s">
        <v>33</v>
      </c>
      <c r="L38" s="66"/>
      <c r="M38" s="66"/>
      <c r="N38" s="66"/>
      <c r="O38" s="66"/>
      <c r="P38" s="218">
        <f t="shared" si="97"/>
        <v>40</v>
      </c>
      <c r="Q38" s="62">
        <f t="shared" si="101"/>
        <v>111</v>
      </c>
      <c r="R38" s="219" t="str">
        <f t="shared" si="98"/>
        <v>Войтехович</v>
      </c>
      <c r="S38" s="76" t="s">
        <v>10</v>
      </c>
      <c r="T38" s="77" t="s">
        <v>9</v>
      </c>
      <c r="U38" s="73">
        <f t="shared" si="99"/>
        <v>0</v>
      </c>
      <c r="V38" s="62">
        <f t="shared" si="100"/>
        <v>0</v>
      </c>
      <c r="W38" s="62"/>
      <c r="X38" s="74" t="s">
        <v>38</v>
      </c>
      <c r="Y38" s="7"/>
      <c r="Z38" s="7"/>
      <c r="AA38" s="7"/>
      <c r="AB38" s="13"/>
      <c r="AC38" s="13"/>
      <c r="AD38" s="13"/>
    </row>
    <row r="39" ht="14.4" hidden="1">
      <c r="A39" s="203" t="s">
        <v>61</v>
      </c>
      <c r="B39" s="354"/>
      <c r="C39" s="354" t="s">
        <v>33</v>
      </c>
      <c r="D39" s="354"/>
      <c r="E39" s="354" t="s">
        <v>33</v>
      </c>
      <c r="F39" s="354"/>
      <c r="G39" s="354" t="s">
        <v>33</v>
      </c>
      <c r="H39" s="354"/>
      <c r="I39" s="354" t="s">
        <v>33</v>
      </c>
      <c r="J39" s="354"/>
      <c r="K39" s="354" t="s">
        <v>33</v>
      </c>
      <c r="L39" s="66"/>
      <c r="M39" s="66"/>
      <c r="N39" s="66"/>
      <c r="O39" s="66"/>
      <c r="P39" s="218">
        <f t="shared" si="97"/>
        <v>40</v>
      </c>
      <c r="Q39" s="62" t="e">
        <f>#REF!-P39</f>
        <v>#REF!</v>
      </c>
      <c r="R39" s="288" t="str">
        <f t="shared" si="98"/>
        <v>Карузина</v>
      </c>
      <c r="S39" s="76" t="s">
        <v>10</v>
      </c>
      <c r="T39" s="77" t="s">
        <v>9</v>
      </c>
      <c r="U39" s="73">
        <f t="shared" si="99"/>
        <v>0</v>
      </c>
      <c r="V39" s="62">
        <f t="shared" si="100"/>
        <v>0</v>
      </c>
      <c r="W39" s="62"/>
      <c r="X39" s="74" t="s">
        <v>38</v>
      </c>
      <c r="Y39" s="7"/>
      <c r="Z39" s="7"/>
      <c r="AA39" s="7"/>
      <c r="AB39" s="13"/>
      <c r="AC39" s="13"/>
      <c r="AD39" s="13"/>
    </row>
    <row r="40" ht="14.25">
      <c r="A40" s="203" t="s">
        <v>64</v>
      </c>
      <c r="B40" s="354"/>
      <c r="C40" s="354" t="s">
        <v>33</v>
      </c>
      <c r="D40" s="354"/>
      <c r="E40" s="354" t="s">
        <v>33</v>
      </c>
      <c r="F40" s="354"/>
      <c r="G40" s="354" t="s">
        <v>33</v>
      </c>
      <c r="H40" s="354"/>
      <c r="I40" s="354" t="s">
        <v>33</v>
      </c>
      <c r="J40" s="354"/>
      <c r="K40" s="354" t="s">
        <v>33</v>
      </c>
      <c r="L40" s="458"/>
      <c r="M40" s="458"/>
      <c r="N40" s="458"/>
      <c r="O40" s="458"/>
      <c r="P40" s="218">
        <f t="shared" si="97"/>
        <v>40</v>
      </c>
      <c r="Q40" s="62">
        <f t="shared" ref="Q40:Q59" si="102">Q19-P40</f>
        <v>111</v>
      </c>
      <c r="R40" s="219" t="str">
        <f t="shared" si="98"/>
        <v>Васильев</v>
      </c>
      <c r="S40" s="71" t="s">
        <v>12</v>
      </c>
      <c r="T40" s="72" t="s">
        <v>11</v>
      </c>
      <c r="U40" s="90">
        <f t="shared" si="99"/>
        <v>0</v>
      </c>
      <c r="V40" s="62">
        <f t="shared" si="100"/>
        <v>0</v>
      </c>
      <c r="W40" s="62"/>
      <c r="X40" s="74" t="s">
        <v>38</v>
      </c>
      <c r="Y40" s="7"/>
      <c r="Z40" s="7"/>
      <c r="AA40" s="7"/>
      <c r="AB40" s="13"/>
      <c r="AC40" s="13"/>
      <c r="AD40" s="13"/>
    </row>
    <row r="41" ht="14.25">
      <c r="A41" s="205" t="s">
        <v>43</v>
      </c>
      <c r="B41" s="67"/>
      <c r="C41" s="362"/>
      <c r="D41" s="77"/>
      <c r="E41" s="359">
        <v>11</v>
      </c>
      <c r="F41" s="251"/>
      <c r="G41" s="359">
        <v>11</v>
      </c>
      <c r="H41" s="67"/>
      <c r="I41" s="362"/>
      <c r="J41" s="446"/>
      <c r="K41" s="362"/>
      <c r="L41" s="77"/>
      <c r="M41" s="359">
        <v>11</v>
      </c>
      <c r="N41" s="77"/>
      <c r="O41" s="359">
        <v>11</v>
      </c>
      <c r="P41" s="218">
        <f t="shared" si="97"/>
        <v>44</v>
      </c>
      <c r="Q41" s="62">
        <f t="shared" si="102"/>
        <v>85</v>
      </c>
      <c r="R41" s="219" t="str">
        <f t="shared" si="98"/>
        <v>Дащенко</v>
      </c>
      <c r="S41" s="76" t="s">
        <v>10</v>
      </c>
      <c r="T41" s="77" t="s">
        <v>9</v>
      </c>
      <c r="U41" s="90">
        <f t="shared" si="99"/>
        <v>0</v>
      </c>
      <c r="V41" s="62">
        <f t="shared" si="100"/>
        <v>0</v>
      </c>
      <c r="W41" s="62"/>
      <c r="X41" s="74" t="s">
        <v>34</v>
      </c>
      <c r="Y41" s="7"/>
      <c r="Z41" s="7"/>
      <c r="AA41" s="7"/>
      <c r="AB41" s="13"/>
      <c r="AC41" s="13"/>
      <c r="AD41" s="13"/>
    </row>
    <row r="42" ht="14.25">
      <c r="A42" s="205" t="s">
        <v>45</v>
      </c>
      <c r="B42" s="67"/>
      <c r="C42" s="362"/>
      <c r="D42" s="76"/>
      <c r="E42" s="361">
        <v>11</v>
      </c>
      <c r="F42" s="76"/>
      <c r="G42" s="361">
        <v>11</v>
      </c>
      <c r="H42" s="67"/>
      <c r="I42" s="362"/>
      <c r="J42" s="67"/>
      <c r="K42" s="362"/>
      <c r="L42" s="77"/>
      <c r="M42" s="359">
        <v>11</v>
      </c>
      <c r="N42" s="77"/>
      <c r="O42" s="359">
        <v>11</v>
      </c>
      <c r="P42" s="218">
        <f t="shared" si="97"/>
        <v>44</v>
      </c>
      <c r="Q42" s="62">
        <f t="shared" si="102"/>
        <v>85</v>
      </c>
      <c r="R42" s="219" t="str">
        <f t="shared" si="98"/>
        <v>Пузырь</v>
      </c>
      <c r="S42" s="76" t="s">
        <v>10</v>
      </c>
      <c r="T42" s="77" t="s">
        <v>9</v>
      </c>
      <c r="U42" s="90">
        <f t="shared" si="99"/>
        <v>0</v>
      </c>
      <c r="V42" s="62">
        <f t="shared" si="100"/>
        <v>0</v>
      </c>
      <c r="W42" s="62"/>
      <c r="X42" s="74" t="s">
        <v>34</v>
      </c>
      <c r="Y42" s="7"/>
      <c r="Z42" s="7"/>
      <c r="AA42" s="7"/>
      <c r="AB42" s="13"/>
      <c r="AC42" s="13"/>
      <c r="AD42" s="13"/>
    </row>
    <row r="43" ht="14.25">
      <c r="A43" s="205" t="s">
        <v>65</v>
      </c>
      <c r="B43" s="76"/>
      <c r="C43" s="363">
        <v>11</v>
      </c>
      <c r="D43" s="67"/>
      <c r="E43" s="362"/>
      <c r="F43" s="67"/>
      <c r="G43" s="362"/>
      <c r="H43" s="76"/>
      <c r="I43" s="361">
        <v>11</v>
      </c>
      <c r="J43" s="76"/>
      <c r="K43" s="361">
        <v>11</v>
      </c>
      <c r="L43" s="67"/>
      <c r="M43" s="362"/>
      <c r="N43" s="67"/>
      <c r="O43" s="362"/>
      <c r="P43" s="218">
        <f t="shared" si="97"/>
        <v>33</v>
      </c>
      <c r="Q43" s="62">
        <f t="shared" si="102"/>
        <v>107</v>
      </c>
      <c r="R43" s="219" t="str">
        <f t="shared" si="98"/>
        <v>Рожнева</v>
      </c>
      <c r="S43" s="76" t="s">
        <v>10</v>
      </c>
      <c r="T43" s="77" t="s">
        <v>9</v>
      </c>
      <c r="U43" s="90">
        <f t="shared" si="99"/>
        <v>0</v>
      </c>
      <c r="V43" s="62">
        <f t="shared" si="100"/>
        <v>0</v>
      </c>
      <c r="W43" s="62"/>
      <c r="X43" s="74" t="s">
        <v>34</v>
      </c>
      <c r="Y43" s="7"/>
      <c r="Z43" s="7"/>
      <c r="AA43" s="7"/>
      <c r="AB43" s="13"/>
      <c r="AC43" s="13"/>
      <c r="AD43" s="13"/>
    </row>
    <row r="44" s="21" customFormat="1" ht="14.25">
      <c r="A44" s="205" t="s">
        <v>47</v>
      </c>
      <c r="B44" s="76"/>
      <c r="C44" s="361">
        <v>11</v>
      </c>
      <c r="D44" s="76"/>
      <c r="E44" s="361">
        <v>11</v>
      </c>
      <c r="F44" s="76"/>
      <c r="G44" s="361">
        <v>11</v>
      </c>
      <c r="H44" s="67"/>
      <c r="I44" s="362"/>
      <c r="J44" s="67"/>
      <c r="K44" s="362"/>
      <c r="L44" s="458"/>
      <c r="M44" s="458"/>
      <c r="N44" s="458"/>
      <c r="O44" s="458"/>
      <c r="P44" s="218">
        <f t="shared" si="97"/>
        <v>33</v>
      </c>
      <c r="Q44" s="62">
        <f t="shared" si="102"/>
        <v>107</v>
      </c>
      <c r="R44" s="219" t="str">
        <f t="shared" si="98"/>
        <v>Торубара</v>
      </c>
      <c r="S44" s="76" t="s">
        <v>10</v>
      </c>
      <c r="T44" s="77" t="s">
        <v>9</v>
      </c>
      <c r="U44" s="73">
        <f t="shared" si="99"/>
        <v>0</v>
      </c>
      <c r="V44" s="62">
        <f t="shared" si="100"/>
        <v>0</v>
      </c>
      <c r="W44" s="62"/>
      <c r="X44" s="74" t="s">
        <v>34</v>
      </c>
      <c r="Y44" s="7"/>
      <c r="Z44" s="7"/>
      <c r="AA44" s="7"/>
      <c r="AB44" s="13"/>
      <c r="AC44" s="13"/>
      <c r="AD44" s="13"/>
    </row>
    <row r="45" s="21" customFormat="1" ht="14.25">
      <c r="A45" s="205" t="s">
        <v>48</v>
      </c>
      <c r="B45" s="292"/>
      <c r="C45" s="451">
        <v>11</v>
      </c>
      <c r="D45" s="458"/>
      <c r="E45" s="458"/>
      <c r="F45" s="67"/>
      <c r="G45" s="362"/>
      <c r="H45" s="77"/>
      <c r="I45" s="359">
        <v>11</v>
      </c>
      <c r="J45" s="77"/>
      <c r="K45" s="359">
        <v>11</v>
      </c>
      <c r="L45" s="458"/>
      <c r="M45" s="458"/>
      <c r="N45" s="67"/>
      <c r="O45" s="362"/>
      <c r="P45" s="218">
        <f t="shared" si="97"/>
        <v>33</v>
      </c>
      <c r="Q45" s="62">
        <f t="shared" si="102"/>
        <v>96</v>
      </c>
      <c r="R45" s="219" t="str">
        <f t="shared" si="98"/>
        <v>Стрыгин</v>
      </c>
      <c r="S45" s="71" t="s">
        <v>8</v>
      </c>
      <c r="T45" s="72" t="s">
        <v>7</v>
      </c>
      <c r="U45" s="73">
        <f t="shared" si="99"/>
        <v>0</v>
      </c>
      <c r="V45" s="62">
        <f t="shared" si="100"/>
        <v>0</v>
      </c>
      <c r="W45" s="62"/>
      <c r="X45" s="74" t="s">
        <v>49</v>
      </c>
      <c r="Y45" s="7"/>
      <c r="Z45" s="7"/>
      <c r="AA45" s="7"/>
      <c r="AB45" s="13"/>
      <c r="AC45" s="13"/>
      <c r="AD45" s="13"/>
    </row>
    <row r="46" s="21" customFormat="1" ht="14.25">
      <c r="A46" s="205" t="s">
        <v>50</v>
      </c>
      <c r="B46" s="458"/>
      <c r="C46" s="458"/>
      <c r="D46" s="67"/>
      <c r="E46" s="362"/>
      <c r="F46" s="77"/>
      <c r="G46" s="359">
        <v>11</v>
      </c>
      <c r="H46" s="67"/>
      <c r="I46" s="362"/>
      <c r="J46" s="67"/>
      <c r="K46" s="362"/>
      <c r="L46" s="76"/>
      <c r="M46" s="361">
        <v>11</v>
      </c>
      <c r="N46" s="76"/>
      <c r="O46" s="361">
        <v>11</v>
      </c>
      <c r="P46" s="218">
        <f t="shared" si="97"/>
        <v>33</v>
      </c>
      <c r="Q46" s="62">
        <f t="shared" si="102"/>
        <v>96</v>
      </c>
      <c r="R46" s="219" t="str">
        <f t="shared" si="98"/>
        <v>Фрик</v>
      </c>
      <c r="S46" s="71" t="s">
        <v>12</v>
      </c>
      <c r="T46" s="72" t="s">
        <v>11</v>
      </c>
      <c r="U46" s="73">
        <f t="shared" si="99"/>
        <v>0</v>
      </c>
      <c r="V46" s="62">
        <f t="shared" si="100"/>
        <v>0</v>
      </c>
      <c r="W46" s="62"/>
      <c r="X46" s="74" t="s">
        <v>44</v>
      </c>
      <c r="Y46" s="7"/>
      <c r="Z46" s="7"/>
      <c r="AA46" s="7"/>
      <c r="AB46" s="13"/>
      <c r="AC46" s="13"/>
      <c r="AD46" s="13"/>
    </row>
    <row r="47" s="21" customFormat="1" ht="14.25">
      <c r="A47" s="206" t="s">
        <v>51</v>
      </c>
      <c r="B47" s="67"/>
      <c r="C47" s="362"/>
      <c r="D47" s="458"/>
      <c r="E47" s="458"/>
      <c r="F47" s="458"/>
      <c r="G47" s="458"/>
      <c r="H47" s="76"/>
      <c r="I47" s="361">
        <v>11</v>
      </c>
      <c r="J47" s="76"/>
      <c r="K47" s="361">
        <v>11</v>
      </c>
      <c r="L47" s="67"/>
      <c r="M47" s="362"/>
      <c r="N47" s="67"/>
      <c r="O47" s="362"/>
      <c r="P47" s="218">
        <f t="shared" si="97"/>
        <v>22</v>
      </c>
      <c r="Q47" s="62">
        <f t="shared" si="102"/>
        <v>107</v>
      </c>
      <c r="R47" s="219" t="str">
        <f t="shared" si="98"/>
        <v>Истрашкин</v>
      </c>
      <c r="S47" s="71" t="s">
        <v>10</v>
      </c>
      <c r="T47" s="72" t="s">
        <v>9</v>
      </c>
      <c r="U47" s="73">
        <f t="shared" si="99"/>
        <v>0</v>
      </c>
      <c r="V47" s="62">
        <f t="shared" si="100"/>
        <v>0</v>
      </c>
      <c r="W47" s="62"/>
      <c r="X47" s="74" t="s">
        <v>34</v>
      </c>
      <c r="Y47" s="7"/>
      <c r="Z47" s="7"/>
      <c r="AA47" s="7"/>
      <c r="AB47" s="13"/>
      <c r="AC47" s="13"/>
      <c r="AD47" s="13"/>
    </row>
    <row r="48" s="21" customFormat="1" ht="14.25">
      <c r="A48" s="397" t="s">
        <v>66</v>
      </c>
      <c r="B48" s="77"/>
      <c r="C48" s="451">
        <v>11</v>
      </c>
      <c r="D48" s="77"/>
      <c r="E48" s="451">
        <v>11</v>
      </c>
      <c r="F48" s="458"/>
      <c r="G48" s="458"/>
      <c r="H48" s="449"/>
      <c r="I48" s="362"/>
      <c r="J48" s="251"/>
      <c r="K48" s="359">
        <v>11</v>
      </c>
      <c r="L48" s="292" t="s">
        <v>9</v>
      </c>
      <c r="M48" s="451">
        <v>8</v>
      </c>
      <c r="N48" s="458"/>
      <c r="O48" s="458"/>
      <c r="P48" s="218">
        <f t="shared" si="97"/>
        <v>41</v>
      </c>
      <c r="Q48" s="62">
        <f t="shared" si="102"/>
        <v>110</v>
      </c>
      <c r="R48" s="219" t="str">
        <f t="shared" si="98"/>
        <v>Качаев</v>
      </c>
      <c r="S48" s="71" t="s">
        <v>10</v>
      </c>
      <c r="T48" s="72" t="s">
        <v>9</v>
      </c>
      <c r="U48" s="73">
        <f t="shared" si="99"/>
        <v>0</v>
      </c>
      <c r="V48" s="62">
        <f t="shared" si="100"/>
        <v>0</v>
      </c>
      <c r="W48" s="62"/>
      <c r="X48" s="74" t="s">
        <v>34</v>
      </c>
      <c r="Y48" s="7"/>
      <c r="Z48" s="7"/>
      <c r="AA48" s="7"/>
      <c r="AB48" s="13"/>
      <c r="AC48" s="13"/>
      <c r="AD48" s="13"/>
    </row>
    <row r="49" s="21" customFormat="1" ht="14.25">
      <c r="A49" s="97"/>
      <c r="B49" s="53">
        <v>46146</v>
      </c>
      <c r="C49" s="53"/>
      <c r="D49" s="53">
        <v>46147</v>
      </c>
      <c r="E49" s="53"/>
      <c r="F49" s="53">
        <v>46148</v>
      </c>
      <c r="G49" s="53"/>
      <c r="H49" s="53">
        <v>46149</v>
      </c>
      <c r="I49" s="53"/>
      <c r="J49" s="171">
        <v>46150</v>
      </c>
      <c r="K49" s="171"/>
      <c r="L49" s="144">
        <v>46151</v>
      </c>
      <c r="M49" s="144"/>
      <c r="N49" s="145">
        <v>46152</v>
      </c>
      <c r="O49" s="146"/>
      <c r="P49" s="459"/>
      <c r="Q49" s="401"/>
      <c r="R49" s="402"/>
      <c r="S49" s="178"/>
      <c r="T49" s="178"/>
      <c r="U49" s="373"/>
      <c r="V49" s="100"/>
      <c r="W49" s="100"/>
      <c r="X49" s="432"/>
      <c r="Y49" s="7"/>
      <c r="Z49" s="7"/>
      <c r="AA49" s="7"/>
      <c r="AB49" s="13"/>
      <c r="AC49" s="13"/>
      <c r="AD49" s="13"/>
    </row>
    <row r="50" s="21" customFormat="1" ht="14.25">
      <c r="A50" s="369"/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71"/>
      <c r="R50" s="372"/>
      <c r="S50" s="165"/>
      <c r="T50" s="165"/>
      <c r="U50" s="373"/>
      <c r="V50" s="100"/>
      <c r="W50" s="100"/>
      <c r="X50" s="74"/>
      <c r="Y50" s="7"/>
      <c r="Z50" s="7"/>
      <c r="AA50" s="7"/>
      <c r="AB50" s="13"/>
      <c r="AC50" s="13"/>
      <c r="AD50" s="13"/>
    </row>
    <row r="51" s="21" customFormat="1" ht="14.25">
      <c r="A51" s="52"/>
      <c r="B51" s="56" t="s">
        <v>17</v>
      </c>
      <c r="C51" s="116"/>
      <c r="D51" s="56" t="s">
        <v>18</v>
      </c>
      <c r="E51" s="116"/>
      <c r="F51" s="56" t="s">
        <v>19</v>
      </c>
      <c r="G51" s="56"/>
      <c r="H51" s="56" t="s">
        <v>20</v>
      </c>
      <c r="I51" s="116"/>
      <c r="J51" s="56" t="s">
        <v>21</v>
      </c>
      <c r="K51" s="56"/>
      <c r="L51" s="56" t="s">
        <v>22</v>
      </c>
      <c r="M51" s="56"/>
      <c r="N51" s="56" t="s">
        <v>23</v>
      </c>
      <c r="O51" s="56"/>
      <c r="P51" s="404" t="s">
        <v>24</v>
      </c>
      <c r="Q51" s="405"/>
      <c r="R51" s="406"/>
      <c r="S51" s="143"/>
      <c r="T51" s="143"/>
      <c r="U51" s="90"/>
      <c r="V51" s="62"/>
      <c r="W51" s="62"/>
      <c r="X51" s="74"/>
      <c r="Y51" s="7"/>
      <c r="Z51" s="7"/>
      <c r="AA51" s="7"/>
      <c r="AB51" s="13"/>
      <c r="AC51" s="13"/>
      <c r="AD51" s="13"/>
    </row>
    <row r="52" s="21" customFormat="1" ht="14.25">
      <c r="A52" s="407"/>
      <c r="B52" s="145">
        <v>46153</v>
      </c>
      <c r="C52" s="460"/>
      <c r="D52" s="53">
        <v>46154</v>
      </c>
      <c r="E52" s="53"/>
      <c r="F52" s="53">
        <v>46155</v>
      </c>
      <c r="G52" s="53"/>
      <c r="H52" s="53">
        <v>46156</v>
      </c>
      <c r="I52" s="53"/>
      <c r="J52" s="53">
        <v>46157</v>
      </c>
      <c r="K52" s="53"/>
      <c r="L52" s="53">
        <v>46158</v>
      </c>
      <c r="M52" s="53"/>
      <c r="N52" s="53">
        <v>46159</v>
      </c>
      <c r="O52" s="54"/>
      <c r="P52" s="408" t="s">
        <v>25</v>
      </c>
      <c r="Q52" s="409" t="s">
        <v>26</v>
      </c>
      <c r="R52" s="410"/>
      <c r="S52" s="147"/>
      <c r="T52" s="147"/>
      <c r="U52" s="194" t="s">
        <v>27</v>
      </c>
      <c r="V52" s="61" t="s">
        <v>28</v>
      </c>
      <c r="W52" s="62" t="s">
        <v>29</v>
      </c>
      <c r="X52" s="74" t="s">
        <v>30</v>
      </c>
      <c r="Y52" s="7"/>
      <c r="Z52" s="7"/>
      <c r="AA52" s="7"/>
      <c r="AB52" s="13"/>
      <c r="AC52" s="13"/>
      <c r="AD52" s="13"/>
    </row>
    <row r="53" s="21" customFormat="1" ht="14.25">
      <c r="A53" s="203" t="s">
        <v>35</v>
      </c>
      <c r="B53" s="441"/>
      <c r="C53" s="441"/>
      <c r="D53" s="354"/>
      <c r="E53" s="354" t="s">
        <v>33</v>
      </c>
      <c r="F53" s="354"/>
      <c r="G53" s="354" t="s">
        <v>33</v>
      </c>
      <c r="H53" s="354"/>
      <c r="I53" s="354" t="s">
        <v>33</v>
      </c>
      <c r="J53" s="354"/>
      <c r="K53" s="354" t="s">
        <v>33</v>
      </c>
      <c r="L53" s="66"/>
      <c r="M53" s="66"/>
      <c r="N53" s="66"/>
      <c r="O53" s="66"/>
      <c r="P53" s="218">
        <f t="shared" si="97"/>
        <v>32</v>
      </c>
      <c r="Q53" s="62">
        <f t="shared" si="102"/>
        <v>79</v>
      </c>
      <c r="R53" s="219" t="str">
        <f t="shared" si="98"/>
        <v>Рычков</v>
      </c>
      <c r="S53" s="76" t="s">
        <v>10</v>
      </c>
      <c r="T53" s="77" t="s">
        <v>9</v>
      </c>
      <c r="U53" s="73">
        <f t="shared" si="99"/>
        <v>0</v>
      </c>
      <c r="V53" s="62">
        <f t="shared" si="100"/>
        <v>0</v>
      </c>
      <c r="W53" s="62"/>
      <c r="X53" s="74" t="s">
        <v>34</v>
      </c>
      <c r="Y53" s="7"/>
      <c r="Z53" s="7"/>
      <c r="AA53" s="7"/>
      <c r="AB53" s="13"/>
      <c r="AC53" s="13"/>
      <c r="AD53" s="13"/>
    </row>
    <row r="54" s="21" customFormat="1" ht="14.25">
      <c r="A54" s="203" t="s">
        <v>61</v>
      </c>
      <c r="B54" s="441"/>
      <c r="C54" s="441"/>
      <c r="D54" s="354"/>
      <c r="E54" s="354" t="s">
        <v>33</v>
      </c>
      <c r="F54" s="354"/>
      <c r="G54" s="354" t="s">
        <v>33</v>
      </c>
      <c r="H54" s="457"/>
      <c r="I54" s="354" t="s">
        <v>33</v>
      </c>
      <c r="J54" s="354"/>
      <c r="K54" s="354" t="s">
        <v>33</v>
      </c>
      <c r="L54" s="66"/>
      <c r="M54" s="66"/>
      <c r="N54" s="67"/>
      <c r="O54" s="67"/>
      <c r="P54" s="218">
        <f t="shared" si="97"/>
        <v>32</v>
      </c>
      <c r="Q54" s="62">
        <f t="shared" si="102"/>
        <v>79</v>
      </c>
      <c r="R54" s="219" t="str">
        <f t="shared" si="98"/>
        <v>Карузина</v>
      </c>
      <c r="S54" s="76" t="s">
        <v>10</v>
      </c>
      <c r="T54" s="77" t="s">
        <v>9</v>
      </c>
      <c r="U54" s="73">
        <f t="shared" si="99"/>
        <v>0</v>
      </c>
      <c r="V54" s="62">
        <f t="shared" si="100"/>
        <v>0</v>
      </c>
      <c r="W54" s="62"/>
      <c r="X54" s="79" t="s">
        <v>34</v>
      </c>
      <c r="Y54" s="7"/>
      <c r="Z54" s="7"/>
      <c r="AA54" s="7"/>
      <c r="AB54" s="13"/>
      <c r="AC54" s="13"/>
      <c r="AD54" s="13"/>
    </row>
    <row r="55" s="21" customFormat="1" ht="14.25">
      <c r="A55" s="203" t="s">
        <v>39</v>
      </c>
      <c r="B55" s="441"/>
      <c r="C55" s="461"/>
      <c r="D55" s="354"/>
      <c r="E55" s="354" t="s">
        <v>33</v>
      </c>
      <c r="F55" s="354"/>
      <c r="G55" s="354" t="s">
        <v>33</v>
      </c>
      <c r="H55" s="354"/>
      <c r="I55" s="354" t="s">
        <v>33</v>
      </c>
      <c r="J55" s="354"/>
      <c r="K55" s="354" t="s">
        <v>33</v>
      </c>
      <c r="L55" s="66"/>
      <c r="M55" s="66"/>
      <c r="N55" s="66"/>
      <c r="O55" s="66"/>
      <c r="P55" s="218">
        <f t="shared" si="97"/>
        <v>32</v>
      </c>
      <c r="Q55" s="62">
        <f t="shared" si="102"/>
        <v>79</v>
      </c>
      <c r="R55" s="219" t="str">
        <f t="shared" si="98"/>
        <v>Игумнов</v>
      </c>
      <c r="S55" s="76" t="s">
        <v>10</v>
      </c>
      <c r="T55" s="77" t="s">
        <v>9</v>
      </c>
      <c r="U55" s="73">
        <f t="shared" si="99"/>
        <v>0</v>
      </c>
      <c r="V55" s="62">
        <f t="shared" si="100"/>
        <v>0</v>
      </c>
      <c r="W55" s="62"/>
      <c r="X55" s="74" t="s">
        <v>38</v>
      </c>
      <c r="Y55" s="7"/>
      <c r="Z55" s="7"/>
      <c r="AA55" s="7"/>
      <c r="AB55" s="13"/>
      <c r="AC55" s="13"/>
      <c r="AD55" s="13"/>
    </row>
    <row r="56" ht="14.4" hidden="1">
      <c r="A56" s="203" t="s">
        <v>40</v>
      </c>
      <c r="B56" s="441"/>
      <c r="C56" s="441"/>
      <c r="D56" s="354"/>
      <c r="E56" s="354" t="s">
        <v>33</v>
      </c>
      <c r="F56" s="354"/>
      <c r="G56" s="354" t="s">
        <v>33</v>
      </c>
      <c r="H56" s="354"/>
      <c r="I56" s="354" t="s">
        <v>33</v>
      </c>
      <c r="J56" s="354"/>
      <c r="K56" s="354" t="s">
        <v>33</v>
      </c>
      <c r="L56" s="66"/>
      <c r="M56" s="66"/>
      <c r="N56" s="66"/>
      <c r="O56" s="66"/>
      <c r="P56" s="218">
        <f t="shared" si="97"/>
        <v>32</v>
      </c>
      <c r="Q56" s="62">
        <f t="shared" si="102"/>
        <v>79</v>
      </c>
      <c r="R56" s="288" t="str">
        <f t="shared" si="98"/>
        <v>Душин</v>
      </c>
      <c r="S56" s="76" t="s">
        <v>58</v>
      </c>
      <c r="T56" s="77" t="s">
        <v>59</v>
      </c>
      <c r="U56" s="73">
        <f t="shared" si="99"/>
        <v>0</v>
      </c>
      <c r="V56" s="62">
        <f t="shared" si="100"/>
        <v>0</v>
      </c>
      <c r="W56" s="62"/>
      <c r="X56" s="74" t="s">
        <v>34</v>
      </c>
      <c r="Y56" s="7"/>
      <c r="Z56" s="7"/>
      <c r="AA56" s="7"/>
      <c r="AB56" s="13"/>
      <c r="AC56" s="13"/>
      <c r="AD56" s="13"/>
    </row>
    <row r="57" ht="14.25">
      <c r="A57" s="203" t="s">
        <v>31</v>
      </c>
      <c r="B57" s="441"/>
      <c r="C57" s="441"/>
      <c r="D57" s="354"/>
      <c r="E57" s="354" t="s">
        <v>33</v>
      </c>
      <c r="F57" s="354"/>
      <c r="G57" s="354" t="s">
        <v>33</v>
      </c>
      <c r="H57" s="354"/>
      <c r="I57" s="354" t="s">
        <v>33</v>
      </c>
      <c r="J57" s="354"/>
      <c r="K57" s="354" t="s">
        <v>33</v>
      </c>
      <c r="L57" s="66"/>
      <c r="M57" s="66"/>
      <c r="N57" s="66"/>
      <c r="O57" s="66"/>
      <c r="P57" s="218">
        <f t="shared" si="97"/>
        <v>32</v>
      </c>
      <c r="Q57" s="62">
        <f t="shared" si="102"/>
        <v>79</v>
      </c>
      <c r="R57" s="219" t="str">
        <f t="shared" si="98"/>
        <v>Нетронин</v>
      </c>
      <c r="S57" s="76" t="s">
        <v>58</v>
      </c>
      <c r="T57" s="77" t="s">
        <v>59</v>
      </c>
      <c r="U57" s="90">
        <f t="shared" si="99"/>
        <v>0</v>
      </c>
      <c r="V57" s="62">
        <f t="shared" si="100"/>
        <v>0</v>
      </c>
      <c r="W57" s="62"/>
      <c r="X57" s="74" t="s">
        <v>34</v>
      </c>
      <c r="Y57" s="7"/>
      <c r="Z57" s="7"/>
      <c r="AA57" s="7"/>
      <c r="AB57" s="13"/>
      <c r="AC57" s="13"/>
      <c r="AD57" s="13"/>
    </row>
    <row r="58" ht="14.25">
      <c r="A58" s="203" t="s">
        <v>62</v>
      </c>
      <c r="B58" s="441"/>
      <c r="C58" s="441"/>
      <c r="D58" s="354"/>
      <c r="E58" s="354" t="s">
        <v>33</v>
      </c>
      <c r="F58" s="354"/>
      <c r="G58" s="354" t="s">
        <v>33</v>
      </c>
      <c r="H58" s="354"/>
      <c r="I58" s="354" t="s">
        <v>33</v>
      </c>
      <c r="J58" s="354"/>
      <c r="K58" s="354" t="s">
        <v>33</v>
      </c>
      <c r="L58" s="66"/>
      <c r="M58" s="66"/>
      <c r="N58" s="66"/>
      <c r="O58" s="66"/>
      <c r="P58" s="218">
        <f t="shared" si="97"/>
        <v>32</v>
      </c>
      <c r="Q58" s="62">
        <f t="shared" si="102"/>
        <v>79</v>
      </c>
      <c r="R58" s="219" t="str">
        <f t="shared" si="98"/>
        <v>Раимова</v>
      </c>
      <c r="S58" s="76" t="s">
        <v>10</v>
      </c>
      <c r="T58" s="77" t="s">
        <v>9</v>
      </c>
      <c r="U58" s="73">
        <f t="shared" si="99"/>
        <v>0</v>
      </c>
      <c r="V58" s="62">
        <f t="shared" si="100"/>
        <v>0</v>
      </c>
      <c r="W58" s="62"/>
      <c r="X58" s="74" t="s">
        <v>38</v>
      </c>
      <c r="Y58" s="7"/>
      <c r="Z58" s="7"/>
      <c r="AA58" s="7"/>
      <c r="AB58" s="13"/>
      <c r="AC58" s="13"/>
      <c r="AD58" s="13"/>
    </row>
    <row r="59" ht="14.25">
      <c r="A59" s="203" t="s">
        <v>63</v>
      </c>
      <c r="B59" s="441"/>
      <c r="C59" s="441"/>
      <c r="D59" s="354"/>
      <c r="E59" s="354" t="s">
        <v>33</v>
      </c>
      <c r="F59" s="354"/>
      <c r="G59" s="354" t="s">
        <v>33</v>
      </c>
      <c r="H59" s="354"/>
      <c r="I59" s="354" t="s">
        <v>33</v>
      </c>
      <c r="J59" s="354"/>
      <c r="K59" s="354" t="s">
        <v>33</v>
      </c>
      <c r="L59" s="66"/>
      <c r="M59" s="66"/>
      <c r="N59" s="66"/>
      <c r="O59" s="66"/>
      <c r="P59" s="218">
        <f t="shared" si="97"/>
        <v>32</v>
      </c>
      <c r="Q59" s="62">
        <f t="shared" si="102"/>
        <v>79</v>
      </c>
      <c r="R59" s="219" t="str">
        <f t="shared" si="98"/>
        <v>Войтехович</v>
      </c>
      <c r="S59" s="76" t="s">
        <v>10</v>
      </c>
      <c r="T59" s="77" t="s">
        <v>9</v>
      </c>
      <c r="U59" s="90">
        <f t="shared" si="99"/>
        <v>0</v>
      </c>
      <c r="V59" s="62">
        <f t="shared" si="100"/>
        <v>0</v>
      </c>
      <c r="W59" s="62"/>
      <c r="X59" s="74" t="s">
        <v>38</v>
      </c>
      <c r="Y59" s="7"/>
      <c r="Z59" s="7"/>
      <c r="AA59" s="7"/>
      <c r="AB59" s="13"/>
      <c r="AC59" s="13"/>
      <c r="AD59" s="13"/>
    </row>
    <row r="60" s="21" customFormat="1" ht="14.25">
      <c r="A60" s="203" t="s">
        <v>64</v>
      </c>
      <c r="B60" s="441"/>
      <c r="C60" s="441"/>
      <c r="D60" s="354"/>
      <c r="E60" s="354" t="s">
        <v>33</v>
      </c>
      <c r="F60" s="354"/>
      <c r="G60" s="354" t="s">
        <v>33</v>
      </c>
      <c r="H60" s="354"/>
      <c r="I60" s="354" t="s">
        <v>33</v>
      </c>
      <c r="J60" s="354"/>
      <c r="K60" s="354" t="s">
        <v>33</v>
      </c>
      <c r="L60" s="458"/>
      <c r="M60" s="458"/>
      <c r="N60" s="458"/>
      <c r="O60" s="458"/>
      <c r="P60" s="218">
        <f t="shared" si="97"/>
        <v>32</v>
      </c>
      <c r="Q60" s="62">
        <f t="shared" ref="Q60:Q99" si="103">Q40-P60</f>
        <v>79</v>
      </c>
      <c r="R60" s="219" t="str">
        <f t="shared" si="98"/>
        <v>Васильев</v>
      </c>
      <c r="S60" s="71" t="s">
        <v>12</v>
      </c>
      <c r="T60" s="72" t="s">
        <v>11</v>
      </c>
      <c r="U60" s="73">
        <f t="shared" si="99"/>
        <v>0</v>
      </c>
      <c r="V60" s="62">
        <f t="shared" si="100"/>
        <v>0</v>
      </c>
      <c r="W60" s="62"/>
      <c r="X60" s="74" t="s">
        <v>38</v>
      </c>
      <c r="Y60" s="7"/>
      <c r="Z60" s="7"/>
      <c r="AA60" s="7"/>
      <c r="AB60" s="13"/>
      <c r="AC60" s="13"/>
      <c r="AD60" s="13"/>
    </row>
    <row r="61" s="21" customFormat="1" ht="14.25">
      <c r="A61" s="205" t="s">
        <v>43</v>
      </c>
      <c r="B61" s="458"/>
      <c r="C61" s="458"/>
      <c r="D61" s="458"/>
      <c r="E61" s="458"/>
      <c r="F61" s="76"/>
      <c r="G61" s="361">
        <v>11</v>
      </c>
      <c r="H61" s="76"/>
      <c r="I61" s="361">
        <v>11</v>
      </c>
      <c r="J61" s="458"/>
      <c r="K61" s="458"/>
      <c r="L61" s="458"/>
      <c r="M61" s="458"/>
      <c r="N61" s="76"/>
      <c r="O61" s="361">
        <v>11</v>
      </c>
      <c r="P61" s="218">
        <f t="shared" si="97"/>
        <v>33</v>
      </c>
      <c r="Q61" s="62">
        <f t="shared" si="103"/>
        <v>52</v>
      </c>
      <c r="R61" s="219" t="str">
        <f t="shared" si="98"/>
        <v>Дащенко</v>
      </c>
      <c r="S61" s="76" t="s">
        <v>10</v>
      </c>
      <c r="T61" s="77" t="s">
        <v>9</v>
      </c>
      <c r="U61" s="73">
        <f t="shared" si="99"/>
        <v>0</v>
      </c>
      <c r="V61" s="62">
        <f t="shared" si="100"/>
        <v>0</v>
      </c>
      <c r="W61" s="62"/>
      <c r="X61" s="74" t="s">
        <v>44</v>
      </c>
      <c r="Y61" s="7"/>
      <c r="Z61" s="7"/>
      <c r="AA61" s="7"/>
      <c r="AB61" s="13"/>
      <c r="AC61" s="13"/>
      <c r="AD61" s="13"/>
    </row>
    <row r="62" s="21" customFormat="1" ht="14.25">
      <c r="A62" s="205" t="s">
        <v>45</v>
      </c>
      <c r="B62" s="458"/>
      <c r="C62" s="458"/>
      <c r="D62" s="458"/>
      <c r="E62" s="458"/>
      <c r="F62" s="67"/>
      <c r="G62" s="362"/>
      <c r="H62" s="76"/>
      <c r="I62" s="361">
        <v>11</v>
      </c>
      <c r="J62" s="458"/>
      <c r="K62" s="458"/>
      <c r="L62" s="67"/>
      <c r="M62" s="458"/>
      <c r="N62" s="76"/>
      <c r="O62" s="361">
        <v>11</v>
      </c>
      <c r="P62" s="218">
        <f t="shared" si="97"/>
        <v>22</v>
      </c>
      <c r="Q62" s="62">
        <f t="shared" si="103"/>
        <v>63</v>
      </c>
      <c r="R62" s="219" t="str">
        <f t="shared" si="98"/>
        <v>Пузырь</v>
      </c>
      <c r="S62" s="76" t="s">
        <v>10</v>
      </c>
      <c r="T62" s="77" t="s">
        <v>9</v>
      </c>
      <c r="U62" s="73">
        <f>COUNTIF(T62,B62)+COUNTIF(T62,D62)+COUNTIF(T62,F62)+COUNTIF(T62,H62)+COUNTIF(T62,J62)+COUNTIF(T62,#REF!)+COUNTIF(T62,N62)</f>
        <v>0</v>
      </c>
      <c r="V62" s="62">
        <f>COUNTIF(S62,B62)+COUNTIF(S62,D62)+COUNTIF(S62,F62)+COUNTIF(S62,H62)+COUNTIF(S62,J62)+COUNTIF(S62,#REF!)+COUNTIF(S62,N62)</f>
        <v>0</v>
      </c>
      <c r="W62" s="62"/>
      <c r="X62" s="74" t="s">
        <v>34</v>
      </c>
      <c r="Y62" s="7"/>
      <c r="Z62" s="7"/>
      <c r="AA62" s="7"/>
      <c r="AB62" s="13"/>
      <c r="AC62" s="13"/>
      <c r="AD62" s="13"/>
    </row>
    <row r="63" s="21" customFormat="1" ht="14.25">
      <c r="A63" s="205" t="s">
        <v>65</v>
      </c>
      <c r="B63" s="76"/>
      <c r="C63" s="361">
        <v>11</v>
      </c>
      <c r="D63" s="76"/>
      <c r="E63" s="361">
        <v>11</v>
      </c>
      <c r="F63" s="67"/>
      <c r="G63" s="362"/>
      <c r="H63" s="458"/>
      <c r="I63" s="458"/>
      <c r="J63" s="292"/>
      <c r="K63" s="359">
        <v>11</v>
      </c>
      <c r="L63" s="251"/>
      <c r="M63" s="359">
        <v>11</v>
      </c>
      <c r="N63" s="77"/>
      <c r="O63" s="359">
        <v>11</v>
      </c>
      <c r="P63" s="218">
        <f t="shared" si="97"/>
        <v>55</v>
      </c>
      <c r="Q63" s="62">
        <f t="shared" si="103"/>
        <v>52</v>
      </c>
      <c r="R63" s="219" t="str">
        <f t="shared" si="98"/>
        <v>Рожнева</v>
      </c>
      <c r="S63" s="76" t="s">
        <v>10</v>
      </c>
      <c r="T63" s="77" t="s">
        <v>9</v>
      </c>
      <c r="U63" s="73">
        <f>COUNTIF(T63,B63)+COUNTIF(T63,D63)+COUNTIF(T63,F63)+COUNTIF(T63,H63)+COUNTIF(T63,J63)+COUNTIF(T63,L62)+COUNTIF(T63,N63)</f>
        <v>0</v>
      </c>
      <c r="V63" s="62">
        <f>COUNTIF(S63,B63)+COUNTIF(S63,D63)+COUNTIF(S63,F63)+COUNTIF(S63,H63)+COUNTIF(S63,J63)+COUNTIF(S63,L62)+COUNTIF(S63,N63)</f>
        <v>0</v>
      </c>
      <c r="W63" s="62"/>
      <c r="X63" s="74" t="s">
        <v>34</v>
      </c>
      <c r="Y63" s="7"/>
      <c r="Z63" s="7"/>
      <c r="AA63" s="7"/>
      <c r="AB63" s="13"/>
      <c r="AC63" s="13"/>
      <c r="AD63" s="13"/>
    </row>
    <row r="64" s="21" customFormat="1" ht="14.25">
      <c r="A64" s="205" t="s">
        <v>47</v>
      </c>
      <c r="B64" s="76"/>
      <c r="C64" s="361">
        <v>11</v>
      </c>
      <c r="D64" s="76"/>
      <c r="E64" s="361">
        <v>11</v>
      </c>
      <c r="F64" s="76"/>
      <c r="G64" s="361">
        <v>11</v>
      </c>
      <c r="H64" s="458"/>
      <c r="I64" s="458"/>
      <c r="J64" s="67"/>
      <c r="K64" s="362"/>
      <c r="L64" s="77"/>
      <c r="M64" s="359">
        <v>11</v>
      </c>
      <c r="N64" s="77"/>
      <c r="O64" s="359">
        <v>11</v>
      </c>
      <c r="P64" s="218">
        <f t="shared" si="97"/>
        <v>55</v>
      </c>
      <c r="Q64" s="62">
        <f t="shared" si="103"/>
        <v>52</v>
      </c>
      <c r="R64" s="219" t="str">
        <f t="shared" si="98"/>
        <v>Торубара</v>
      </c>
      <c r="S64" s="76" t="s">
        <v>10</v>
      </c>
      <c r="T64" s="77" t="s">
        <v>9</v>
      </c>
      <c r="U64" s="73">
        <f t="shared" ref="U64:U108" si="104">COUNTIF(T64,B64)+COUNTIF(T64,D64)+COUNTIF(T64,F64)+COUNTIF(T64,H64)+COUNTIF(T64,J64)+COUNTIF(T64,L64)+COUNTIF(T64,N64)</f>
        <v>0</v>
      </c>
      <c r="V64" s="62">
        <f t="shared" ref="V64:V108" si="105">COUNTIF(S64,B64)+COUNTIF(S64,D64)+COUNTIF(S64,F64)+COUNTIF(S64,H64)+COUNTIF(S64,J64)+COUNTIF(S64,L64)+COUNTIF(S64,N64)</f>
        <v>0</v>
      </c>
      <c r="W64" s="62"/>
      <c r="X64" s="74" t="s">
        <v>34</v>
      </c>
      <c r="Y64" s="7"/>
      <c r="Z64" s="7"/>
      <c r="AA64" s="7"/>
      <c r="AB64" s="13"/>
      <c r="AC64" s="13"/>
      <c r="AD64" s="13"/>
    </row>
    <row r="65" s="21" customFormat="1" ht="14.25">
      <c r="A65" s="205" t="s">
        <v>48</v>
      </c>
      <c r="B65" s="77"/>
      <c r="C65" s="359">
        <v>11</v>
      </c>
      <c r="D65" s="67"/>
      <c r="E65" s="362"/>
      <c r="F65" s="458"/>
      <c r="G65" s="458"/>
      <c r="H65" s="458"/>
      <c r="I65" s="458"/>
      <c r="J65" s="76"/>
      <c r="K65" s="361">
        <v>11</v>
      </c>
      <c r="L65" s="76"/>
      <c r="M65" s="361">
        <v>11</v>
      </c>
      <c r="N65" s="458"/>
      <c r="O65" s="458"/>
      <c r="P65" s="285">
        <f t="shared" si="97"/>
        <v>33</v>
      </c>
      <c r="Q65" s="62">
        <f t="shared" si="103"/>
        <v>63</v>
      </c>
      <c r="R65" s="442" t="str">
        <f t="shared" si="98"/>
        <v>Стрыгин</v>
      </c>
      <c r="S65" s="71" t="s">
        <v>8</v>
      </c>
      <c r="T65" s="72" t="s">
        <v>7</v>
      </c>
      <c r="U65" s="90">
        <f t="shared" si="104"/>
        <v>0</v>
      </c>
      <c r="V65" s="62">
        <f t="shared" si="105"/>
        <v>0</v>
      </c>
      <c r="W65" s="62"/>
      <c r="X65" s="74" t="s">
        <v>49</v>
      </c>
      <c r="Y65" s="7"/>
      <c r="Z65" s="7"/>
      <c r="AA65" s="7"/>
      <c r="AB65" s="13"/>
      <c r="AC65" s="13"/>
      <c r="AD65" s="13"/>
    </row>
    <row r="66" s="21" customFormat="1" ht="14.25">
      <c r="A66" s="205" t="s">
        <v>50</v>
      </c>
      <c r="B66" s="67"/>
      <c r="C66" s="362"/>
      <c r="D66" s="458"/>
      <c r="E66" s="458"/>
      <c r="F66" s="77"/>
      <c r="G66" s="359">
        <v>11</v>
      </c>
      <c r="H66" s="77"/>
      <c r="I66" s="359">
        <v>11</v>
      </c>
      <c r="J66" s="261"/>
      <c r="K66" s="362"/>
      <c r="L66" s="458"/>
      <c r="M66" s="458"/>
      <c r="N66" s="458"/>
      <c r="O66" s="458"/>
      <c r="P66" s="218">
        <f t="shared" si="97"/>
        <v>22</v>
      </c>
      <c r="Q66" s="62">
        <f t="shared" si="103"/>
        <v>74</v>
      </c>
      <c r="R66" s="219" t="str">
        <f t="shared" si="98"/>
        <v>Фрик</v>
      </c>
      <c r="S66" s="71" t="s">
        <v>12</v>
      </c>
      <c r="T66" s="72" t="s">
        <v>11</v>
      </c>
      <c r="U66" s="73">
        <f t="shared" si="104"/>
        <v>0</v>
      </c>
      <c r="V66" s="62">
        <f t="shared" si="105"/>
        <v>0</v>
      </c>
      <c r="W66" s="62"/>
      <c r="X66" s="74" t="s">
        <v>44</v>
      </c>
      <c r="Y66" s="7"/>
      <c r="Z66" s="7"/>
      <c r="AA66" s="7"/>
      <c r="AB66" s="13"/>
      <c r="AC66" s="13"/>
      <c r="AD66" s="13"/>
    </row>
    <row r="67" s="21" customFormat="1" ht="14.25">
      <c r="A67" s="206" t="s">
        <v>51</v>
      </c>
      <c r="B67" s="77"/>
      <c r="C67" s="359">
        <v>11</v>
      </c>
      <c r="D67" s="77"/>
      <c r="E67" s="359">
        <v>11</v>
      </c>
      <c r="F67" s="67"/>
      <c r="G67" s="362"/>
      <c r="H67" s="458"/>
      <c r="I67" s="458"/>
      <c r="J67" s="76"/>
      <c r="K67" s="361">
        <v>11</v>
      </c>
      <c r="L67" s="76"/>
      <c r="M67" s="361">
        <v>11</v>
      </c>
      <c r="N67" s="458"/>
      <c r="O67" s="458"/>
      <c r="P67" s="218">
        <f t="shared" si="97"/>
        <v>44</v>
      </c>
      <c r="Q67" s="62">
        <f t="shared" si="103"/>
        <v>63</v>
      </c>
      <c r="R67" s="219" t="str">
        <f t="shared" si="98"/>
        <v>Истрашкин</v>
      </c>
      <c r="S67" s="71" t="s">
        <v>10</v>
      </c>
      <c r="T67" s="72" t="s">
        <v>9</v>
      </c>
      <c r="U67" s="73">
        <f t="shared" si="104"/>
        <v>0</v>
      </c>
      <c r="V67" s="62">
        <f t="shared" si="105"/>
        <v>0</v>
      </c>
      <c r="W67" s="62"/>
      <c r="X67" s="74" t="s">
        <v>34</v>
      </c>
      <c r="Y67" s="7"/>
      <c r="Z67" s="7"/>
      <c r="AA67" s="7"/>
      <c r="AB67" s="13"/>
      <c r="AC67" s="13"/>
      <c r="AD67" s="13"/>
    </row>
    <row r="68" s="21" customFormat="1" ht="14.25">
      <c r="A68" s="397" t="s">
        <v>66</v>
      </c>
      <c r="B68" s="458"/>
      <c r="C68" s="462"/>
      <c r="D68" s="77"/>
      <c r="E68" s="451">
        <v>11</v>
      </c>
      <c r="F68" s="77"/>
      <c r="G68" s="451">
        <v>11</v>
      </c>
      <c r="H68" s="449"/>
      <c r="I68" s="450"/>
      <c r="J68" s="458"/>
      <c r="K68" s="458"/>
      <c r="L68" s="173"/>
      <c r="M68" s="361">
        <v>11</v>
      </c>
      <c r="N68" s="173"/>
      <c r="O68" s="361">
        <v>11</v>
      </c>
      <c r="P68" s="220">
        <f t="shared" si="97"/>
        <v>44</v>
      </c>
      <c r="Q68" s="221">
        <f t="shared" si="103"/>
        <v>66</v>
      </c>
      <c r="R68" s="219" t="str">
        <f t="shared" si="98"/>
        <v>Качаев</v>
      </c>
      <c r="S68" s="71" t="s">
        <v>10</v>
      </c>
      <c r="T68" s="72" t="s">
        <v>9</v>
      </c>
      <c r="U68" s="73">
        <f t="shared" si="104"/>
        <v>0</v>
      </c>
      <c r="V68" s="62">
        <f t="shared" si="105"/>
        <v>0</v>
      </c>
      <c r="W68" s="62"/>
      <c r="X68" s="74" t="s">
        <v>34</v>
      </c>
      <c r="Y68" s="7"/>
      <c r="Z68" s="7"/>
      <c r="AA68" s="7"/>
      <c r="AB68" s="13"/>
      <c r="AC68" s="13"/>
      <c r="AD68" s="13"/>
    </row>
    <row r="69" s="21" customFormat="1" ht="14.25">
      <c r="A69" s="92"/>
      <c r="B69" s="145">
        <v>46153</v>
      </c>
      <c r="C69" s="145"/>
      <c r="D69" s="53">
        <v>46154</v>
      </c>
      <c r="E69" s="53"/>
      <c r="F69" s="53">
        <v>46155</v>
      </c>
      <c r="G69" s="53"/>
      <c r="H69" s="53">
        <v>46156</v>
      </c>
      <c r="I69" s="53"/>
      <c r="J69" s="53">
        <v>46157</v>
      </c>
      <c r="K69" s="53"/>
      <c r="L69" s="53">
        <v>46158</v>
      </c>
      <c r="M69" s="53"/>
      <c r="N69" s="53">
        <v>46159</v>
      </c>
      <c r="O69" s="54"/>
      <c r="P69" s="68"/>
      <c r="Q69" s="67"/>
      <c r="R69" s="422"/>
      <c r="S69" s="138"/>
      <c r="T69" s="138"/>
      <c r="U69" s="194" t="s">
        <v>27</v>
      </c>
      <c r="V69" s="61" t="s">
        <v>28</v>
      </c>
      <c r="W69" s="62" t="s">
        <v>29</v>
      </c>
      <c r="X69" s="74" t="s">
        <v>34</v>
      </c>
      <c r="Y69" s="7"/>
      <c r="Z69" s="7"/>
      <c r="AA69" s="7"/>
      <c r="AB69" s="13"/>
      <c r="AC69" s="13"/>
      <c r="AD69" s="13"/>
    </row>
    <row r="70" s="21" customFormat="1" ht="14.25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425"/>
      <c r="S70" s="425"/>
      <c r="T70" s="425"/>
      <c r="U70" s="372"/>
      <c r="V70" s="165"/>
      <c r="W70" s="100"/>
      <c r="X70" s="403"/>
      <c r="Y70" s="7"/>
      <c r="Z70" s="7"/>
      <c r="AA70" s="7"/>
      <c r="AB70" s="13"/>
      <c r="AC70" s="13"/>
      <c r="AD70" s="13"/>
    </row>
    <row r="71" s="21" customFormat="1" ht="14.25">
      <c r="A71" s="52"/>
      <c r="B71" s="56" t="s">
        <v>17</v>
      </c>
      <c r="C71" s="463"/>
      <c r="D71" s="56" t="s">
        <v>18</v>
      </c>
      <c r="E71" s="116"/>
      <c r="F71" s="56" t="s">
        <v>19</v>
      </c>
      <c r="G71" s="56"/>
      <c r="H71" s="56" t="s">
        <v>20</v>
      </c>
      <c r="I71" s="116"/>
      <c r="J71" s="129" t="s">
        <v>21</v>
      </c>
      <c r="K71" s="129"/>
      <c r="L71" s="56" t="s">
        <v>22</v>
      </c>
      <c r="M71" s="56"/>
      <c r="N71" s="56" t="s">
        <v>23</v>
      </c>
      <c r="O71" s="56"/>
      <c r="P71" s="404" t="s">
        <v>24</v>
      </c>
      <c r="Q71" s="405"/>
      <c r="R71" s="406"/>
      <c r="S71" s="143"/>
      <c r="T71" s="143"/>
      <c r="U71" s="90"/>
      <c r="V71" s="62"/>
      <c r="W71" s="62"/>
      <c r="X71" s="74"/>
      <c r="Y71" s="7"/>
      <c r="Z71" s="7"/>
      <c r="AA71" s="7"/>
      <c r="AB71" s="13"/>
      <c r="AC71" s="13"/>
      <c r="AD71" s="13"/>
    </row>
    <row r="72" ht="14.25">
      <c r="A72" s="407"/>
      <c r="B72" s="53">
        <v>46160</v>
      </c>
      <c r="C72" s="53"/>
      <c r="D72" s="53">
        <v>46161</v>
      </c>
      <c r="E72" s="53"/>
      <c r="F72" s="53">
        <v>46162</v>
      </c>
      <c r="G72" s="53"/>
      <c r="H72" s="53">
        <v>46163</v>
      </c>
      <c r="I72" s="53"/>
      <c r="J72" s="53">
        <v>46164</v>
      </c>
      <c r="K72" s="53"/>
      <c r="L72" s="53">
        <v>46165</v>
      </c>
      <c r="M72" s="53"/>
      <c r="N72" s="53">
        <v>46166</v>
      </c>
      <c r="O72" s="54"/>
      <c r="P72" s="408" t="s">
        <v>25</v>
      </c>
      <c r="Q72" s="409" t="s">
        <v>26</v>
      </c>
      <c r="R72" s="410"/>
      <c r="S72" s="147"/>
      <c r="T72" s="147"/>
      <c r="U72" s="60" t="s">
        <v>27</v>
      </c>
      <c r="V72" s="61" t="s">
        <v>28</v>
      </c>
      <c r="W72" s="62" t="s">
        <v>29</v>
      </c>
      <c r="X72" s="63" t="s">
        <v>30</v>
      </c>
      <c r="Y72" s="7"/>
      <c r="Z72" s="7"/>
      <c r="AA72" s="7"/>
      <c r="AB72" s="13"/>
      <c r="AC72" s="13"/>
      <c r="AD72" s="13"/>
    </row>
    <row r="73" ht="14.25">
      <c r="A73" s="203" t="s">
        <v>35</v>
      </c>
      <c r="B73" s="354"/>
      <c r="C73" s="354" t="s">
        <v>33</v>
      </c>
      <c r="D73" s="354"/>
      <c r="E73" s="354" t="s">
        <v>33</v>
      </c>
      <c r="F73" s="354"/>
      <c r="G73" s="354" t="s">
        <v>33</v>
      </c>
      <c r="H73" s="354"/>
      <c r="I73" s="354" t="s">
        <v>33</v>
      </c>
      <c r="J73" s="354"/>
      <c r="K73" s="354" t="s">
        <v>33</v>
      </c>
      <c r="L73" s="66"/>
      <c r="M73" s="66"/>
      <c r="N73" s="66"/>
      <c r="O73" s="66"/>
      <c r="P73" s="218">
        <f t="shared" si="97"/>
        <v>40</v>
      </c>
      <c r="Q73" s="62">
        <f t="shared" si="103"/>
        <v>39</v>
      </c>
      <c r="R73" s="219" t="str">
        <f t="shared" si="98"/>
        <v>Рычков</v>
      </c>
      <c r="S73" s="76" t="s">
        <v>10</v>
      </c>
      <c r="T73" s="77" t="s">
        <v>9</v>
      </c>
      <c r="U73" s="90">
        <f t="shared" si="104"/>
        <v>0</v>
      </c>
      <c r="V73" s="62">
        <f t="shared" si="105"/>
        <v>0</v>
      </c>
      <c r="W73" s="62"/>
      <c r="X73" s="74" t="s">
        <v>34</v>
      </c>
      <c r="Y73" s="7"/>
      <c r="Z73" s="7"/>
      <c r="AA73" s="7"/>
      <c r="AB73" s="13"/>
      <c r="AC73" s="13"/>
      <c r="AD73" s="13"/>
    </row>
    <row r="74" ht="14.25">
      <c r="A74" s="203" t="s">
        <v>61</v>
      </c>
      <c r="B74" s="354"/>
      <c r="C74" s="354" t="s">
        <v>33</v>
      </c>
      <c r="D74" s="354"/>
      <c r="E74" s="354" t="s">
        <v>33</v>
      </c>
      <c r="F74" s="354"/>
      <c r="G74" s="354" t="s">
        <v>33</v>
      </c>
      <c r="H74" s="354"/>
      <c r="I74" s="354" t="s">
        <v>33</v>
      </c>
      <c r="J74" s="354"/>
      <c r="K74" s="354" t="s">
        <v>33</v>
      </c>
      <c r="L74" s="66"/>
      <c r="M74" s="66"/>
      <c r="N74" s="67"/>
      <c r="O74" s="67"/>
      <c r="P74" s="218">
        <f t="shared" si="97"/>
        <v>40</v>
      </c>
      <c r="Q74" s="62">
        <f t="shared" si="103"/>
        <v>39</v>
      </c>
      <c r="R74" s="219" t="str">
        <f t="shared" si="98"/>
        <v>Карузина</v>
      </c>
      <c r="S74" s="76" t="s">
        <v>10</v>
      </c>
      <c r="T74" s="77" t="s">
        <v>9</v>
      </c>
      <c r="U74" s="73">
        <f t="shared" si="104"/>
        <v>0</v>
      </c>
      <c r="V74" s="62">
        <f t="shared" si="105"/>
        <v>0</v>
      </c>
      <c r="W74" s="62"/>
      <c r="X74" s="79" t="s">
        <v>34</v>
      </c>
      <c r="Y74" s="7"/>
      <c r="Z74" s="7"/>
      <c r="AA74" s="7"/>
      <c r="AB74" s="13"/>
      <c r="AC74" s="13"/>
      <c r="AD74" s="13"/>
    </row>
    <row r="75" ht="14.25">
      <c r="A75" s="203" t="s">
        <v>39</v>
      </c>
      <c r="B75" s="354"/>
      <c r="C75" s="354" t="s">
        <v>33</v>
      </c>
      <c r="D75" s="354"/>
      <c r="E75" s="354" t="s">
        <v>33</v>
      </c>
      <c r="F75" s="354"/>
      <c r="G75" s="354" t="s">
        <v>33</v>
      </c>
      <c r="H75" s="354"/>
      <c r="I75" s="354" t="s">
        <v>33</v>
      </c>
      <c r="J75" s="354"/>
      <c r="K75" s="354" t="s">
        <v>33</v>
      </c>
      <c r="L75" s="66"/>
      <c r="M75" s="66"/>
      <c r="N75" s="66"/>
      <c r="O75" s="66"/>
      <c r="P75" s="218">
        <f t="shared" si="97"/>
        <v>40</v>
      </c>
      <c r="Q75" s="62">
        <f t="shared" si="103"/>
        <v>39</v>
      </c>
      <c r="R75" s="219" t="str">
        <f t="shared" si="98"/>
        <v>Игумнов</v>
      </c>
      <c r="S75" s="76" t="s">
        <v>10</v>
      </c>
      <c r="T75" s="77" t="s">
        <v>9</v>
      </c>
      <c r="U75" s="90">
        <f t="shared" si="104"/>
        <v>0</v>
      </c>
      <c r="V75" s="62">
        <f t="shared" si="105"/>
        <v>0</v>
      </c>
      <c r="W75" s="62"/>
      <c r="X75" s="74" t="s">
        <v>38</v>
      </c>
      <c r="Y75" s="7"/>
      <c r="Z75" s="7"/>
      <c r="AA75" s="7"/>
      <c r="AB75" s="13"/>
      <c r="AC75" s="13"/>
      <c r="AD75" s="13"/>
    </row>
    <row r="76" ht="14.25">
      <c r="A76" s="203" t="s">
        <v>40</v>
      </c>
      <c r="B76" s="354"/>
      <c r="C76" s="354" t="s">
        <v>33</v>
      </c>
      <c r="D76" s="354"/>
      <c r="E76" s="354" t="s">
        <v>33</v>
      </c>
      <c r="F76" s="354"/>
      <c r="G76" s="354" t="s">
        <v>33</v>
      </c>
      <c r="H76" s="354"/>
      <c r="I76" s="354" t="s">
        <v>33</v>
      </c>
      <c r="J76" s="354"/>
      <c r="K76" s="354" t="s">
        <v>33</v>
      </c>
      <c r="L76" s="66"/>
      <c r="M76" s="66"/>
      <c r="N76" s="66"/>
      <c r="O76" s="66"/>
      <c r="P76" s="218">
        <f t="shared" ref="P76:P108" si="106">C76+E76+G76+I76+K76+M76+O76</f>
        <v>40</v>
      </c>
      <c r="Q76" s="62">
        <f t="shared" si="103"/>
        <v>39</v>
      </c>
      <c r="R76" s="219" t="str">
        <f t="shared" ref="R76:R108" si="107">A76</f>
        <v>Душин</v>
      </c>
      <c r="S76" s="76" t="s">
        <v>58</v>
      </c>
      <c r="T76" s="77" t="s">
        <v>59</v>
      </c>
      <c r="U76" s="90">
        <f t="shared" si="104"/>
        <v>0</v>
      </c>
      <c r="V76" s="62">
        <f t="shared" si="105"/>
        <v>0</v>
      </c>
      <c r="W76" s="62"/>
      <c r="X76" s="74" t="s">
        <v>34</v>
      </c>
      <c r="Y76" s="7"/>
      <c r="Z76" s="7"/>
      <c r="AA76" s="7"/>
      <c r="AB76" s="13"/>
      <c r="AC76" s="13"/>
      <c r="AD76" s="13"/>
    </row>
    <row r="77" s="21" customFormat="1" ht="14.25">
      <c r="A77" s="203" t="s">
        <v>31</v>
      </c>
      <c r="B77" s="354"/>
      <c r="C77" s="354" t="s">
        <v>33</v>
      </c>
      <c r="D77" s="354"/>
      <c r="E77" s="354" t="s">
        <v>33</v>
      </c>
      <c r="F77" s="354"/>
      <c r="G77" s="354" t="s">
        <v>33</v>
      </c>
      <c r="H77" s="354"/>
      <c r="I77" s="354" t="s">
        <v>33</v>
      </c>
      <c r="J77" s="354"/>
      <c r="K77" s="354" t="s">
        <v>33</v>
      </c>
      <c r="L77" s="66"/>
      <c r="M77" s="66"/>
      <c r="N77" s="66"/>
      <c r="O77" s="66"/>
      <c r="P77" s="218">
        <f t="shared" si="106"/>
        <v>40</v>
      </c>
      <c r="Q77" s="62">
        <f t="shared" si="103"/>
        <v>39</v>
      </c>
      <c r="R77" s="219" t="str">
        <f t="shared" si="107"/>
        <v>Нетронин</v>
      </c>
      <c r="S77" s="76" t="s">
        <v>58</v>
      </c>
      <c r="T77" s="77" t="s">
        <v>59</v>
      </c>
      <c r="U77" s="73">
        <f t="shared" si="104"/>
        <v>0</v>
      </c>
      <c r="V77" s="62">
        <f t="shared" si="105"/>
        <v>0</v>
      </c>
      <c r="W77" s="62"/>
      <c r="X77" s="74" t="s">
        <v>34</v>
      </c>
      <c r="Y77" s="7"/>
      <c r="Z77" s="7"/>
      <c r="AA77" s="7"/>
      <c r="AB77" s="13"/>
      <c r="AC77" s="13"/>
      <c r="AD77" s="13"/>
    </row>
    <row r="78" s="21" customFormat="1" ht="14.25">
      <c r="A78" s="203" t="s">
        <v>62</v>
      </c>
      <c r="B78" s="354"/>
      <c r="C78" s="354" t="s">
        <v>33</v>
      </c>
      <c r="D78" s="354"/>
      <c r="E78" s="354" t="s">
        <v>33</v>
      </c>
      <c r="F78" s="354"/>
      <c r="G78" s="354" t="s">
        <v>33</v>
      </c>
      <c r="H78" s="354"/>
      <c r="I78" s="354" t="s">
        <v>33</v>
      </c>
      <c r="J78" s="354"/>
      <c r="K78" s="354" t="s">
        <v>33</v>
      </c>
      <c r="L78" s="66"/>
      <c r="M78" s="66"/>
      <c r="N78" s="66"/>
      <c r="O78" s="66"/>
      <c r="P78" s="218">
        <f t="shared" si="106"/>
        <v>40</v>
      </c>
      <c r="Q78" s="62">
        <f t="shared" si="103"/>
        <v>39</v>
      </c>
      <c r="R78" s="219" t="str">
        <f t="shared" si="107"/>
        <v>Раимова</v>
      </c>
      <c r="S78" s="76" t="s">
        <v>10</v>
      </c>
      <c r="T78" s="77" t="s">
        <v>9</v>
      </c>
      <c r="U78" s="73">
        <f t="shared" si="104"/>
        <v>0</v>
      </c>
      <c r="V78" s="62">
        <f t="shared" si="105"/>
        <v>0</v>
      </c>
      <c r="W78" s="62"/>
      <c r="X78" s="74" t="s">
        <v>38</v>
      </c>
      <c r="Y78" s="7"/>
      <c r="Z78" s="7"/>
      <c r="AA78" s="7"/>
      <c r="AB78" s="13"/>
      <c r="AC78" s="13"/>
      <c r="AD78" s="13"/>
    </row>
    <row r="79" s="21" customFormat="1" ht="14.25">
      <c r="A79" s="203" t="s">
        <v>63</v>
      </c>
      <c r="B79" s="354"/>
      <c r="C79" s="354" t="s">
        <v>33</v>
      </c>
      <c r="D79" s="354"/>
      <c r="E79" s="354" t="s">
        <v>33</v>
      </c>
      <c r="F79" s="354"/>
      <c r="G79" s="354" t="s">
        <v>33</v>
      </c>
      <c r="H79" s="354"/>
      <c r="I79" s="354" t="s">
        <v>33</v>
      </c>
      <c r="J79" s="354"/>
      <c r="K79" s="354" t="s">
        <v>33</v>
      </c>
      <c r="L79" s="66"/>
      <c r="M79" s="66"/>
      <c r="N79" s="66"/>
      <c r="O79" s="66"/>
      <c r="P79" s="218">
        <f t="shared" si="106"/>
        <v>40</v>
      </c>
      <c r="Q79" s="62">
        <f t="shared" si="103"/>
        <v>39</v>
      </c>
      <c r="R79" s="219" t="str">
        <f t="shared" si="107"/>
        <v>Войтехович</v>
      </c>
      <c r="S79" s="76" t="s">
        <v>10</v>
      </c>
      <c r="T79" s="77" t="s">
        <v>9</v>
      </c>
      <c r="U79" s="73">
        <f t="shared" si="104"/>
        <v>0</v>
      </c>
      <c r="V79" s="62">
        <f t="shared" si="105"/>
        <v>0</v>
      </c>
      <c r="W79" s="62"/>
      <c r="X79" s="74" t="s">
        <v>38</v>
      </c>
      <c r="Y79" s="7"/>
      <c r="Z79" s="7"/>
      <c r="AA79" s="7"/>
      <c r="AB79" s="13"/>
      <c r="AC79" s="13"/>
      <c r="AD79" s="13"/>
    </row>
    <row r="80" s="21" customFormat="1" ht="14.25">
      <c r="A80" s="203" t="s">
        <v>64</v>
      </c>
      <c r="B80" s="354"/>
      <c r="C80" s="354" t="s">
        <v>33</v>
      </c>
      <c r="D80" s="354"/>
      <c r="E80" s="354" t="s">
        <v>33</v>
      </c>
      <c r="F80" s="354"/>
      <c r="G80" s="354" t="s">
        <v>33</v>
      </c>
      <c r="H80" s="354"/>
      <c r="I80" s="354" t="s">
        <v>33</v>
      </c>
      <c r="J80" s="354"/>
      <c r="K80" s="354" t="s">
        <v>33</v>
      </c>
      <c r="L80" s="458"/>
      <c r="M80" s="458"/>
      <c r="N80" s="458"/>
      <c r="O80" s="458"/>
      <c r="P80" s="218">
        <f t="shared" si="106"/>
        <v>40</v>
      </c>
      <c r="Q80" s="62">
        <f t="shared" si="103"/>
        <v>39</v>
      </c>
      <c r="R80" s="219" t="str">
        <f t="shared" si="107"/>
        <v>Васильев</v>
      </c>
      <c r="S80" s="71" t="s">
        <v>12</v>
      </c>
      <c r="T80" s="72" t="s">
        <v>11</v>
      </c>
      <c r="U80" s="73">
        <f t="shared" si="104"/>
        <v>0</v>
      </c>
      <c r="V80" s="62">
        <f t="shared" si="105"/>
        <v>0</v>
      </c>
      <c r="W80" s="62"/>
      <c r="X80" s="74" t="s">
        <v>38</v>
      </c>
      <c r="Y80" s="7"/>
      <c r="Z80" s="7"/>
      <c r="AA80" s="7"/>
      <c r="AB80" s="13"/>
      <c r="AC80" s="13"/>
      <c r="AD80" s="13"/>
    </row>
    <row r="81" s="21" customFormat="1" ht="14.25">
      <c r="A81" s="205" t="s">
        <v>43</v>
      </c>
      <c r="B81" s="67"/>
      <c r="C81" s="362"/>
      <c r="D81" s="76"/>
      <c r="E81" s="361">
        <v>11</v>
      </c>
      <c r="F81" s="76"/>
      <c r="G81" s="361">
        <v>11</v>
      </c>
      <c r="H81" s="67"/>
      <c r="I81" s="362"/>
      <c r="J81" s="67"/>
      <c r="K81" s="362"/>
      <c r="L81" s="77"/>
      <c r="M81" s="359">
        <v>11</v>
      </c>
      <c r="N81" s="77"/>
      <c r="O81" s="359">
        <v>11</v>
      </c>
      <c r="P81" s="285">
        <f t="shared" si="106"/>
        <v>44</v>
      </c>
      <c r="Q81" s="62">
        <f t="shared" si="103"/>
        <v>8</v>
      </c>
      <c r="R81" s="442" t="str">
        <f t="shared" si="107"/>
        <v>Дащенко</v>
      </c>
      <c r="S81" s="76" t="s">
        <v>10</v>
      </c>
      <c r="T81" s="77" t="s">
        <v>9</v>
      </c>
      <c r="U81" s="90">
        <f t="shared" si="104"/>
        <v>0</v>
      </c>
      <c r="V81" s="62">
        <f t="shared" si="105"/>
        <v>0</v>
      </c>
      <c r="W81" s="62"/>
      <c r="X81" s="74" t="s">
        <v>34</v>
      </c>
      <c r="Y81" s="7"/>
      <c r="Z81" s="7"/>
      <c r="AA81" s="7"/>
      <c r="AB81" s="13"/>
      <c r="AC81" s="13"/>
      <c r="AD81" s="13"/>
    </row>
    <row r="82" s="21" customFormat="1" ht="14.25">
      <c r="A82" s="205" t="s">
        <v>45</v>
      </c>
      <c r="B82" s="76"/>
      <c r="C82" s="361">
        <v>11</v>
      </c>
      <c r="D82" s="458"/>
      <c r="E82" s="458"/>
      <c r="F82" s="458"/>
      <c r="G82" s="458"/>
      <c r="H82" s="77"/>
      <c r="I82" s="359">
        <v>11</v>
      </c>
      <c r="J82" s="77"/>
      <c r="K82" s="359">
        <v>11</v>
      </c>
      <c r="L82" s="67"/>
      <c r="M82" s="362"/>
      <c r="N82" s="458"/>
      <c r="O82" s="458"/>
      <c r="P82" s="218">
        <f t="shared" si="106"/>
        <v>33</v>
      </c>
      <c r="Q82" s="62">
        <f t="shared" si="103"/>
        <v>30</v>
      </c>
      <c r="R82" s="219" t="str">
        <f t="shared" si="107"/>
        <v>Пузырь</v>
      </c>
      <c r="S82" s="76" t="s">
        <v>10</v>
      </c>
      <c r="T82" s="77" t="s">
        <v>9</v>
      </c>
      <c r="U82" s="73">
        <f t="shared" si="104"/>
        <v>0</v>
      </c>
      <c r="V82" s="62">
        <f t="shared" si="105"/>
        <v>0</v>
      </c>
      <c r="W82" s="62"/>
      <c r="X82" s="74" t="s">
        <v>34</v>
      </c>
      <c r="Y82" s="7"/>
      <c r="Z82" s="7"/>
      <c r="AA82" s="7"/>
      <c r="AB82" s="13"/>
      <c r="AC82" s="13"/>
      <c r="AD82" s="13"/>
    </row>
    <row r="83" s="21" customFormat="1" ht="14.25">
      <c r="A83" s="205" t="s">
        <v>65</v>
      </c>
      <c r="B83" s="418" t="s">
        <v>1</v>
      </c>
      <c r="C83" s="464">
        <v>8</v>
      </c>
      <c r="D83" s="418" t="s">
        <v>1</v>
      </c>
      <c r="E83" s="464">
        <v>8</v>
      </c>
      <c r="F83" s="418" t="s">
        <v>1</v>
      </c>
      <c r="G83" s="464">
        <v>8</v>
      </c>
      <c r="H83" s="418" t="s">
        <v>1</v>
      </c>
      <c r="I83" s="464">
        <v>8</v>
      </c>
      <c r="J83" s="418" t="s">
        <v>1</v>
      </c>
      <c r="K83" s="464">
        <v>8</v>
      </c>
      <c r="L83" s="418" t="s">
        <v>1</v>
      </c>
      <c r="M83" s="464"/>
      <c r="N83" s="418"/>
      <c r="O83" s="464"/>
      <c r="P83" s="218">
        <f t="shared" si="106"/>
        <v>40</v>
      </c>
      <c r="Q83" s="62">
        <f t="shared" si="103"/>
        <v>12</v>
      </c>
      <c r="R83" s="219" t="str">
        <f t="shared" si="107"/>
        <v>Рожнева</v>
      </c>
      <c r="S83" s="76" t="s">
        <v>10</v>
      </c>
      <c r="T83" s="77" t="s">
        <v>9</v>
      </c>
      <c r="U83" s="73">
        <f t="shared" si="104"/>
        <v>0</v>
      </c>
      <c r="V83" s="62">
        <f t="shared" si="105"/>
        <v>0</v>
      </c>
      <c r="W83" s="62"/>
      <c r="X83" s="74" t="s">
        <v>34</v>
      </c>
      <c r="Y83" s="7"/>
      <c r="Z83" s="7"/>
      <c r="AA83" s="7"/>
      <c r="AB83" s="13"/>
      <c r="AC83" s="13"/>
      <c r="AD83" s="13"/>
    </row>
    <row r="84" s="21" customFormat="1" ht="14.25">
      <c r="A84" s="205" t="s">
        <v>47</v>
      </c>
      <c r="B84" s="458"/>
      <c r="C84" s="458"/>
      <c r="D84" s="67"/>
      <c r="E84" s="362"/>
      <c r="F84" s="76"/>
      <c r="G84" s="361">
        <v>11</v>
      </c>
      <c r="H84" s="76"/>
      <c r="I84" s="361">
        <v>11</v>
      </c>
      <c r="J84" s="465"/>
      <c r="K84" s="361">
        <v>11</v>
      </c>
      <c r="L84" s="261"/>
      <c r="M84" s="362"/>
      <c r="N84" s="67"/>
      <c r="O84" s="362"/>
      <c r="P84" s="218">
        <f t="shared" si="106"/>
        <v>33</v>
      </c>
      <c r="Q84" s="62">
        <f t="shared" si="103"/>
        <v>19</v>
      </c>
      <c r="R84" s="219" t="str">
        <f t="shared" si="107"/>
        <v>Торубара</v>
      </c>
      <c r="S84" s="76" t="s">
        <v>10</v>
      </c>
      <c r="T84" s="77" t="s">
        <v>9</v>
      </c>
      <c r="U84" s="73">
        <f t="shared" si="104"/>
        <v>0</v>
      </c>
      <c r="V84" s="62">
        <f t="shared" si="105"/>
        <v>0</v>
      </c>
      <c r="W84" s="62"/>
      <c r="X84" s="74" t="s">
        <v>34</v>
      </c>
      <c r="Y84" s="7"/>
      <c r="Z84" s="7"/>
      <c r="AA84" s="7"/>
      <c r="AB84" s="13"/>
      <c r="AC84" s="13"/>
      <c r="AD84" s="13"/>
    </row>
    <row r="85" s="21" customFormat="1" ht="14.25">
      <c r="A85" s="205" t="s">
        <v>48</v>
      </c>
      <c r="B85" s="458"/>
      <c r="C85" s="458"/>
      <c r="D85" s="261"/>
      <c r="E85" s="362"/>
      <c r="F85" s="251"/>
      <c r="G85" s="359">
        <v>11</v>
      </c>
      <c r="H85" s="458"/>
      <c r="I85" s="458"/>
      <c r="J85" s="458"/>
      <c r="K85" s="458"/>
      <c r="L85" s="77"/>
      <c r="M85" s="359">
        <v>11</v>
      </c>
      <c r="N85" s="77"/>
      <c r="O85" s="359">
        <v>11</v>
      </c>
      <c r="P85" s="218">
        <f t="shared" si="106"/>
        <v>33</v>
      </c>
      <c r="Q85" s="62">
        <f t="shared" si="103"/>
        <v>30</v>
      </c>
      <c r="R85" s="219" t="str">
        <f t="shared" si="107"/>
        <v>Стрыгин</v>
      </c>
      <c r="S85" s="71" t="s">
        <v>8</v>
      </c>
      <c r="T85" s="72" t="s">
        <v>7</v>
      </c>
      <c r="U85" s="73">
        <f t="shared" si="104"/>
        <v>0</v>
      </c>
      <c r="V85" s="62">
        <f t="shared" si="105"/>
        <v>0</v>
      </c>
      <c r="W85" s="62"/>
      <c r="X85" s="74" t="s">
        <v>49</v>
      </c>
      <c r="Y85" s="7"/>
      <c r="Z85" s="7"/>
      <c r="AA85" s="7"/>
      <c r="AB85" s="13"/>
      <c r="AC85" s="13"/>
      <c r="AD85" s="13"/>
    </row>
    <row r="86" s="21" customFormat="1" ht="14.25">
      <c r="A86" s="205" t="s">
        <v>50</v>
      </c>
      <c r="B86" s="466"/>
      <c r="C86" s="467">
        <v>11</v>
      </c>
      <c r="D86" s="76"/>
      <c r="E86" s="361">
        <v>11</v>
      </c>
      <c r="F86" s="67"/>
      <c r="G86" s="362"/>
      <c r="H86" s="458"/>
      <c r="I86" s="458"/>
      <c r="J86" s="67"/>
      <c r="K86" s="362"/>
      <c r="L86" s="465"/>
      <c r="M86" s="361">
        <v>11</v>
      </c>
      <c r="N86" s="173"/>
      <c r="O86" s="361">
        <v>11</v>
      </c>
      <c r="P86" s="218">
        <f t="shared" si="106"/>
        <v>44</v>
      </c>
      <c r="Q86" s="62">
        <f t="shared" si="103"/>
        <v>30</v>
      </c>
      <c r="R86" s="219" t="str">
        <f t="shared" si="107"/>
        <v>Фрик</v>
      </c>
      <c r="S86" s="71" t="s">
        <v>12</v>
      </c>
      <c r="T86" s="72" t="s">
        <v>11</v>
      </c>
      <c r="U86" s="73">
        <f t="shared" si="104"/>
        <v>0</v>
      </c>
      <c r="V86" s="62">
        <f t="shared" si="105"/>
        <v>0</v>
      </c>
      <c r="W86" s="62"/>
      <c r="X86" s="74" t="s">
        <v>44</v>
      </c>
      <c r="Y86" s="7"/>
      <c r="Z86" s="7"/>
      <c r="AA86" s="7"/>
      <c r="AB86" s="13"/>
      <c r="AC86" s="13"/>
      <c r="AD86" s="13"/>
    </row>
    <row r="87" s="21" customFormat="1" ht="14.25">
      <c r="A87" s="206" t="s">
        <v>51</v>
      </c>
      <c r="B87" s="418" t="s">
        <v>1</v>
      </c>
      <c r="C87" s="464">
        <v>8</v>
      </c>
      <c r="D87" s="418" t="s">
        <v>1</v>
      </c>
      <c r="E87" s="419">
        <v>8</v>
      </c>
      <c r="F87" s="418" t="s">
        <v>1</v>
      </c>
      <c r="G87" s="419">
        <v>8</v>
      </c>
      <c r="H87" s="418" t="s">
        <v>1</v>
      </c>
      <c r="I87" s="419">
        <v>8</v>
      </c>
      <c r="J87" s="418" t="s">
        <v>1</v>
      </c>
      <c r="K87" s="419">
        <v>8</v>
      </c>
      <c r="L87" s="418" t="s">
        <v>1</v>
      </c>
      <c r="M87" s="419"/>
      <c r="N87" s="418"/>
      <c r="O87" s="419"/>
      <c r="P87" s="218">
        <f t="shared" si="106"/>
        <v>40</v>
      </c>
      <c r="Q87" s="62">
        <f t="shared" si="103"/>
        <v>23</v>
      </c>
      <c r="R87" s="219" t="str">
        <f t="shared" si="107"/>
        <v>Истрашкин</v>
      </c>
      <c r="S87" s="71" t="s">
        <v>10</v>
      </c>
      <c r="T87" s="72" t="s">
        <v>9</v>
      </c>
      <c r="U87" s="73">
        <f t="shared" si="104"/>
        <v>0</v>
      </c>
      <c r="V87" s="62">
        <f t="shared" si="105"/>
        <v>0</v>
      </c>
      <c r="W87" s="62"/>
      <c r="X87" s="74" t="s">
        <v>34</v>
      </c>
      <c r="Y87" s="7"/>
      <c r="Z87" s="7"/>
      <c r="AA87" s="7"/>
      <c r="AB87" s="13"/>
      <c r="AC87" s="13"/>
      <c r="AD87" s="13"/>
    </row>
    <row r="88" ht="14.25">
      <c r="A88" s="397" t="s">
        <v>66</v>
      </c>
      <c r="B88" s="449"/>
      <c r="C88" s="362"/>
      <c r="D88" s="468"/>
      <c r="E88" s="362"/>
      <c r="F88" s="300"/>
      <c r="G88" s="359">
        <v>11</v>
      </c>
      <c r="H88" s="300"/>
      <c r="I88" s="451">
        <v>11</v>
      </c>
      <c r="J88" s="458"/>
      <c r="K88" s="458"/>
      <c r="L88" s="458"/>
      <c r="M88" s="458"/>
      <c r="N88" s="173"/>
      <c r="O88" s="361">
        <v>11</v>
      </c>
      <c r="P88" s="366">
        <f t="shared" si="106"/>
        <v>33</v>
      </c>
      <c r="Q88" s="221">
        <f t="shared" si="103"/>
        <v>33</v>
      </c>
      <c r="R88" s="288" t="str">
        <f t="shared" si="107"/>
        <v>Качаев</v>
      </c>
      <c r="S88" s="71" t="s">
        <v>10</v>
      </c>
      <c r="T88" s="72" t="s">
        <v>9</v>
      </c>
      <c r="U88" s="73">
        <f t="shared" si="104"/>
        <v>0</v>
      </c>
      <c r="V88" s="62">
        <f t="shared" si="105"/>
        <v>0</v>
      </c>
      <c r="W88" s="62"/>
      <c r="X88" s="299" t="s">
        <v>34</v>
      </c>
      <c r="Y88" s="7"/>
      <c r="Z88" s="7"/>
      <c r="AA88" s="7"/>
      <c r="AB88" s="13"/>
      <c r="AC88" s="13"/>
      <c r="AD88" s="13"/>
    </row>
    <row r="89" ht="14.25">
      <c r="A89" s="92"/>
      <c r="B89" s="53">
        <v>46160</v>
      </c>
      <c r="C89" s="53"/>
      <c r="D89" s="53">
        <v>46161</v>
      </c>
      <c r="E89" s="53"/>
      <c r="F89" s="53">
        <v>46162</v>
      </c>
      <c r="G89" s="53"/>
      <c r="H89" s="53">
        <v>46163</v>
      </c>
      <c r="I89" s="53"/>
      <c r="J89" s="53">
        <v>46164</v>
      </c>
      <c r="K89" s="53"/>
      <c r="L89" s="53">
        <v>46165</v>
      </c>
      <c r="M89" s="53"/>
      <c r="N89" s="53">
        <v>46166</v>
      </c>
      <c r="O89" s="54"/>
      <c r="P89" s="68"/>
      <c r="Q89" s="67"/>
      <c r="R89" s="297"/>
      <c r="S89" s="138"/>
      <c r="T89" s="138"/>
      <c r="U89" s="60" t="s">
        <v>27</v>
      </c>
      <c r="V89" s="61" t="s">
        <v>28</v>
      </c>
      <c r="W89" s="62" t="s">
        <v>29</v>
      </c>
      <c r="X89" s="7"/>
      <c r="Y89" s="7"/>
      <c r="Z89" s="7"/>
      <c r="AA89" s="7"/>
      <c r="AB89" s="13"/>
      <c r="AC89" s="13"/>
      <c r="AD89" s="13"/>
    </row>
    <row r="90" ht="14.25">
      <c r="A90" s="314"/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14"/>
      <c r="M90" s="314"/>
      <c r="N90" s="314"/>
      <c r="O90" s="314"/>
      <c r="P90" s="314"/>
      <c r="Q90" s="98"/>
      <c r="R90" s="139"/>
      <c r="S90" s="139"/>
      <c r="T90" s="139"/>
      <c r="U90" s="127"/>
      <c r="V90" s="127"/>
      <c r="W90" s="128"/>
      <c r="X90" s="7"/>
      <c r="Y90" s="7"/>
      <c r="Z90" s="7"/>
      <c r="AA90" s="7"/>
      <c r="AB90" s="13"/>
      <c r="AC90" s="13"/>
      <c r="AD90" s="13"/>
    </row>
    <row r="91" ht="14.25">
      <c r="A91" s="52"/>
      <c r="B91" s="56" t="s">
        <v>17</v>
      </c>
      <c r="C91" s="116"/>
      <c r="D91" s="56" t="s">
        <v>18</v>
      </c>
      <c r="E91" s="116"/>
      <c r="F91" s="56" t="s">
        <v>19</v>
      </c>
      <c r="G91" s="56"/>
      <c r="H91" s="56" t="s">
        <v>20</v>
      </c>
      <c r="I91" s="116"/>
      <c r="J91" s="129" t="s">
        <v>21</v>
      </c>
      <c r="K91" s="129"/>
      <c r="L91" s="56" t="s">
        <v>22</v>
      </c>
      <c r="M91" s="56"/>
      <c r="N91" s="56" t="s">
        <v>23</v>
      </c>
      <c r="O91" s="56"/>
      <c r="P91" s="404" t="s">
        <v>24</v>
      </c>
      <c r="Q91" s="405"/>
      <c r="R91" s="406"/>
      <c r="S91" s="143"/>
      <c r="T91" s="143"/>
      <c r="U91" s="62"/>
      <c r="V91" s="62"/>
      <c r="W91" s="62"/>
      <c r="X91" s="51"/>
      <c r="Y91" s="7"/>
      <c r="Z91" s="7"/>
      <c r="AA91" s="7"/>
      <c r="AB91" s="13"/>
      <c r="AC91" s="13"/>
      <c r="AD91" s="13"/>
    </row>
    <row r="92" ht="14.25">
      <c r="A92" s="407"/>
      <c r="B92" s="53">
        <v>46167</v>
      </c>
      <c r="C92" s="53"/>
      <c r="D92" s="53">
        <v>46168</v>
      </c>
      <c r="E92" s="53"/>
      <c r="F92" s="53">
        <v>46169</v>
      </c>
      <c r="G92" s="53"/>
      <c r="H92" s="53">
        <v>46170</v>
      </c>
      <c r="I92" s="53"/>
      <c r="J92" s="53">
        <v>46171</v>
      </c>
      <c r="K92" s="53"/>
      <c r="L92" s="53">
        <v>46172</v>
      </c>
      <c r="M92" s="53"/>
      <c r="N92" s="469">
        <v>46173</v>
      </c>
      <c r="O92" s="54"/>
      <c r="P92" s="408" t="s">
        <v>25</v>
      </c>
      <c r="Q92" s="409" t="s">
        <v>26</v>
      </c>
      <c r="R92" s="410"/>
      <c r="S92" s="147"/>
      <c r="T92" s="147"/>
      <c r="U92" s="60" t="s">
        <v>27</v>
      </c>
      <c r="V92" s="61" t="s">
        <v>28</v>
      </c>
      <c r="W92" s="62" t="s">
        <v>29</v>
      </c>
      <c r="X92" s="63" t="s">
        <v>30</v>
      </c>
      <c r="Y92" s="7"/>
      <c r="Z92" s="7"/>
      <c r="AA92" s="7"/>
      <c r="AB92" s="13"/>
      <c r="AC92" s="13"/>
      <c r="AD92" s="13"/>
    </row>
    <row r="93" ht="14.25">
      <c r="A93" s="203" t="s">
        <v>35</v>
      </c>
      <c r="B93" s="354"/>
      <c r="C93" s="354" t="s">
        <v>33</v>
      </c>
      <c r="D93" s="354"/>
      <c r="E93" s="354" t="s">
        <v>33</v>
      </c>
      <c r="F93" s="354"/>
      <c r="G93" s="354" t="s">
        <v>33</v>
      </c>
      <c r="H93" s="354"/>
      <c r="I93" s="354" t="s">
        <v>33</v>
      </c>
      <c r="J93" s="354"/>
      <c r="K93" s="354" t="s">
        <v>33</v>
      </c>
      <c r="L93" s="66"/>
      <c r="M93" s="66"/>
      <c r="N93" s="66"/>
      <c r="O93" s="66"/>
      <c r="P93" s="218">
        <f t="shared" si="106"/>
        <v>40</v>
      </c>
      <c r="Q93" s="62">
        <f t="shared" si="103"/>
        <v>-1</v>
      </c>
      <c r="R93" s="219" t="str">
        <f t="shared" si="107"/>
        <v>Рычков</v>
      </c>
      <c r="S93" s="76" t="s">
        <v>10</v>
      </c>
      <c r="T93" s="77" t="s">
        <v>9</v>
      </c>
      <c r="U93" s="73">
        <f t="shared" si="104"/>
        <v>0</v>
      </c>
      <c r="V93" s="62">
        <f t="shared" si="105"/>
        <v>0</v>
      </c>
      <c r="W93" s="62"/>
      <c r="X93" s="74" t="s">
        <v>34</v>
      </c>
      <c r="Y93" s="7"/>
      <c r="Z93" s="7"/>
      <c r="AA93" s="7"/>
      <c r="AB93" s="13"/>
      <c r="AC93" s="13"/>
      <c r="AD93" s="13"/>
    </row>
    <row r="94" ht="14.25">
      <c r="A94" s="203" t="s">
        <v>61</v>
      </c>
      <c r="B94" s="354"/>
      <c r="C94" s="354" t="s">
        <v>33</v>
      </c>
      <c r="D94" s="354"/>
      <c r="E94" s="354" t="s">
        <v>33</v>
      </c>
      <c r="F94" s="354"/>
      <c r="G94" s="354" t="s">
        <v>33</v>
      </c>
      <c r="H94" s="354"/>
      <c r="I94" s="354" t="s">
        <v>33</v>
      </c>
      <c r="J94" s="354"/>
      <c r="K94" s="354" t="s">
        <v>33</v>
      </c>
      <c r="L94" s="66"/>
      <c r="M94" s="66"/>
      <c r="N94" s="67"/>
      <c r="O94" s="67"/>
      <c r="P94" s="218">
        <f t="shared" si="106"/>
        <v>40</v>
      </c>
      <c r="Q94" s="62">
        <f t="shared" si="103"/>
        <v>-1</v>
      </c>
      <c r="R94" s="219" t="str">
        <f t="shared" si="107"/>
        <v>Карузина</v>
      </c>
      <c r="S94" s="76" t="s">
        <v>10</v>
      </c>
      <c r="T94" s="77" t="s">
        <v>9</v>
      </c>
      <c r="U94" s="73">
        <f t="shared" si="104"/>
        <v>0</v>
      </c>
      <c r="V94" s="62">
        <f t="shared" si="105"/>
        <v>0</v>
      </c>
      <c r="W94" s="62"/>
      <c r="X94" s="79" t="s">
        <v>34</v>
      </c>
      <c r="Y94" s="7"/>
      <c r="Z94" s="7"/>
      <c r="AA94" s="7"/>
      <c r="AB94" s="13"/>
      <c r="AC94" s="13"/>
      <c r="AD94" s="13"/>
    </row>
    <row r="95" ht="14.25">
      <c r="A95" s="203" t="s">
        <v>39</v>
      </c>
      <c r="B95" s="354"/>
      <c r="C95" s="354" t="s">
        <v>33</v>
      </c>
      <c r="D95" s="354"/>
      <c r="E95" s="354" t="s">
        <v>33</v>
      </c>
      <c r="F95" s="354"/>
      <c r="G95" s="354" t="s">
        <v>33</v>
      </c>
      <c r="H95" s="354"/>
      <c r="I95" s="354" t="s">
        <v>33</v>
      </c>
      <c r="J95" s="354"/>
      <c r="K95" s="354" t="s">
        <v>33</v>
      </c>
      <c r="L95" s="66"/>
      <c r="M95" s="66"/>
      <c r="N95" s="66"/>
      <c r="O95" s="66"/>
      <c r="P95" s="218">
        <f t="shared" si="106"/>
        <v>40</v>
      </c>
      <c r="Q95" s="62">
        <f t="shared" si="103"/>
        <v>-1</v>
      </c>
      <c r="R95" s="219" t="str">
        <f t="shared" si="107"/>
        <v>Игумнов</v>
      </c>
      <c r="S95" s="76" t="s">
        <v>10</v>
      </c>
      <c r="T95" s="77" t="s">
        <v>9</v>
      </c>
      <c r="U95" s="73">
        <f t="shared" si="104"/>
        <v>0</v>
      </c>
      <c r="V95" s="62">
        <f t="shared" si="105"/>
        <v>0</v>
      </c>
      <c r="W95" s="62"/>
      <c r="X95" s="74" t="s">
        <v>38</v>
      </c>
      <c r="Y95" s="7"/>
      <c r="Z95" s="7"/>
      <c r="AA95" s="7"/>
      <c r="AB95" s="13"/>
      <c r="AC95" s="13"/>
      <c r="AD95" s="13"/>
    </row>
    <row r="96" ht="14.25">
      <c r="A96" s="203" t="s">
        <v>40</v>
      </c>
      <c r="B96" s="354"/>
      <c r="C96" s="354" t="s">
        <v>33</v>
      </c>
      <c r="D96" s="354"/>
      <c r="E96" s="354" t="s">
        <v>33</v>
      </c>
      <c r="F96" s="354"/>
      <c r="G96" s="354" t="s">
        <v>33</v>
      </c>
      <c r="H96" s="354"/>
      <c r="I96" s="354" t="s">
        <v>33</v>
      </c>
      <c r="J96" s="354"/>
      <c r="K96" s="354" t="s">
        <v>33</v>
      </c>
      <c r="L96" s="66"/>
      <c r="M96" s="66"/>
      <c r="N96" s="66"/>
      <c r="O96" s="66"/>
      <c r="P96" s="218">
        <f t="shared" si="106"/>
        <v>40</v>
      </c>
      <c r="Q96" s="62">
        <f t="shared" si="103"/>
        <v>-1</v>
      </c>
      <c r="R96" s="219" t="str">
        <f t="shared" si="107"/>
        <v>Душин</v>
      </c>
      <c r="S96" s="76" t="s">
        <v>58</v>
      </c>
      <c r="T96" s="77" t="s">
        <v>59</v>
      </c>
      <c r="U96" s="73">
        <f t="shared" si="104"/>
        <v>0</v>
      </c>
      <c r="V96" s="62">
        <f t="shared" si="105"/>
        <v>0</v>
      </c>
      <c r="W96" s="62"/>
      <c r="X96" s="74" t="s">
        <v>34</v>
      </c>
      <c r="Y96" s="7"/>
      <c r="Z96" s="7"/>
      <c r="AA96" s="7"/>
      <c r="AB96" s="13"/>
      <c r="AC96" s="13"/>
      <c r="AD96" s="13"/>
    </row>
    <row r="97" ht="14.25">
      <c r="A97" s="203" t="s">
        <v>31</v>
      </c>
      <c r="B97" s="354"/>
      <c r="C97" s="354" t="s">
        <v>33</v>
      </c>
      <c r="D97" s="354"/>
      <c r="E97" s="354" t="s">
        <v>33</v>
      </c>
      <c r="F97" s="354"/>
      <c r="G97" s="354" t="s">
        <v>33</v>
      </c>
      <c r="H97" s="354"/>
      <c r="I97" s="354" t="s">
        <v>33</v>
      </c>
      <c r="J97" s="354"/>
      <c r="K97" s="354" t="s">
        <v>33</v>
      </c>
      <c r="L97" s="66"/>
      <c r="M97" s="66"/>
      <c r="N97" s="66"/>
      <c r="O97" s="66"/>
      <c r="P97" s="218">
        <f t="shared" si="106"/>
        <v>40</v>
      </c>
      <c r="Q97" s="62">
        <f t="shared" si="103"/>
        <v>-1</v>
      </c>
      <c r="R97" s="219" t="str">
        <f t="shared" si="107"/>
        <v>Нетронин</v>
      </c>
      <c r="S97" s="76" t="s">
        <v>58</v>
      </c>
      <c r="T97" s="77" t="s">
        <v>59</v>
      </c>
      <c r="U97" s="73">
        <f t="shared" si="104"/>
        <v>0</v>
      </c>
      <c r="V97" s="62">
        <f t="shared" si="105"/>
        <v>0</v>
      </c>
      <c r="W97" s="62"/>
      <c r="X97" s="74" t="s">
        <v>34</v>
      </c>
      <c r="Y97" s="7"/>
      <c r="Z97" s="7"/>
      <c r="AA97" s="7"/>
      <c r="AB97" s="13"/>
      <c r="AC97" s="13"/>
      <c r="AD97" s="13"/>
    </row>
    <row r="98" ht="14.25">
      <c r="A98" s="203" t="s">
        <v>62</v>
      </c>
      <c r="B98" s="354"/>
      <c r="C98" s="354" t="s">
        <v>33</v>
      </c>
      <c r="D98" s="354"/>
      <c r="E98" s="354" t="s">
        <v>33</v>
      </c>
      <c r="F98" s="354"/>
      <c r="G98" s="354" t="s">
        <v>33</v>
      </c>
      <c r="H98" s="354"/>
      <c r="I98" s="354" t="s">
        <v>33</v>
      </c>
      <c r="J98" s="354"/>
      <c r="K98" s="354" t="s">
        <v>33</v>
      </c>
      <c r="L98" s="66"/>
      <c r="M98" s="66"/>
      <c r="N98" s="66"/>
      <c r="O98" s="66"/>
      <c r="P98" s="218">
        <f t="shared" si="106"/>
        <v>40</v>
      </c>
      <c r="Q98" s="62">
        <f t="shared" si="103"/>
        <v>-1</v>
      </c>
      <c r="R98" s="219" t="str">
        <f t="shared" si="107"/>
        <v>Раимова</v>
      </c>
      <c r="S98" s="76" t="s">
        <v>10</v>
      </c>
      <c r="T98" s="77" t="s">
        <v>9</v>
      </c>
      <c r="U98" s="73">
        <f t="shared" si="104"/>
        <v>0</v>
      </c>
      <c r="V98" s="62">
        <f t="shared" si="105"/>
        <v>0</v>
      </c>
      <c r="W98" s="62"/>
      <c r="X98" s="74" t="s">
        <v>38</v>
      </c>
      <c r="Y98" s="7"/>
      <c r="Z98" s="7"/>
      <c r="AA98" s="7"/>
      <c r="AB98" s="13"/>
      <c r="AC98" s="13"/>
      <c r="AD98" s="13"/>
    </row>
    <row r="99" ht="14.25">
      <c r="A99" s="203" t="s">
        <v>63</v>
      </c>
      <c r="B99" s="354"/>
      <c r="C99" s="354" t="s">
        <v>33</v>
      </c>
      <c r="D99" s="354"/>
      <c r="E99" s="354" t="s">
        <v>33</v>
      </c>
      <c r="F99" s="354"/>
      <c r="G99" s="354" t="s">
        <v>33</v>
      </c>
      <c r="H99" s="354"/>
      <c r="I99" s="354" t="s">
        <v>33</v>
      </c>
      <c r="J99" s="354"/>
      <c r="K99" s="354" t="s">
        <v>33</v>
      </c>
      <c r="L99" s="66"/>
      <c r="M99" s="66"/>
      <c r="N99" s="66"/>
      <c r="O99" s="66"/>
      <c r="P99" s="218">
        <f t="shared" si="106"/>
        <v>40</v>
      </c>
      <c r="Q99" s="62">
        <f t="shared" si="103"/>
        <v>-1</v>
      </c>
      <c r="R99" s="219" t="str">
        <f t="shared" si="107"/>
        <v>Войтехович</v>
      </c>
      <c r="S99" s="76" t="s">
        <v>10</v>
      </c>
      <c r="T99" s="77" t="s">
        <v>9</v>
      </c>
      <c r="U99" s="73">
        <f t="shared" si="104"/>
        <v>0</v>
      </c>
      <c r="V99" s="62">
        <f t="shared" si="105"/>
        <v>0</v>
      </c>
      <c r="W99" s="62"/>
      <c r="X99" s="74" t="s">
        <v>38</v>
      </c>
      <c r="Y99" s="7"/>
      <c r="Z99" s="7"/>
      <c r="AA99" s="7"/>
      <c r="AB99" s="13"/>
      <c r="AC99" s="13"/>
      <c r="AD99" s="13"/>
    </row>
    <row r="100" ht="14.25">
      <c r="A100" s="203" t="s">
        <v>64</v>
      </c>
      <c r="B100" s="354"/>
      <c r="C100" s="354" t="s">
        <v>33</v>
      </c>
      <c r="D100" s="354"/>
      <c r="E100" s="354" t="s">
        <v>33</v>
      </c>
      <c r="F100" s="354"/>
      <c r="G100" s="354" t="s">
        <v>33</v>
      </c>
      <c r="H100" s="354"/>
      <c r="I100" s="354" t="s">
        <v>33</v>
      </c>
      <c r="J100" s="354"/>
      <c r="K100" s="354" t="s">
        <v>33</v>
      </c>
      <c r="L100" s="458"/>
      <c r="M100" s="458"/>
      <c r="N100" s="458"/>
      <c r="O100" s="458"/>
      <c r="P100" s="218">
        <f t="shared" si="106"/>
        <v>40</v>
      </c>
      <c r="Q100" s="62">
        <f t="shared" ref="Q100:Q108" si="108">Q80-P100</f>
        <v>-1</v>
      </c>
      <c r="R100" s="219" t="str">
        <f t="shared" si="107"/>
        <v>Васильев</v>
      </c>
      <c r="S100" s="71" t="s">
        <v>12</v>
      </c>
      <c r="T100" s="72" t="s">
        <v>11</v>
      </c>
      <c r="U100" s="73">
        <f t="shared" si="104"/>
        <v>0</v>
      </c>
      <c r="V100" s="62">
        <f t="shared" si="105"/>
        <v>0</v>
      </c>
      <c r="W100" s="62"/>
      <c r="X100" s="434" t="s">
        <v>44</v>
      </c>
      <c r="Y100" s="7"/>
      <c r="Z100" s="7"/>
      <c r="AA100" s="7"/>
      <c r="AB100" s="13"/>
      <c r="AC100" s="13"/>
      <c r="AD100" s="13"/>
    </row>
    <row r="101" ht="14.25">
      <c r="A101" s="205" t="s">
        <v>43</v>
      </c>
      <c r="B101" s="458"/>
      <c r="C101" s="458"/>
      <c r="D101" s="458"/>
      <c r="E101" s="458"/>
      <c r="F101" s="76"/>
      <c r="G101" s="361">
        <v>11</v>
      </c>
      <c r="H101" s="76"/>
      <c r="I101" s="361">
        <v>11</v>
      </c>
      <c r="J101" s="458"/>
      <c r="K101" s="458"/>
      <c r="L101" s="458"/>
      <c r="M101" s="458"/>
      <c r="N101" s="77"/>
      <c r="O101" s="359">
        <v>11</v>
      </c>
      <c r="P101" s="218">
        <f t="shared" si="106"/>
        <v>33</v>
      </c>
      <c r="Q101" s="62">
        <f t="shared" si="108"/>
        <v>-25</v>
      </c>
      <c r="R101" s="219" t="str">
        <f t="shared" si="107"/>
        <v>Дащенко</v>
      </c>
      <c r="S101" s="76" t="s">
        <v>10</v>
      </c>
      <c r="T101" s="77" t="s">
        <v>9</v>
      </c>
      <c r="U101" s="73">
        <f t="shared" si="104"/>
        <v>0</v>
      </c>
      <c r="V101" s="62">
        <f t="shared" si="105"/>
        <v>0</v>
      </c>
      <c r="W101" s="62"/>
      <c r="X101" s="74" t="s">
        <v>34</v>
      </c>
      <c r="Y101" s="7"/>
      <c r="Z101" s="7"/>
      <c r="AA101" s="7"/>
      <c r="AB101" s="13"/>
      <c r="AC101" s="13"/>
      <c r="AD101" s="13"/>
    </row>
    <row r="102" ht="14.25">
      <c r="A102" s="205" t="s">
        <v>45</v>
      </c>
      <c r="B102" s="76"/>
      <c r="C102" s="363">
        <v>11</v>
      </c>
      <c r="D102" s="76"/>
      <c r="E102" s="363">
        <v>11</v>
      </c>
      <c r="F102" s="67"/>
      <c r="G102" s="362"/>
      <c r="H102" s="458"/>
      <c r="I102" s="458"/>
      <c r="J102" s="458"/>
      <c r="K102" s="458"/>
      <c r="L102" s="76"/>
      <c r="M102" s="361">
        <v>11</v>
      </c>
      <c r="N102" s="76"/>
      <c r="O102" s="361">
        <v>11</v>
      </c>
      <c r="P102" s="218">
        <f t="shared" si="106"/>
        <v>44</v>
      </c>
      <c r="Q102" s="62">
        <f t="shared" si="108"/>
        <v>-14</v>
      </c>
      <c r="R102" s="219" t="str">
        <f t="shared" si="107"/>
        <v>Пузырь</v>
      </c>
      <c r="S102" s="76" t="s">
        <v>10</v>
      </c>
      <c r="T102" s="77" t="s">
        <v>9</v>
      </c>
      <c r="U102" s="73">
        <f t="shared" si="104"/>
        <v>0</v>
      </c>
      <c r="V102" s="62">
        <f t="shared" si="105"/>
        <v>0</v>
      </c>
      <c r="W102" s="62"/>
      <c r="X102" s="74" t="s">
        <v>34</v>
      </c>
      <c r="Y102" s="7"/>
      <c r="Z102" s="7"/>
      <c r="AA102" s="7"/>
      <c r="AB102" s="13"/>
      <c r="AC102" s="13"/>
      <c r="AD102" s="13"/>
    </row>
    <row r="103" ht="14.25">
      <c r="A103" s="205" t="s">
        <v>65</v>
      </c>
      <c r="B103" s="76"/>
      <c r="C103" s="361">
        <v>11</v>
      </c>
      <c r="D103" s="458"/>
      <c r="E103" s="458"/>
      <c r="F103" s="458"/>
      <c r="G103" s="458"/>
      <c r="H103" s="67"/>
      <c r="I103" s="362"/>
      <c r="J103" s="77"/>
      <c r="K103" s="359">
        <v>11</v>
      </c>
      <c r="L103" s="251"/>
      <c r="M103" s="359">
        <v>11</v>
      </c>
      <c r="N103" s="458"/>
      <c r="O103" s="458"/>
      <c r="P103" s="218">
        <f t="shared" si="106"/>
        <v>33</v>
      </c>
      <c r="Q103" s="62">
        <f t="shared" si="108"/>
        <v>-21</v>
      </c>
      <c r="R103" s="219" t="str">
        <f t="shared" si="107"/>
        <v>Рожнева</v>
      </c>
      <c r="S103" s="76" t="s">
        <v>10</v>
      </c>
      <c r="T103" s="77" t="s">
        <v>9</v>
      </c>
      <c r="U103" s="73">
        <f t="shared" si="104"/>
        <v>0</v>
      </c>
      <c r="V103" s="62">
        <f t="shared" si="105"/>
        <v>0</v>
      </c>
      <c r="W103" s="62"/>
      <c r="X103" s="74" t="s">
        <v>34</v>
      </c>
      <c r="Y103" s="7"/>
      <c r="Z103" s="7"/>
      <c r="AA103" s="7"/>
      <c r="AB103" s="13"/>
      <c r="AC103" s="13"/>
      <c r="AD103" s="13"/>
    </row>
    <row r="104" ht="14.25">
      <c r="A104" s="205" t="s">
        <v>47</v>
      </c>
      <c r="B104" s="458"/>
      <c r="C104" s="458"/>
      <c r="D104" s="76"/>
      <c r="E104" s="361">
        <v>11</v>
      </c>
      <c r="F104" s="76"/>
      <c r="G104" s="361">
        <v>11</v>
      </c>
      <c r="H104" s="458"/>
      <c r="I104" s="458"/>
      <c r="J104" s="458"/>
      <c r="K104" s="458"/>
      <c r="L104" s="77"/>
      <c r="M104" s="359">
        <v>11</v>
      </c>
      <c r="N104" s="77"/>
      <c r="O104" s="359">
        <v>11</v>
      </c>
      <c r="P104" s="218">
        <f t="shared" si="106"/>
        <v>44</v>
      </c>
      <c r="Q104" s="62">
        <f t="shared" si="108"/>
        <v>-25</v>
      </c>
      <c r="R104" s="219" t="str">
        <f t="shared" si="107"/>
        <v>Торубара</v>
      </c>
      <c r="S104" s="76" t="s">
        <v>10</v>
      </c>
      <c r="T104" s="77" t="s">
        <v>9</v>
      </c>
      <c r="U104" s="73">
        <f t="shared" si="104"/>
        <v>0</v>
      </c>
      <c r="V104" s="62">
        <f t="shared" si="105"/>
        <v>0</v>
      </c>
      <c r="W104" s="62"/>
      <c r="X104" s="74" t="s">
        <v>34</v>
      </c>
      <c r="Y104" s="7"/>
      <c r="Z104" s="7"/>
      <c r="AA104" s="7"/>
      <c r="AB104" s="13"/>
      <c r="AC104" s="13"/>
      <c r="AD104" s="13"/>
    </row>
    <row r="105" ht="14.25">
      <c r="A105" s="205" t="s">
        <v>48</v>
      </c>
      <c r="B105" s="77"/>
      <c r="C105" s="359">
        <v>11</v>
      </c>
      <c r="D105" s="458"/>
      <c r="E105" s="458"/>
      <c r="F105" s="458"/>
      <c r="G105" s="458"/>
      <c r="H105" s="76"/>
      <c r="I105" s="361">
        <v>11</v>
      </c>
      <c r="J105" s="76"/>
      <c r="K105" s="361">
        <v>11</v>
      </c>
      <c r="L105" s="261"/>
      <c r="M105" s="362"/>
      <c r="N105" s="458"/>
      <c r="O105" s="458"/>
      <c r="P105" s="218">
        <f t="shared" si="106"/>
        <v>33</v>
      </c>
      <c r="Q105" s="62">
        <f t="shared" si="108"/>
        <v>-3</v>
      </c>
      <c r="R105" s="219" t="str">
        <f t="shared" si="107"/>
        <v>Стрыгин</v>
      </c>
      <c r="S105" s="71" t="s">
        <v>8</v>
      </c>
      <c r="T105" s="72" t="s">
        <v>7</v>
      </c>
      <c r="U105" s="73">
        <f t="shared" si="104"/>
        <v>0</v>
      </c>
      <c r="V105" s="62">
        <f t="shared" si="105"/>
        <v>0</v>
      </c>
      <c r="W105" s="62"/>
      <c r="X105" s="74" t="s">
        <v>49</v>
      </c>
      <c r="Y105" s="7"/>
      <c r="Z105" s="7"/>
      <c r="AA105" s="7"/>
      <c r="AB105" s="13"/>
      <c r="AC105" s="13"/>
      <c r="AD105" s="13"/>
    </row>
    <row r="106" ht="14.25">
      <c r="A106" s="205" t="s">
        <v>50</v>
      </c>
      <c r="B106" s="458"/>
      <c r="C106" s="458"/>
      <c r="D106" s="292"/>
      <c r="E106" s="359">
        <v>11</v>
      </c>
      <c r="F106" s="251"/>
      <c r="G106" s="359">
        <v>11</v>
      </c>
      <c r="H106" s="292"/>
      <c r="I106" s="451">
        <v>11</v>
      </c>
      <c r="J106" s="458"/>
      <c r="K106" s="458"/>
      <c r="L106" s="67"/>
      <c r="M106" s="362"/>
      <c r="N106" s="76"/>
      <c r="O106" s="361">
        <v>11</v>
      </c>
      <c r="P106" s="218">
        <f t="shared" si="106"/>
        <v>44</v>
      </c>
      <c r="Q106" s="62">
        <f t="shared" si="108"/>
        <v>-14</v>
      </c>
      <c r="R106" s="219" t="str">
        <f t="shared" si="107"/>
        <v>Фрик</v>
      </c>
      <c r="S106" s="71" t="s">
        <v>12</v>
      </c>
      <c r="T106" s="72" t="s">
        <v>11</v>
      </c>
      <c r="U106" s="73">
        <f t="shared" si="104"/>
        <v>0</v>
      </c>
      <c r="V106" s="62">
        <f t="shared" si="105"/>
        <v>0</v>
      </c>
      <c r="W106" s="62"/>
      <c r="X106" s="74" t="s">
        <v>44</v>
      </c>
      <c r="Y106" s="7"/>
      <c r="Z106" s="7"/>
      <c r="AA106" s="7"/>
      <c r="AB106" s="13"/>
      <c r="AC106" s="13"/>
      <c r="AD106" s="13"/>
    </row>
    <row r="107" ht="14.25">
      <c r="A107" s="206" t="s">
        <v>51</v>
      </c>
      <c r="B107" s="77"/>
      <c r="C107" s="470">
        <v>11</v>
      </c>
      <c r="D107" s="77"/>
      <c r="E107" s="470">
        <v>11</v>
      </c>
      <c r="F107" s="471"/>
      <c r="G107" s="472"/>
      <c r="H107" s="471"/>
      <c r="I107" s="472"/>
      <c r="J107" s="76"/>
      <c r="K107" s="473">
        <v>11</v>
      </c>
      <c r="L107" s="76"/>
      <c r="M107" s="473">
        <v>11</v>
      </c>
      <c r="N107" s="471"/>
      <c r="O107" s="472"/>
      <c r="P107" s="218">
        <f t="shared" si="106"/>
        <v>44</v>
      </c>
      <c r="Q107" s="62">
        <f t="shared" si="108"/>
        <v>-21</v>
      </c>
      <c r="R107" s="219" t="str">
        <f t="shared" si="107"/>
        <v>Истрашкин</v>
      </c>
      <c r="S107" s="71" t="s">
        <v>10</v>
      </c>
      <c r="T107" s="72" t="s">
        <v>9</v>
      </c>
      <c r="U107" s="73">
        <f t="shared" si="104"/>
        <v>0</v>
      </c>
      <c r="V107" s="62">
        <f t="shared" si="105"/>
        <v>0</v>
      </c>
      <c r="W107" s="62"/>
      <c r="X107" s="74" t="s">
        <v>34</v>
      </c>
      <c r="Y107" s="7"/>
      <c r="Z107" s="7"/>
      <c r="AA107" s="7"/>
      <c r="AB107" s="13"/>
      <c r="AC107" s="13"/>
      <c r="AD107" s="13"/>
    </row>
    <row r="108" ht="14.25">
      <c r="A108" s="397" t="s">
        <v>66</v>
      </c>
      <c r="B108" s="76"/>
      <c r="C108" s="363">
        <v>11</v>
      </c>
      <c r="D108" s="458"/>
      <c r="E108" s="458">
        <v>0.5</v>
      </c>
      <c r="F108" s="458"/>
      <c r="G108" s="458"/>
      <c r="H108" s="300"/>
      <c r="I108" s="359">
        <v>12</v>
      </c>
      <c r="J108" s="300"/>
      <c r="K108" s="474">
        <v>11</v>
      </c>
      <c r="L108" s="449"/>
      <c r="M108" s="450"/>
      <c r="N108" s="458"/>
      <c r="O108" s="458"/>
      <c r="P108" s="220">
        <f t="shared" si="106"/>
        <v>34.5</v>
      </c>
      <c r="Q108" s="221">
        <f t="shared" si="108"/>
        <v>-1.5</v>
      </c>
      <c r="R108" s="219" t="str">
        <f t="shared" si="107"/>
        <v>Качаев</v>
      </c>
      <c r="S108" s="71" t="s">
        <v>10</v>
      </c>
      <c r="T108" s="72" t="s">
        <v>9</v>
      </c>
      <c r="U108" s="73">
        <f t="shared" si="104"/>
        <v>0</v>
      </c>
      <c r="V108" s="62">
        <f t="shared" si="105"/>
        <v>0</v>
      </c>
      <c r="W108" s="62"/>
      <c r="X108" s="299" t="s">
        <v>34</v>
      </c>
      <c r="Y108" s="7"/>
      <c r="Z108" s="7"/>
      <c r="AA108" s="7"/>
      <c r="AB108" s="13"/>
      <c r="AC108" s="13"/>
      <c r="AD108" s="13"/>
    </row>
    <row r="109" ht="14.25">
      <c r="A109" s="92"/>
      <c r="B109" s="53">
        <v>46167</v>
      </c>
      <c r="C109" s="53"/>
      <c r="D109" s="53">
        <v>46168</v>
      </c>
      <c r="E109" s="53"/>
      <c r="F109" s="53">
        <v>46169</v>
      </c>
      <c r="G109" s="53"/>
      <c r="H109" s="53">
        <v>46170</v>
      </c>
      <c r="I109" s="53"/>
      <c r="J109" s="53">
        <v>46171</v>
      </c>
      <c r="K109" s="53"/>
      <c r="L109" s="53">
        <v>46172</v>
      </c>
      <c r="M109" s="53"/>
      <c r="N109" s="53">
        <v>46173</v>
      </c>
      <c r="O109" s="54"/>
      <c r="P109" s="68"/>
      <c r="Q109" s="67"/>
      <c r="R109" s="422"/>
      <c r="S109" s="138"/>
      <c r="T109" s="138"/>
      <c r="U109" s="60" t="s">
        <v>27</v>
      </c>
      <c r="V109" s="61" t="s">
        <v>28</v>
      </c>
      <c r="W109" s="286" t="s">
        <v>29</v>
      </c>
      <c r="X109" s="314"/>
      <c r="Y109" s="7"/>
      <c r="Z109" s="7"/>
      <c r="AA109" s="7"/>
      <c r="AB109" s="13"/>
      <c r="AC109" s="13"/>
      <c r="AD109" s="13"/>
    </row>
    <row r="110" ht="14.25">
      <c r="A110" s="475"/>
      <c r="B110" s="475"/>
      <c r="C110" s="475"/>
      <c r="D110" s="475"/>
      <c r="E110" s="475"/>
      <c r="F110" s="475"/>
      <c r="G110" s="475"/>
      <c r="H110" s="475"/>
      <c r="I110" s="475"/>
      <c r="J110" s="475"/>
      <c r="K110" s="475"/>
      <c r="L110" s="475"/>
      <c r="M110" s="475"/>
      <c r="N110" s="475"/>
      <c r="O110" s="475"/>
      <c r="P110" s="475"/>
      <c r="Q110" s="476"/>
      <c r="R110" s="477"/>
      <c r="S110" s="477"/>
      <c r="T110" s="477"/>
      <c r="U110" s="478"/>
      <c r="V110" s="478"/>
      <c r="W110" s="479"/>
      <c r="X110" s="7"/>
      <c r="Y110" s="7"/>
      <c r="Z110" s="7"/>
      <c r="AA110" s="7"/>
      <c r="AB110" s="13"/>
      <c r="AC110" s="13"/>
      <c r="AD110" s="13"/>
    </row>
    <row r="111" ht="14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7"/>
      <c r="Q644" s="153"/>
      <c r="R644" s="7"/>
      <c r="S644" s="7"/>
      <c r="T644" s="7"/>
      <c r="U644" s="153"/>
      <c r="V644" s="153"/>
      <c r="W644" s="12"/>
      <c r="X644" s="7"/>
      <c r="Y644" s="7"/>
      <c r="Z644" s="7"/>
      <c r="AA644" s="7"/>
      <c r="AB644" s="13"/>
      <c r="AC644" s="13"/>
      <c r="AD644" s="13"/>
    </row>
    <row r="645" ht="14.4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7"/>
      <c r="Q645" s="153"/>
      <c r="R645" s="7"/>
      <c r="S645" s="7"/>
      <c r="T645" s="7"/>
      <c r="U645" s="153"/>
      <c r="V645" s="153"/>
      <c r="W645" s="12"/>
      <c r="X645" s="7"/>
      <c r="Y645" s="7"/>
      <c r="Z645" s="7"/>
      <c r="AA645" s="7"/>
      <c r="AB645" s="13"/>
      <c r="AC645" s="13"/>
      <c r="AD645" s="13"/>
    </row>
    <row r="646" ht="14.4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7"/>
      <c r="Q646" s="153"/>
      <c r="R646" s="7"/>
      <c r="S646" s="7"/>
      <c r="T646" s="7"/>
      <c r="U646" s="153"/>
      <c r="V646" s="153"/>
      <c r="W646" s="12"/>
      <c r="X646" s="7"/>
      <c r="Y646" s="7"/>
      <c r="Z646" s="7"/>
      <c r="AA646" s="7"/>
      <c r="AB646" s="13"/>
      <c r="AC646" s="13"/>
      <c r="AD646" s="13"/>
    </row>
    <row r="647" ht="14.4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7"/>
      <c r="Q647" s="153"/>
      <c r="R647" s="7"/>
      <c r="S647" s="7"/>
      <c r="T647" s="7"/>
      <c r="U647" s="153"/>
      <c r="V647" s="153"/>
      <c r="W647" s="12"/>
      <c r="X647" s="7"/>
      <c r="Y647" s="7"/>
      <c r="Z647" s="7"/>
      <c r="AA647" s="7"/>
      <c r="AB647" s="13"/>
      <c r="AC647" s="13"/>
      <c r="AD647" s="13"/>
    </row>
    <row r="648" ht="14.4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7"/>
      <c r="Q648" s="153"/>
      <c r="R648" s="7"/>
      <c r="S648" s="7"/>
      <c r="T648" s="7"/>
      <c r="U648" s="153"/>
      <c r="V648" s="153"/>
      <c r="W648" s="12"/>
      <c r="X648" s="7"/>
      <c r="Y648" s="7"/>
      <c r="Z648" s="7"/>
      <c r="AA648" s="7"/>
      <c r="AB648" s="13"/>
      <c r="AC648" s="13"/>
      <c r="AD648" s="13"/>
    </row>
    <row r="649" ht="14.4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7"/>
      <c r="Q649" s="153"/>
      <c r="R649" s="7"/>
      <c r="S649" s="7"/>
      <c r="T649" s="7"/>
      <c r="U649" s="153"/>
      <c r="V649" s="153"/>
      <c r="W649" s="12"/>
      <c r="X649" s="7"/>
      <c r="Y649" s="7"/>
      <c r="Z649" s="7"/>
      <c r="AA649" s="7"/>
      <c r="AB649" s="13"/>
      <c r="AC649" s="13"/>
      <c r="AD649" s="13"/>
    </row>
    <row r="650" ht="14.4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7"/>
      <c r="Q650" s="153"/>
      <c r="R650" s="7"/>
      <c r="S650" s="7"/>
      <c r="T650" s="7"/>
      <c r="U650" s="153"/>
      <c r="V650" s="153"/>
      <c r="W650" s="12"/>
      <c r="X650" s="7"/>
      <c r="Y650" s="7"/>
      <c r="Z650" s="7"/>
      <c r="AA650" s="7"/>
      <c r="AB650" s="13"/>
      <c r="AC650" s="13"/>
      <c r="AD650" s="13"/>
    </row>
    <row r="651" ht="14.4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7"/>
      <c r="Q651" s="153"/>
      <c r="R651" s="7"/>
      <c r="S651" s="7"/>
      <c r="T651" s="7"/>
      <c r="U651" s="153"/>
      <c r="V651" s="153"/>
      <c r="W651" s="12"/>
      <c r="X651" s="7"/>
      <c r="Y651" s="7"/>
      <c r="Z651" s="7"/>
      <c r="AA651" s="7"/>
      <c r="AB651" s="13"/>
      <c r="AC651" s="13"/>
      <c r="AD651" s="13"/>
    </row>
    <row r="652" ht="14.4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7"/>
      <c r="Q652" s="153"/>
      <c r="R652" s="7"/>
      <c r="S652" s="7"/>
      <c r="T652" s="7"/>
      <c r="U652" s="153"/>
      <c r="V652" s="153"/>
      <c r="W652" s="12"/>
      <c r="X652" s="7"/>
      <c r="Y652" s="7"/>
      <c r="Z652" s="7"/>
      <c r="AA652" s="7"/>
      <c r="AB652" s="13"/>
      <c r="AC652" s="13"/>
      <c r="AD652" s="13"/>
    </row>
    <row r="653" ht="14.4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7"/>
      <c r="Q653" s="153"/>
      <c r="R653" s="7"/>
      <c r="S653" s="7"/>
      <c r="T653" s="7"/>
      <c r="U653" s="153"/>
      <c r="V653" s="153"/>
      <c r="W653" s="12"/>
      <c r="X653" s="7"/>
      <c r="Y653" s="7"/>
      <c r="Z653" s="7"/>
      <c r="AA653" s="7"/>
      <c r="AB653" s="13"/>
      <c r="AC653" s="13"/>
      <c r="AD653" s="13"/>
    </row>
    <row r="654" ht="14.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7"/>
      <c r="Q654" s="153"/>
      <c r="R654" s="7"/>
      <c r="S654" s="7"/>
      <c r="T654" s="7"/>
      <c r="U654" s="153"/>
      <c r="V654" s="153"/>
      <c r="W654" s="12"/>
      <c r="X654" s="7"/>
      <c r="Y654" s="7"/>
      <c r="Z654" s="7"/>
      <c r="AA654" s="7"/>
      <c r="AB654" s="13"/>
      <c r="AC654" s="13"/>
      <c r="AD654" s="13"/>
    </row>
    <row r="655" ht="14.4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7"/>
      <c r="Q655" s="153"/>
      <c r="R655" s="7"/>
      <c r="S655" s="7"/>
      <c r="T655" s="7"/>
      <c r="U655" s="153"/>
      <c r="V655" s="153"/>
      <c r="W655" s="12"/>
      <c r="X655" s="7"/>
      <c r="Y655" s="7"/>
      <c r="Z655" s="7"/>
      <c r="AA655" s="7"/>
      <c r="AB655" s="13"/>
      <c r="AC655" s="13"/>
      <c r="AD655" s="13"/>
    </row>
    <row r="656" ht="14.4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7"/>
      <c r="Q656" s="153"/>
      <c r="R656" s="7"/>
      <c r="S656" s="7"/>
      <c r="T656" s="7"/>
      <c r="U656" s="153"/>
      <c r="V656" s="153"/>
      <c r="W656" s="12"/>
      <c r="X656" s="7"/>
      <c r="Y656" s="7"/>
      <c r="Z656" s="7"/>
      <c r="AA656" s="7"/>
      <c r="AB656" s="13"/>
      <c r="AC656" s="13"/>
      <c r="AD656" s="13"/>
    </row>
    <row r="657" ht="14.4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7"/>
      <c r="Q657" s="153"/>
      <c r="R657" s="7"/>
      <c r="S657" s="7"/>
      <c r="T657" s="7"/>
      <c r="U657" s="153"/>
      <c r="V657" s="153"/>
      <c r="W657" s="12"/>
      <c r="X657" s="7"/>
      <c r="Y657" s="7"/>
      <c r="Z657" s="7"/>
      <c r="AA657" s="7"/>
      <c r="AB657" s="13"/>
      <c r="AC657" s="13"/>
      <c r="AD657" s="13"/>
    </row>
    <row r="658" ht="14.4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7"/>
      <c r="Q658" s="153"/>
      <c r="R658" s="7"/>
      <c r="S658" s="7"/>
      <c r="T658" s="7"/>
      <c r="U658" s="153"/>
      <c r="V658" s="153"/>
      <c r="W658" s="12"/>
      <c r="X658" s="7"/>
      <c r="Y658" s="7"/>
      <c r="Z658" s="7"/>
      <c r="AA658" s="7"/>
      <c r="AB658" s="13"/>
      <c r="AC658" s="13"/>
      <c r="AD658" s="13"/>
    </row>
    <row r="659" ht="14.4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7"/>
      <c r="Q659" s="153"/>
      <c r="R659" s="7"/>
      <c r="S659" s="7"/>
      <c r="T659" s="7"/>
      <c r="U659" s="153"/>
      <c r="V659" s="153"/>
      <c r="W659" s="12"/>
      <c r="X659" s="7"/>
      <c r="Y659" s="7"/>
      <c r="Z659" s="7"/>
      <c r="AA659" s="7"/>
      <c r="AB659" s="13"/>
      <c r="AC659" s="13"/>
      <c r="AD659" s="13"/>
    </row>
    <row r="660" ht="14.4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7"/>
      <c r="Q660" s="153"/>
      <c r="R660" s="7"/>
      <c r="S660" s="7"/>
      <c r="T660" s="7"/>
      <c r="U660" s="153"/>
      <c r="V660" s="153"/>
      <c r="W660" s="12"/>
      <c r="X660" s="7"/>
      <c r="Y660" s="7"/>
      <c r="Z660" s="7"/>
      <c r="AA660" s="7"/>
      <c r="AB660" s="13"/>
      <c r="AC660" s="13"/>
      <c r="AD660" s="13"/>
    </row>
    <row r="661" ht="14.4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7"/>
      <c r="Q661" s="153"/>
      <c r="R661" s="7"/>
      <c r="S661" s="7"/>
      <c r="T661" s="7"/>
      <c r="U661" s="153"/>
      <c r="V661" s="153"/>
      <c r="W661" s="12"/>
      <c r="X661" s="7"/>
      <c r="Y661" s="7"/>
      <c r="Z661" s="7"/>
      <c r="AA661" s="7"/>
      <c r="AB661" s="13"/>
      <c r="AC661" s="13"/>
      <c r="AD661" s="13"/>
    </row>
    <row r="662" ht="14.4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7"/>
      <c r="Q662" s="153"/>
      <c r="R662" s="7"/>
      <c r="S662" s="7"/>
      <c r="T662" s="7"/>
      <c r="U662" s="153"/>
      <c r="V662" s="153"/>
      <c r="W662" s="12"/>
      <c r="X662" s="7"/>
      <c r="Y662" s="7"/>
      <c r="Z662" s="7"/>
      <c r="AA662" s="7"/>
      <c r="AB662" s="13"/>
      <c r="AC662" s="13"/>
      <c r="AD662" s="13"/>
    </row>
    <row r="663" ht="14.4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7"/>
      <c r="Q663" s="153"/>
      <c r="R663" s="7"/>
      <c r="S663" s="7"/>
      <c r="T663" s="7"/>
      <c r="U663" s="153"/>
      <c r="V663" s="153"/>
      <c r="W663" s="12"/>
      <c r="X663" s="7"/>
      <c r="Y663" s="7"/>
      <c r="Z663" s="7"/>
      <c r="AA663" s="7"/>
      <c r="AB663" s="13"/>
      <c r="AC663" s="13"/>
      <c r="AD663" s="13"/>
    </row>
    <row r="664" ht="14.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7"/>
      <c r="Q664" s="153"/>
      <c r="R664" s="7"/>
      <c r="S664" s="7"/>
      <c r="T664" s="7"/>
      <c r="U664" s="153"/>
      <c r="V664" s="153"/>
      <c r="W664" s="12"/>
      <c r="X664" s="7"/>
      <c r="Y664" s="7"/>
      <c r="Z664" s="7"/>
      <c r="AA664" s="7"/>
      <c r="AB664" s="13"/>
      <c r="AC664" s="13"/>
      <c r="AD664" s="13"/>
    </row>
    <row r="665" ht="14.4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7"/>
      <c r="Q665" s="153"/>
      <c r="R665" s="7"/>
      <c r="S665" s="7"/>
      <c r="T665" s="7"/>
      <c r="U665" s="153"/>
      <c r="V665" s="153"/>
      <c r="W665" s="12"/>
      <c r="X665" s="21"/>
      <c r="Y665" s="7"/>
      <c r="Z665" s="7"/>
      <c r="AA665" s="7"/>
      <c r="AB665" s="13"/>
      <c r="AC665" s="13"/>
      <c r="AD665" s="13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54"/>
      <c r="R666" s="21"/>
      <c r="S666" s="21"/>
      <c r="T666" s="21"/>
      <c r="U666" s="154"/>
      <c r="V666" s="154"/>
      <c r="W666" s="154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54"/>
      <c r="R667" s="21"/>
      <c r="S667" s="21"/>
      <c r="T667" s="21"/>
      <c r="U667" s="154"/>
      <c r="V667" s="154"/>
      <c r="W667" s="154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54"/>
      <c r="R668" s="21"/>
      <c r="S668" s="21"/>
      <c r="T668" s="21"/>
      <c r="U668" s="154"/>
      <c r="V668" s="154"/>
      <c r="W668" s="154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54"/>
      <c r="R669" s="21"/>
      <c r="S669" s="21"/>
      <c r="T669" s="21"/>
      <c r="U669" s="154"/>
      <c r="V669" s="154"/>
      <c r="W669" s="154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54"/>
      <c r="R670" s="21"/>
      <c r="S670" s="21"/>
      <c r="T670" s="21"/>
      <c r="U670" s="154"/>
      <c r="V670" s="154"/>
      <c r="W670" s="154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54"/>
      <c r="R671" s="21"/>
      <c r="S671" s="21"/>
      <c r="T671" s="21"/>
      <c r="U671" s="154"/>
      <c r="V671" s="154"/>
      <c r="W671" s="154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54"/>
      <c r="R672" s="21"/>
      <c r="S672" s="21"/>
      <c r="T672" s="21"/>
      <c r="U672" s="154"/>
      <c r="V672" s="154"/>
      <c r="W672" s="154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54"/>
      <c r="R673" s="21"/>
      <c r="S673" s="21"/>
      <c r="T673" s="21"/>
      <c r="U673" s="154"/>
      <c r="V673" s="154"/>
      <c r="W673" s="154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54"/>
      <c r="R674" s="21"/>
      <c r="S674" s="21"/>
      <c r="T674" s="21"/>
      <c r="U674" s="154"/>
      <c r="V674" s="154"/>
      <c r="W674" s="154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54"/>
      <c r="R675" s="21"/>
      <c r="S675" s="21"/>
      <c r="T675" s="21"/>
      <c r="U675" s="154"/>
      <c r="V675" s="154"/>
      <c r="W675" s="154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54"/>
      <c r="R676" s="21"/>
      <c r="S676" s="21"/>
      <c r="T676" s="21"/>
      <c r="U676" s="154"/>
      <c r="V676" s="154"/>
      <c r="W676" s="154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54"/>
      <c r="R677" s="21"/>
      <c r="S677" s="21"/>
      <c r="T677" s="21"/>
      <c r="U677" s="154"/>
      <c r="V677" s="154"/>
      <c r="W677" s="154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54"/>
      <c r="R678" s="21"/>
      <c r="S678" s="21"/>
      <c r="T678" s="21"/>
      <c r="U678" s="154"/>
      <c r="V678" s="154"/>
      <c r="W678" s="154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54"/>
      <c r="R679" s="21"/>
      <c r="S679" s="21"/>
      <c r="T679" s="21"/>
      <c r="U679" s="154"/>
      <c r="V679" s="154"/>
      <c r="W679" s="154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54"/>
      <c r="R680" s="21"/>
      <c r="S680" s="21"/>
      <c r="T680" s="21"/>
      <c r="U680" s="154"/>
      <c r="V680" s="154"/>
      <c r="W680" s="154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54"/>
      <c r="R681" s="21"/>
      <c r="S681" s="21"/>
      <c r="T681" s="21"/>
      <c r="U681" s="154"/>
      <c r="V681" s="154"/>
      <c r="W681" s="154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54"/>
      <c r="R682" s="21"/>
      <c r="S682" s="21"/>
      <c r="T682" s="21"/>
      <c r="U682" s="154"/>
      <c r="V682" s="154"/>
      <c r="W682" s="154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54"/>
      <c r="R683" s="21"/>
      <c r="S683" s="21"/>
      <c r="T683" s="21"/>
      <c r="U683" s="154"/>
      <c r="V683" s="154"/>
      <c r="W683" s="154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54"/>
      <c r="R684" s="21"/>
      <c r="S684" s="21"/>
      <c r="T684" s="21"/>
      <c r="U684" s="154"/>
      <c r="V684" s="154"/>
      <c r="W684" s="154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54"/>
      <c r="R685" s="21"/>
      <c r="S685" s="21"/>
      <c r="T685" s="21"/>
      <c r="U685" s="154"/>
      <c r="V685" s="154"/>
      <c r="W685" s="154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154"/>
      <c r="R815" s="21"/>
      <c r="S815" s="21"/>
      <c r="T815" s="21"/>
      <c r="U815" s="154"/>
      <c r="V815" s="154"/>
      <c r="W815" s="154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154"/>
      <c r="R816" s="21"/>
      <c r="S816" s="21"/>
      <c r="T816" s="21"/>
      <c r="U816" s="154"/>
      <c r="V816" s="154"/>
      <c r="W816" s="154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154"/>
      <c r="R817" s="21"/>
      <c r="S817" s="21"/>
      <c r="T817" s="21"/>
      <c r="U817" s="154"/>
      <c r="V817" s="154"/>
      <c r="W817" s="154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154"/>
      <c r="R818" s="21"/>
      <c r="S818" s="21"/>
      <c r="T818" s="21"/>
      <c r="U818" s="154"/>
      <c r="V818" s="154"/>
      <c r="W818" s="154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154"/>
      <c r="R819" s="21"/>
      <c r="S819" s="21"/>
      <c r="T819" s="21"/>
      <c r="U819" s="154"/>
      <c r="V819" s="154"/>
      <c r="W819" s="154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154"/>
      <c r="R820" s="21"/>
      <c r="S820" s="21"/>
      <c r="T820" s="21"/>
      <c r="U820" s="154"/>
      <c r="V820" s="154"/>
      <c r="W820" s="154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154"/>
      <c r="R821" s="21"/>
      <c r="S821" s="21"/>
      <c r="T821" s="21"/>
      <c r="U821" s="154"/>
      <c r="V821" s="154"/>
      <c r="W821" s="154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154"/>
      <c r="R822" s="21"/>
      <c r="S822" s="21"/>
      <c r="T822" s="21"/>
      <c r="U822" s="154"/>
      <c r="V822" s="154"/>
      <c r="W822" s="154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154"/>
      <c r="R823" s="21"/>
      <c r="S823" s="21"/>
      <c r="T823" s="21"/>
      <c r="U823" s="154"/>
      <c r="V823" s="154"/>
      <c r="W823" s="154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154"/>
      <c r="R824" s="21"/>
      <c r="S824" s="21"/>
      <c r="T824" s="21"/>
      <c r="U824" s="154"/>
      <c r="V824" s="154"/>
      <c r="W824" s="154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154"/>
      <c r="R825" s="21"/>
      <c r="S825" s="21"/>
      <c r="T825" s="21"/>
      <c r="U825" s="154"/>
      <c r="V825" s="154"/>
      <c r="W825" s="154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154"/>
      <c r="R826" s="21"/>
      <c r="S826" s="21"/>
      <c r="T826" s="21"/>
      <c r="U826" s="154"/>
      <c r="V826" s="154"/>
      <c r="W826" s="154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154"/>
      <c r="R827" s="21"/>
      <c r="S827" s="21"/>
      <c r="T827" s="21"/>
      <c r="U827" s="154"/>
      <c r="V827" s="154"/>
      <c r="W827" s="154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154"/>
      <c r="R828" s="21"/>
      <c r="S828" s="21"/>
      <c r="T828" s="21"/>
      <c r="U828" s="154"/>
      <c r="V828" s="154"/>
      <c r="W828" s="154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154"/>
      <c r="R829" s="21"/>
      <c r="S829" s="21"/>
      <c r="T829" s="21"/>
      <c r="U829" s="154"/>
      <c r="V829" s="154"/>
      <c r="W829" s="154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154"/>
      <c r="R830" s="21"/>
      <c r="S830" s="21"/>
      <c r="T830" s="21"/>
      <c r="U830" s="154"/>
      <c r="V830" s="154"/>
      <c r="W830" s="154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154"/>
      <c r="R831" s="21"/>
      <c r="S831" s="21"/>
      <c r="T831" s="21"/>
      <c r="U831" s="154"/>
      <c r="V831" s="154"/>
      <c r="W831" s="154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154"/>
      <c r="R832" s="21"/>
      <c r="S832" s="21"/>
      <c r="T832" s="21"/>
      <c r="U832" s="154"/>
      <c r="V832" s="154"/>
      <c r="W832" s="154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154"/>
      <c r="R833" s="21"/>
      <c r="S833" s="21"/>
      <c r="T833" s="21"/>
      <c r="U833" s="154"/>
      <c r="V833" s="154"/>
      <c r="W833" s="154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154"/>
      <c r="R834" s="21"/>
      <c r="S834" s="21"/>
      <c r="T834" s="21"/>
      <c r="U834" s="154"/>
      <c r="V834" s="154"/>
      <c r="W834" s="154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154"/>
      <c r="R835" s="21"/>
      <c r="S835" s="21"/>
      <c r="T835" s="21"/>
      <c r="U835" s="154"/>
      <c r="V835" s="154"/>
      <c r="W835" s="154"/>
      <c r="X835" s="21"/>
      <c r="Y835" s="21"/>
      <c r="Z835" s="21"/>
      <c r="AA835" s="21"/>
      <c r="AB835" s="21"/>
      <c r="AC835" s="21"/>
      <c r="AD835" s="21"/>
    </row>
  </sheetData>
  <mergeCells count="15">
    <mergeCell ref="F1:J1"/>
    <mergeCell ref="L1:N5"/>
    <mergeCell ref="F2:K5"/>
    <mergeCell ref="N6:P7"/>
    <mergeCell ref="F7:J7"/>
    <mergeCell ref="A9:Q9"/>
    <mergeCell ref="U9:V9"/>
    <mergeCell ref="P10:Q10"/>
    <mergeCell ref="U10:V10"/>
    <mergeCell ref="A29:Q29"/>
    <mergeCell ref="P30:Q30"/>
    <mergeCell ref="A50:Q50"/>
    <mergeCell ref="P51:Q51"/>
    <mergeCell ref="P71:Q71"/>
    <mergeCell ref="P91:Q91"/>
  </mergeCells>
  <printOptions headings="1" gridLines="1"/>
  <pageMargins left="0.70078740157480324" right="0.70078740157480324" top="0.75196850393700787" bottom="0.75196850393700787" header="0.29999999999999999" footer="0.29999999999999999"/>
  <pageSetup paperSize="58" scale="100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59" zoomScale="100" workbookViewId="0">
      <selection activeCell="B79" activeCellId="0" sqref="B79:O93"/>
    </sheetView>
  </sheetViews>
  <sheetFormatPr defaultRowHeight="13.5"/>
  <cols>
    <col customWidth="1" min="1" max="1" width="14.5546875"/>
    <col customWidth="1" min="2" max="2" width="12.44140625"/>
    <col customWidth="1" min="3" max="3" width="4.88671875"/>
    <col customWidth="1" min="4" max="4" width="12.44140625"/>
    <col customWidth="1" min="5" max="5" width="5.88671875"/>
    <col customWidth="1" min="6" max="6" width="11.6640625"/>
    <col customWidth="1" min="7" max="7" width="5.5546875"/>
    <col customWidth="1" min="8" max="8" width="11.44140625"/>
    <col customWidth="1" min="9" max="9" style="154" width="5.44140625"/>
    <col customWidth="1" min="10" max="10" width="11.33203125"/>
    <col customWidth="1" min="11" max="11" width="6.109375"/>
    <col customWidth="1" min="12" max="12" width="11.5546875"/>
    <col customWidth="1" min="13" max="13" width="5.88671875"/>
    <col customWidth="1" min="14" max="14" width="11.88671875"/>
    <col customWidth="1" min="15" max="15" width="5.44140625"/>
    <col customWidth="1" min="18" max="18" width="12.44140625"/>
    <col customWidth="1" min="21" max="22" width="6.33203125"/>
    <col customWidth="1" min="23" max="23" width="8.33203125"/>
  </cols>
  <sheetData>
    <row r="1" s="21" customFormat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25">
      <c r="A2" s="14"/>
      <c r="B2" s="15" t="s">
        <v>3</v>
      </c>
      <c r="C2" s="15" t="s">
        <v>4</v>
      </c>
      <c r="D2" s="16" t="s">
        <v>5</v>
      </c>
      <c r="E2" s="16" t="s">
        <v>4</v>
      </c>
      <c r="F2" s="6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25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25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25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25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25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155"/>
      <c r="E8" s="155"/>
      <c r="F8" s="30"/>
      <c r="G8" s="30"/>
      <c r="H8" s="31" t="s">
        <v>13</v>
      </c>
      <c r="I8" s="480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s="21" customFormat="1" ht="14.25">
      <c r="A10" s="143"/>
      <c r="B10" s="214" t="s">
        <v>17</v>
      </c>
      <c r="C10" s="481"/>
      <c r="D10" s="214" t="s">
        <v>18</v>
      </c>
      <c r="E10" s="481"/>
      <c r="F10" s="214" t="s">
        <v>19</v>
      </c>
      <c r="G10" s="214"/>
      <c r="H10" s="214" t="s">
        <v>20</v>
      </c>
      <c r="I10" s="481"/>
      <c r="J10" s="482" t="s">
        <v>21</v>
      </c>
      <c r="K10" s="482"/>
      <c r="L10" s="214" t="s">
        <v>22</v>
      </c>
      <c r="M10" s="214"/>
      <c r="N10" s="214" t="s">
        <v>23</v>
      </c>
      <c r="O10" s="214"/>
      <c r="P10" s="208" t="s">
        <v>24</v>
      </c>
      <c r="Q10" s="209"/>
      <c r="R10" s="143">
        <v>176</v>
      </c>
      <c r="S10" s="143"/>
      <c r="T10" s="143"/>
      <c r="U10" s="286">
        <v>176</v>
      </c>
      <c r="V10" s="90"/>
      <c r="W10" s="62"/>
      <c r="X10" s="51"/>
      <c r="Y10" s="7"/>
      <c r="Z10" s="7"/>
      <c r="AA10" s="7"/>
      <c r="AB10" s="13"/>
      <c r="AC10" s="13"/>
      <c r="AD10" s="13"/>
    </row>
    <row r="11" s="21" customFormat="1" ht="14.25">
      <c r="A11" s="143"/>
      <c r="B11" s="438">
        <v>46111</v>
      </c>
      <c r="C11" s="438"/>
      <c r="D11" s="438">
        <v>46112</v>
      </c>
      <c r="E11" s="438"/>
      <c r="F11" s="438">
        <v>46113</v>
      </c>
      <c r="G11" s="438"/>
      <c r="H11" s="438">
        <v>46114</v>
      </c>
      <c r="I11" s="438"/>
      <c r="J11" s="438">
        <v>46115</v>
      </c>
      <c r="K11" s="438"/>
      <c r="L11" s="438">
        <v>46116</v>
      </c>
      <c r="M11" s="438"/>
      <c r="N11" s="438">
        <v>46117</v>
      </c>
      <c r="O11" s="440"/>
      <c r="P11" s="309" t="s">
        <v>25</v>
      </c>
      <c r="Q11" s="214" t="s">
        <v>26</v>
      </c>
      <c r="R11" s="249"/>
      <c r="S11" s="147"/>
      <c r="T11" s="147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s="21" customFormat="1" ht="14.25">
      <c r="A12" s="203" t="s">
        <v>35</v>
      </c>
      <c r="B12" s="65"/>
      <c r="C12" s="65"/>
      <c r="D12" s="65"/>
      <c r="E12" s="65"/>
      <c r="F12" s="354" t="s">
        <v>32</v>
      </c>
      <c r="G12" s="354" t="s">
        <v>33</v>
      </c>
      <c r="H12" s="354" t="s">
        <v>32</v>
      </c>
      <c r="I12" s="354" t="s">
        <v>33</v>
      </c>
      <c r="J12" s="354" t="s">
        <v>32</v>
      </c>
      <c r="K12" s="354" t="s">
        <v>33</v>
      </c>
      <c r="L12" s="66"/>
      <c r="M12" s="66"/>
      <c r="N12" s="66"/>
      <c r="O12" s="66"/>
      <c r="P12" s="218">
        <f t="shared" ref="P12:P75" si="109">C12+E12+G12+I12+K12+M12+O12</f>
        <v>24</v>
      </c>
      <c r="Q12" s="62">
        <f>R10-P12</f>
        <v>152</v>
      </c>
      <c r="R12" s="219" t="str">
        <f t="shared" ref="R12:R75" si="110">A12</f>
        <v>Рычков</v>
      </c>
      <c r="S12" s="76" t="s">
        <v>10</v>
      </c>
      <c r="T12" s="77" t="s">
        <v>9</v>
      </c>
      <c r="U12" s="73">
        <f t="shared" ref="U12:U75" si="111">COUNTIF(T12,B12)+COUNTIF(T12,D12)+COUNTIF(T12,F12)+COUNTIF(T12,H12)+COUNTIF(T12,J12)+COUNTIF(T12,L12)+COUNTIF(T12,N12)</f>
        <v>0</v>
      </c>
      <c r="V12" s="62">
        <f t="shared" ref="V12:V75" si="112">COUNTIF(S12,B12)+COUNTIF(S12,D12)+COUNTIF(S12,F12)+COUNTIF(S12,H12)+COUNTIF(S12,J12)+COUNTIF(S12,L12)+COUNTIF(S12,N12)</f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s="21" customFormat="1" ht="14.4" hidden="1">
      <c r="A13" s="203" t="s">
        <v>61</v>
      </c>
      <c r="B13" s="66"/>
      <c r="C13" s="66"/>
      <c r="D13" s="66"/>
      <c r="E13" s="66"/>
      <c r="F13" s="354" t="s">
        <v>32</v>
      </c>
      <c r="G13" s="354" t="s">
        <v>33</v>
      </c>
      <c r="H13" s="354" t="s">
        <v>32</v>
      </c>
      <c r="I13" s="354" t="s">
        <v>33</v>
      </c>
      <c r="J13" s="354" t="s">
        <v>32</v>
      </c>
      <c r="K13" s="354" t="s">
        <v>33</v>
      </c>
      <c r="L13" s="66"/>
      <c r="M13" s="66"/>
      <c r="N13" s="67"/>
      <c r="O13" s="67"/>
      <c r="P13" s="218">
        <f t="shared" si="109"/>
        <v>24</v>
      </c>
      <c r="Q13" s="62">
        <f>R10-P13</f>
        <v>152</v>
      </c>
      <c r="R13" s="219" t="str">
        <f t="shared" si="110"/>
        <v>Карузина</v>
      </c>
      <c r="S13" s="76" t="s">
        <v>10</v>
      </c>
      <c r="T13" s="77" t="s">
        <v>9</v>
      </c>
      <c r="U13" s="73">
        <f t="shared" si="111"/>
        <v>0</v>
      </c>
      <c r="V13" s="62">
        <f t="shared" si="112"/>
        <v>0</v>
      </c>
      <c r="W13" s="62"/>
      <c r="X13" s="79" t="s">
        <v>49</v>
      </c>
      <c r="Y13" s="7"/>
      <c r="Z13" s="7"/>
      <c r="AA13" s="7"/>
      <c r="AB13" s="13"/>
      <c r="AC13" s="13"/>
      <c r="AD13" s="13"/>
    </row>
    <row r="14" s="21" customFormat="1" ht="14.25">
      <c r="A14" s="203" t="s">
        <v>39</v>
      </c>
      <c r="B14" s="65"/>
      <c r="C14" s="65"/>
      <c r="D14" s="65"/>
      <c r="E14" s="65"/>
      <c r="F14" s="354" t="s">
        <v>32</v>
      </c>
      <c r="G14" s="354" t="s">
        <v>33</v>
      </c>
      <c r="H14" s="354" t="s">
        <v>32</v>
      </c>
      <c r="I14" s="354" t="s">
        <v>33</v>
      </c>
      <c r="J14" s="354" t="s">
        <v>32</v>
      </c>
      <c r="K14" s="354" t="s">
        <v>33</v>
      </c>
      <c r="L14" s="66"/>
      <c r="M14" s="66"/>
      <c r="N14" s="66"/>
      <c r="O14" s="66"/>
      <c r="P14" s="218">
        <f t="shared" si="109"/>
        <v>24</v>
      </c>
      <c r="Q14" s="62">
        <f>R10-P14</f>
        <v>152</v>
      </c>
      <c r="R14" s="219" t="str">
        <f t="shared" si="110"/>
        <v>Игумнов</v>
      </c>
      <c r="S14" s="76" t="s">
        <v>10</v>
      </c>
      <c r="T14" s="77" t="s">
        <v>9</v>
      </c>
      <c r="U14" s="73">
        <f t="shared" si="111"/>
        <v>0</v>
      </c>
      <c r="V14" s="62">
        <f t="shared" si="112"/>
        <v>0</v>
      </c>
      <c r="W14" s="62"/>
      <c r="X14" s="79" t="s">
        <v>34</v>
      </c>
      <c r="Y14" s="7"/>
      <c r="Z14" s="7"/>
      <c r="AA14" s="7"/>
      <c r="AB14" s="13"/>
      <c r="AC14" s="13"/>
      <c r="AD14" s="13"/>
    </row>
    <row r="15" s="21" customFormat="1" ht="14.25">
      <c r="A15" s="203" t="s">
        <v>40</v>
      </c>
      <c r="B15" s="65"/>
      <c r="C15" s="65"/>
      <c r="D15" s="65"/>
      <c r="E15" s="65"/>
      <c r="F15" s="354" t="s">
        <v>32</v>
      </c>
      <c r="G15" s="354" t="s">
        <v>33</v>
      </c>
      <c r="H15" s="354" t="s">
        <v>32</v>
      </c>
      <c r="I15" s="354" t="s">
        <v>33</v>
      </c>
      <c r="J15" s="354" t="s">
        <v>32</v>
      </c>
      <c r="K15" s="354" t="s">
        <v>33</v>
      </c>
      <c r="L15" s="66"/>
      <c r="M15" s="66"/>
      <c r="N15" s="66"/>
      <c r="O15" s="66"/>
      <c r="P15" s="218">
        <f t="shared" si="109"/>
        <v>24</v>
      </c>
      <c r="Q15" s="62">
        <f>R10-P15</f>
        <v>152</v>
      </c>
      <c r="R15" s="219" t="str">
        <f t="shared" si="110"/>
        <v>Душин</v>
      </c>
      <c r="S15" s="76" t="s">
        <v>10</v>
      </c>
      <c r="T15" s="77" t="s">
        <v>9</v>
      </c>
      <c r="U15" s="73">
        <f t="shared" si="111"/>
        <v>0</v>
      </c>
      <c r="V15" s="62">
        <f t="shared" si="112"/>
        <v>0</v>
      </c>
      <c r="W15" s="62"/>
      <c r="X15" s="74" t="s">
        <v>38</v>
      </c>
      <c r="Y15" s="7"/>
      <c r="Z15" s="7"/>
      <c r="AA15" s="7"/>
      <c r="AB15" s="13"/>
      <c r="AC15" s="13"/>
      <c r="AD15" s="13"/>
    </row>
    <row r="16" s="21" customFormat="1" ht="14.25">
      <c r="A16" s="203" t="s">
        <v>31</v>
      </c>
      <c r="B16" s="354"/>
      <c r="C16" s="354"/>
      <c r="D16" s="198"/>
      <c r="E16" s="199"/>
      <c r="F16" s="354" t="s">
        <v>32</v>
      </c>
      <c r="G16" s="354" t="s">
        <v>33</v>
      </c>
      <c r="H16" s="354" t="s">
        <v>32</v>
      </c>
      <c r="I16" s="354" t="s">
        <v>33</v>
      </c>
      <c r="J16" s="354" t="s">
        <v>32</v>
      </c>
      <c r="K16" s="354" t="s">
        <v>33</v>
      </c>
      <c r="L16" s="66"/>
      <c r="M16" s="66"/>
      <c r="N16" s="66"/>
      <c r="O16" s="66"/>
      <c r="P16" s="218">
        <f t="shared" si="109"/>
        <v>24</v>
      </c>
      <c r="Q16" s="62">
        <f>R10-P16</f>
        <v>152</v>
      </c>
      <c r="R16" s="219" t="str">
        <f t="shared" si="110"/>
        <v>Нетронин</v>
      </c>
      <c r="S16" s="76" t="s">
        <v>58</v>
      </c>
      <c r="T16" s="77" t="s">
        <v>59</v>
      </c>
      <c r="U16" s="73"/>
      <c r="V16" s="62"/>
      <c r="W16" s="62"/>
      <c r="X16" s="74" t="s">
        <v>34</v>
      </c>
      <c r="Y16" s="7"/>
      <c r="Z16" s="7"/>
      <c r="AA16" s="7"/>
      <c r="AB16" s="13"/>
      <c r="AC16" s="13"/>
      <c r="AD16" s="13"/>
    </row>
    <row r="17" s="21" customFormat="1" ht="14.25">
      <c r="A17" s="203" t="s">
        <v>62</v>
      </c>
      <c r="B17" s="65"/>
      <c r="C17" s="65"/>
      <c r="D17" s="65"/>
      <c r="E17" s="65"/>
      <c r="F17" s="354" t="s">
        <v>32</v>
      </c>
      <c r="G17" s="354" t="s">
        <v>33</v>
      </c>
      <c r="H17" s="354" t="s">
        <v>32</v>
      </c>
      <c r="I17" s="354" t="s">
        <v>33</v>
      </c>
      <c r="J17" s="354" t="s">
        <v>32</v>
      </c>
      <c r="K17" s="354" t="s">
        <v>33</v>
      </c>
      <c r="L17" s="66"/>
      <c r="M17" s="66"/>
      <c r="N17" s="66"/>
      <c r="O17" s="66"/>
      <c r="P17" s="218">
        <f t="shared" si="109"/>
        <v>24</v>
      </c>
      <c r="Q17" s="62">
        <f>R10-P17</f>
        <v>152</v>
      </c>
      <c r="R17" s="219" t="str">
        <f t="shared" si="110"/>
        <v>Раимова</v>
      </c>
      <c r="S17" s="76" t="s">
        <v>10</v>
      </c>
      <c r="T17" s="77" t="s">
        <v>9</v>
      </c>
      <c r="U17" s="73"/>
      <c r="V17" s="62"/>
      <c r="W17" s="62"/>
      <c r="X17" s="74" t="s">
        <v>38</v>
      </c>
      <c r="Y17" s="7"/>
      <c r="Z17" s="7"/>
      <c r="AA17" s="7"/>
      <c r="AB17" s="13"/>
      <c r="AC17" s="13"/>
      <c r="AD17" s="13"/>
    </row>
    <row r="18" s="21" customFormat="1" ht="14.25">
      <c r="A18" s="203" t="s">
        <v>63</v>
      </c>
      <c r="B18" s="65"/>
      <c r="C18" s="65"/>
      <c r="D18" s="65"/>
      <c r="E18" s="65"/>
      <c r="F18" s="354" t="s">
        <v>32</v>
      </c>
      <c r="G18" s="354" t="s">
        <v>33</v>
      </c>
      <c r="H18" s="354" t="s">
        <v>32</v>
      </c>
      <c r="I18" s="354" t="s">
        <v>33</v>
      </c>
      <c r="J18" s="354" t="s">
        <v>32</v>
      </c>
      <c r="K18" s="457" t="s">
        <v>33</v>
      </c>
      <c r="L18" s="66"/>
      <c r="M18" s="66"/>
      <c r="N18" s="66"/>
      <c r="O18" s="66"/>
      <c r="P18" s="218">
        <f t="shared" si="109"/>
        <v>24</v>
      </c>
      <c r="Q18" s="62">
        <f>R10-P18</f>
        <v>152</v>
      </c>
      <c r="R18" s="219" t="str">
        <f t="shared" si="110"/>
        <v>Войтехович</v>
      </c>
      <c r="S18" s="76" t="s">
        <v>58</v>
      </c>
      <c r="T18" s="77" t="s">
        <v>59</v>
      </c>
      <c r="U18" s="73"/>
      <c r="V18" s="62"/>
      <c r="W18" s="62"/>
      <c r="X18" s="74" t="s">
        <v>34</v>
      </c>
      <c r="Y18" s="7"/>
      <c r="Z18" s="7"/>
      <c r="AA18" s="7"/>
      <c r="AB18" s="13"/>
      <c r="AC18" s="13"/>
      <c r="AD18" s="13"/>
    </row>
    <row r="19" s="21" customFormat="1" ht="14.25">
      <c r="A19" s="203" t="s">
        <v>61</v>
      </c>
      <c r="B19" s="65"/>
      <c r="C19" s="65"/>
      <c r="D19" s="65"/>
      <c r="E19" s="65"/>
      <c r="F19" s="354" t="s">
        <v>32</v>
      </c>
      <c r="G19" s="354" t="s">
        <v>33</v>
      </c>
      <c r="H19" s="354" t="s">
        <v>32</v>
      </c>
      <c r="I19" s="354" t="s">
        <v>33</v>
      </c>
      <c r="J19" s="354" t="s">
        <v>32</v>
      </c>
      <c r="K19" s="354" t="s">
        <v>33</v>
      </c>
      <c r="L19" s="66"/>
      <c r="M19" s="66"/>
      <c r="N19" s="66"/>
      <c r="O19" s="66"/>
      <c r="P19" s="218">
        <f t="shared" si="109"/>
        <v>24</v>
      </c>
      <c r="Q19" s="62">
        <f>R10-P19</f>
        <v>152</v>
      </c>
      <c r="R19" s="219" t="str">
        <f t="shared" si="110"/>
        <v>Карузина</v>
      </c>
      <c r="S19" s="76" t="s">
        <v>67</v>
      </c>
      <c r="T19" s="77" t="s">
        <v>68</v>
      </c>
      <c r="U19" s="73"/>
      <c r="V19" s="62"/>
      <c r="W19" s="62"/>
      <c r="X19" s="74" t="s">
        <v>38</v>
      </c>
      <c r="Y19" s="7"/>
      <c r="Z19" s="7"/>
      <c r="AA19" s="7"/>
      <c r="AB19" s="13"/>
      <c r="AC19" s="13"/>
      <c r="AD19" s="13"/>
    </row>
    <row r="20" s="21" customFormat="1" ht="14.25">
      <c r="A20" s="203" t="s">
        <v>64</v>
      </c>
      <c r="B20" s="65"/>
      <c r="C20" s="65"/>
      <c r="D20" s="65"/>
      <c r="E20" s="65"/>
      <c r="F20" s="457" t="s">
        <v>32</v>
      </c>
      <c r="G20" s="354" t="s">
        <v>33</v>
      </c>
      <c r="H20" s="457" t="s">
        <v>32</v>
      </c>
      <c r="I20" s="354" t="s">
        <v>33</v>
      </c>
      <c r="J20" s="457" t="s">
        <v>32</v>
      </c>
      <c r="K20" s="354" t="s">
        <v>33</v>
      </c>
      <c r="L20" s="66"/>
      <c r="M20" s="66"/>
      <c r="N20" s="66"/>
      <c r="O20" s="66"/>
      <c r="P20" s="218">
        <f t="shared" si="109"/>
        <v>24</v>
      </c>
      <c r="Q20" s="62">
        <f>R10-P20</f>
        <v>152</v>
      </c>
      <c r="R20" s="219" t="str">
        <f t="shared" si="110"/>
        <v>Васильев</v>
      </c>
      <c r="S20" s="76" t="s">
        <v>69</v>
      </c>
      <c r="T20" s="77" t="s">
        <v>70</v>
      </c>
      <c r="U20" s="73"/>
      <c r="V20" s="62"/>
      <c r="W20" s="62"/>
      <c r="X20" s="74" t="s">
        <v>38</v>
      </c>
      <c r="Y20" s="7"/>
      <c r="Z20" s="7"/>
      <c r="AA20" s="7"/>
      <c r="AB20" s="13"/>
      <c r="AC20" s="13"/>
      <c r="AD20" s="13"/>
    </row>
    <row r="21" s="21" customFormat="1" ht="14.25">
      <c r="A21" s="205" t="s">
        <v>43</v>
      </c>
      <c r="B21" s="67"/>
      <c r="C21" s="362"/>
      <c r="D21" s="77"/>
      <c r="E21" s="359"/>
      <c r="F21" s="77"/>
      <c r="G21" s="359">
        <v>11</v>
      </c>
      <c r="H21" s="67"/>
      <c r="I21" s="362"/>
      <c r="J21" s="446"/>
      <c r="K21" s="362"/>
      <c r="L21" s="77"/>
      <c r="M21" s="359">
        <v>11</v>
      </c>
      <c r="N21" s="72"/>
      <c r="O21" s="359">
        <v>11</v>
      </c>
      <c r="P21" s="285">
        <f t="shared" si="109"/>
        <v>33</v>
      </c>
      <c r="Q21" s="62">
        <f>R10-P21</f>
        <v>143</v>
      </c>
      <c r="R21" s="442" t="str">
        <f t="shared" si="110"/>
        <v>Дащенко</v>
      </c>
      <c r="S21" s="71" t="s">
        <v>12</v>
      </c>
      <c r="T21" s="72" t="s">
        <v>11</v>
      </c>
      <c r="U21" s="90">
        <v>1</v>
      </c>
      <c r="V21" s="62">
        <v>2</v>
      </c>
      <c r="W21" s="62"/>
      <c r="X21" s="80" t="s">
        <v>44</v>
      </c>
      <c r="Y21" s="7"/>
      <c r="Z21" s="7"/>
      <c r="AA21" s="7"/>
      <c r="AB21" s="13"/>
      <c r="AC21" s="13"/>
      <c r="AD21" s="13"/>
    </row>
    <row r="22" s="21" customFormat="1" ht="14.25">
      <c r="A22" s="205" t="s">
        <v>45</v>
      </c>
      <c r="B22" s="77"/>
      <c r="C22" s="359"/>
      <c r="D22" s="66"/>
      <c r="E22" s="66"/>
      <c r="F22" s="67"/>
      <c r="G22" s="362"/>
      <c r="H22" s="76"/>
      <c r="I22" s="361">
        <v>11</v>
      </c>
      <c r="J22" s="76"/>
      <c r="K22" s="361">
        <v>11</v>
      </c>
      <c r="L22" s="67"/>
      <c r="M22" s="362"/>
      <c r="N22" s="67"/>
      <c r="O22" s="362"/>
      <c r="P22" s="218">
        <f t="shared" si="109"/>
        <v>22</v>
      </c>
      <c r="Q22" s="62">
        <f>R10-P22</f>
        <v>154</v>
      </c>
      <c r="R22" s="219" t="str">
        <f t="shared" si="110"/>
        <v>Пузырь</v>
      </c>
      <c r="S22" s="76" t="s">
        <v>10</v>
      </c>
      <c r="T22" s="77" t="s">
        <v>9</v>
      </c>
      <c r="U22" s="73">
        <f t="shared" si="111"/>
        <v>0</v>
      </c>
      <c r="V22" s="62">
        <v>2</v>
      </c>
      <c r="W22" s="62"/>
      <c r="X22" s="74" t="s">
        <v>34</v>
      </c>
      <c r="Y22" s="7"/>
      <c r="Z22" s="7"/>
      <c r="AA22" s="7"/>
      <c r="AB22" s="13"/>
      <c r="AC22" s="13"/>
      <c r="AD22" s="13"/>
    </row>
    <row r="23" s="21" customFormat="1" ht="14.25">
      <c r="A23" s="205" t="s">
        <v>65</v>
      </c>
      <c r="B23" s="483"/>
      <c r="C23" s="484"/>
      <c r="D23" s="483"/>
      <c r="E23" s="483"/>
      <c r="F23" s="485"/>
      <c r="G23" s="486">
        <v>11</v>
      </c>
      <c r="H23" s="485"/>
      <c r="I23" s="486">
        <v>11</v>
      </c>
      <c r="J23" s="487"/>
      <c r="K23" s="486"/>
      <c r="L23" s="485"/>
      <c r="M23" s="486">
        <v>11</v>
      </c>
      <c r="N23" s="487"/>
      <c r="O23" s="486">
        <v>11</v>
      </c>
      <c r="P23" s="218">
        <f t="shared" si="109"/>
        <v>44</v>
      </c>
      <c r="Q23" s="62">
        <f>R10-P23</f>
        <v>132</v>
      </c>
      <c r="R23" s="219" t="str">
        <f t="shared" si="110"/>
        <v>Рожнева</v>
      </c>
      <c r="S23" s="71" t="s">
        <v>12</v>
      </c>
      <c r="T23" s="72" t="s">
        <v>11</v>
      </c>
      <c r="U23" s="73">
        <f t="shared" si="111"/>
        <v>0</v>
      </c>
      <c r="V23" s="62">
        <f t="shared" si="112"/>
        <v>0</v>
      </c>
      <c r="W23" s="62"/>
      <c r="X23" s="74" t="s">
        <v>34</v>
      </c>
      <c r="Y23" s="7"/>
      <c r="Z23" s="7"/>
      <c r="AA23" s="7"/>
      <c r="AB23" s="13"/>
      <c r="AC23" s="13"/>
      <c r="AD23" s="13"/>
    </row>
    <row r="24" s="21" customFormat="1" ht="14.25">
      <c r="A24" s="205" t="s">
        <v>47</v>
      </c>
      <c r="B24" s="76"/>
      <c r="C24" s="363"/>
      <c r="D24" s="76"/>
      <c r="E24" s="361"/>
      <c r="F24" s="360"/>
      <c r="G24" s="360"/>
      <c r="H24" s="67"/>
      <c r="I24" s="362"/>
      <c r="J24" s="76"/>
      <c r="K24" s="361">
        <v>11</v>
      </c>
      <c r="L24" s="76"/>
      <c r="M24" s="361">
        <v>11</v>
      </c>
      <c r="N24" s="76"/>
      <c r="O24" s="361">
        <v>11</v>
      </c>
      <c r="P24" s="218">
        <f t="shared" si="109"/>
        <v>33</v>
      </c>
      <c r="Q24" s="62">
        <f>R10-P24</f>
        <v>143</v>
      </c>
      <c r="R24" s="219" t="str">
        <f t="shared" si="110"/>
        <v>Торубара</v>
      </c>
      <c r="S24" s="76" t="s">
        <v>10</v>
      </c>
      <c r="T24" s="77" t="s">
        <v>9</v>
      </c>
      <c r="U24" s="73">
        <v>3</v>
      </c>
      <c r="V24" s="62">
        <f t="shared" si="112"/>
        <v>0</v>
      </c>
      <c r="W24" s="62"/>
      <c r="X24" s="74" t="s">
        <v>34</v>
      </c>
      <c r="Y24" s="7"/>
      <c r="Z24" s="7"/>
      <c r="AA24" s="7"/>
      <c r="AB24" s="13"/>
      <c r="AC24" s="13"/>
      <c r="AD24" s="13"/>
    </row>
    <row r="25" s="21" customFormat="1" ht="14.25">
      <c r="A25" s="205" t="s">
        <v>48</v>
      </c>
      <c r="B25" s="66"/>
      <c r="C25" s="66"/>
      <c r="D25" s="76"/>
      <c r="E25" s="361"/>
      <c r="F25" s="76"/>
      <c r="G25" s="361">
        <v>11</v>
      </c>
      <c r="H25" s="360"/>
      <c r="I25" s="360"/>
      <c r="J25" s="67"/>
      <c r="K25" s="362"/>
      <c r="L25" s="76"/>
      <c r="M25" s="361">
        <v>11</v>
      </c>
      <c r="N25" s="76"/>
      <c r="O25" s="361">
        <v>11</v>
      </c>
      <c r="P25" s="218">
        <f t="shared" si="109"/>
        <v>33</v>
      </c>
      <c r="Q25" s="62">
        <f>R10-P25</f>
        <v>143</v>
      </c>
      <c r="R25" s="219" t="str">
        <f t="shared" si="110"/>
        <v>Стрыгин</v>
      </c>
      <c r="S25" s="71" t="s">
        <v>8</v>
      </c>
      <c r="T25" s="72" t="s">
        <v>7</v>
      </c>
      <c r="U25" s="73">
        <v>2</v>
      </c>
      <c r="V25" s="62">
        <v>1</v>
      </c>
      <c r="W25" s="62"/>
      <c r="X25" s="74" t="s">
        <v>49</v>
      </c>
      <c r="Y25" s="7"/>
      <c r="Z25" s="7"/>
      <c r="AA25" s="7"/>
      <c r="AB25" s="13"/>
      <c r="AC25" s="13"/>
      <c r="AD25" s="13"/>
    </row>
    <row r="26" s="21" customFormat="1" ht="14.25">
      <c r="A26" s="205" t="s">
        <v>50</v>
      </c>
      <c r="B26" s="77"/>
      <c r="C26" s="359"/>
      <c r="D26" s="72"/>
      <c r="E26" s="359"/>
      <c r="F26" s="446"/>
      <c r="G26" s="362"/>
      <c r="H26" s="77"/>
      <c r="I26" s="359">
        <v>11</v>
      </c>
      <c r="J26" s="77"/>
      <c r="K26" s="359">
        <v>11</v>
      </c>
      <c r="L26" s="72"/>
      <c r="M26" s="359">
        <v>11</v>
      </c>
      <c r="N26" s="67"/>
      <c r="O26" s="362"/>
      <c r="P26" s="218">
        <f t="shared" si="109"/>
        <v>33</v>
      </c>
      <c r="Q26" s="62">
        <f>R10-P26</f>
        <v>143</v>
      </c>
      <c r="R26" s="219" t="str">
        <f t="shared" si="110"/>
        <v>Фрик</v>
      </c>
      <c r="S26" s="71" t="s">
        <v>12</v>
      </c>
      <c r="T26" s="72" t="s">
        <v>11</v>
      </c>
      <c r="U26" s="73">
        <f t="shared" si="111"/>
        <v>0</v>
      </c>
      <c r="V26" s="62">
        <v>2</v>
      </c>
      <c r="W26" s="62"/>
      <c r="X26" s="74" t="s">
        <v>44</v>
      </c>
      <c r="Y26" s="7"/>
      <c r="Z26" s="7"/>
      <c r="AA26" s="7"/>
      <c r="AB26" s="13"/>
      <c r="AC26" s="13"/>
      <c r="AD26" s="13"/>
    </row>
    <row r="27" s="21" customFormat="1" ht="14.25">
      <c r="A27" s="206" t="s">
        <v>51</v>
      </c>
      <c r="B27" s="66"/>
      <c r="C27" s="66"/>
      <c r="D27" s="66"/>
      <c r="E27" s="66"/>
      <c r="F27" s="76"/>
      <c r="G27" s="361">
        <v>11</v>
      </c>
      <c r="H27" s="76"/>
      <c r="I27" s="361">
        <v>11</v>
      </c>
      <c r="J27" s="67"/>
      <c r="K27" s="362"/>
      <c r="L27" s="360"/>
      <c r="M27" s="360"/>
      <c r="N27" s="72"/>
      <c r="O27" s="359">
        <v>11</v>
      </c>
      <c r="P27" s="218">
        <f t="shared" si="109"/>
        <v>33</v>
      </c>
      <c r="Q27" s="62">
        <f>R10-P27</f>
        <v>143</v>
      </c>
      <c r="R27" s="219" t="str">
        <f t="shared" si="110"/>
        <v>Истрашкин</v>
      </c>
      <c r="S27" s="71" t="s">
        <v>10</v>
      </c>
      <c r="T27" s="72" t="s">
        <v>9</v>
      </c>
      <c r="U27" s="73">
        <f t="shared" si="111"/>
        <v>0</v>
      </c>
      <c r="V27" s="62">
        <v>3</v>
      </c>
      <c r="W27" s="62"/>
      <c r="X27" s="74" t="s">
        <v>34</v>
      </c>
      <c r="Y27" s="7"/>
      <c r="Z27" s="7"/>
      <c r="AA27" s="7"/>
      <c r="AB27" s="13"/>
      <c r="AC27" s="13"/>
      <c r="AD27" s="13"/>
    </row>
    <row r="28" s="21" customFormat="1" ht="14.25">
      <c r="A28" s="207"/>
      <c r="B28" s="488">
        <v>46111</v>
      </c>
      <c r="C28" s="489"/>
      <c r="D28" s="488">
        <v>46112</v>
      </c>
      <c r="E28" s="488"/>
      <c r="F28" s="488">
        <v>46113</v>
      </c>
      <c r="G28" s="488"/>
      <c r="H28" s="488">
        <v>46114</v>
      </c>
      <c r="I28" s="488"/>
      <c r="J28" s="488">
        <v>46115</v>
      </c>
      <c r="K28" s="488"/>
      <c r="L28" s="488">
        <v>46116</v>
      </c>
      <c r="M28" s="488"/>
      <c r="N28" s="488">
        <v>46117</v>
      </c>
      <c r="O28" s="490"/>
      <c r="P28" s="218"/>
      <c r="Q28" s="254"/>
      <c r="R28" s="207"/>
      <c r="S28" s="138"/>
      <c r="T28" s="138"/>
      <c r="U28" s="60" t="s">
        <v>27</v>
      </c>
      <c r="V28" s="61" t="s">
        <v>28</v>
      </c>
      <c r="W28" s="62" t="s">
        <v>29</v>
      </c>
      <c r="X28" s="7"/>
      <c r="Y28" s="7"/>
      <c r="Z28" s="7"/>
      <c r="AA28" s="7"/>
      <c r="AB28" s="13"/>
      <c r="AC28" s="13"/>
      <c r="AD28" s="13"/>
    </row>
    <row r="29" ht="14.25">
      <c r="A29" s="162"/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4"/>
      <c r="R29" s="165"/>
      <c r="S29" s="165"/>
      <c r="T29" s="165"/>
      <c r="U29" s="100"/>
      <c r="V29" s="100"/>
      <c r="W29" s="100"/>
      <c r="X29" s="7"/>
      <c r="Y29" s="7"/>
      <c r="Z29" s="7"/>
      <c r="AA29" s="7"/>
      <c r="AB29" s="13"/>
      <c r="AC29" s="13"/>
      <c r="AD29" s="13"/>
    </row>
    <row r="30" ht="14.25">
      <c r="A30" s="165"/>
      <c r="B30" s="167" t="s">
        <v>17</v>
      </c>
      <c r="C30" s="167"/>
      <c r="D30" s="167" t="s">
        <v>18</v>
      </c>
      <c r="E30" s="167"/>
      <c r="F30" s="167" t="s">
        <v>19</v>
      </c>
      <c r="G30" s="167"/>
      <c r="H30" s="167" t="s">
        <v>20</v>
      </c>
      <c r="I30" s="167"/>
      <c r="J30" s="168" t="s">
        <v>21</v>
      </c>
      <c r="K30" s="168"/>
      <c r="L30" s="167" t="s">
        <v>22</v>
      </c>
      <c r="M30" s="167"/>
      <c r="N30" s="167" t="s">
        <v>23</v>
      </c>
      <c r="O30" s="167"/>
      <c r="P30" s="234" t="s">
        <v>24</v>
      </c>
      <c r="Q30" s="235"/>
      <c r="R30" s="165"/>
      <c r="S30" s="165"/>
      <c r="T30" s="165"/>
      <c r="U30" s="100"/>
      <c r="V30" s="100"/>
      <c r="W30" s="100"/>
      <c r="X30" s="51"/>
      <c r="Y30" s="7"/>
      <c r="Z30" s="7"/>
      <c r="AA30" s="7"/>
      <c r="AB30" s="13"/>
      <c r="AC30" s="13"/>
      <c r="AD30" s="13"/>
    </row>
    <row r="31" ht="14.25">
      <c r="A31" s="165"/>
      <c r="B31" s="210">
        <v>46118</v>
      </c>
      <c r="C31" s="210"/>
      <c r="D31" s="210">
        <v>46119</v>
      </c>
      <c r="E31" s="210"/>
      <c r="F31" s="210">
        <v>46120</v>
      </c>
      <c r="G31" s="210"/>
      <c r="H31" s="210">
        <v>46121</v>
      </c>
      <c r="I31" s="210"/>
      <c r="J31" s="210">
        <v>46122</v>
      </c>
      <c r="K31" s="210"/>
      <c r="L31" s="210">
        <v>46123</v>
      </c>
      <c r="M31" s="210"/>
      <c r="N31" s="210">
        <v>46124</v>
      </c>
      <c r="O31" s="212"/>
      <c r="P31" s="236" t="s">
        <v>25</v>
      </c>
      <c r="Q31" s="237" t="s">
        <v>26</v>
      </c>
      <c r="R31" s="238"/>
      <c r="S31" s="239"/>
      <c r="T31" s="239"/>
      <c r="U31" s="15" t="s">
        <v>27</v>
      </c>
      <c r="V31" s="106" t="s">
        <v>28</v>
      </c>
      <c r="W31" s="100" t="s">
        <v>29</v>
      </c>
      <c r="X31" s="63" t="s">
        <v>30</v>
      </c>
      <c r="Y31" s="7"/>
      <c r="Z31" s="7"/>
      <c r="AA31" s="7"/>
      <c r="AB31" s="13"/>
      <c r="AC31" s="13"/>
      <c r="AD31" s="13"/>
    </row>
    <row r="32" s="21" customFormat="1" ht="14.25">
      <c r="A32" s="203" t="s">
        <v>35</v>
      </c>
      <c r="B32" s="354" t="s">
        <v>32</v>
      </c>
      <c r="C32" s="354" t="s">
        <v>33</v>
      </c>
      <c r="D32" s="354" t="s">
        <v>32</v>
      </c>
      <c r="E32" s="354" t="s">
        <v>33</v>
      </c>
      <c r="F32" s="354" t="s">
        <v>32</v>
      </c>
      <c r="G32" s="354" t="s">
        <v>33</v>
      </c>
      <c r="H32" s="148"/>
      <c r="I32" s="148" t="s">
        <v>33</v>
      </c>
      <c r="J32" s="148"/>
      <c r="K32" s="148" t="s">
        <v>33</v>
      </c>
      <c r="L32" s="108"/>
      <c r="M32" s="108"/>
      <c r="N32" s="108"/>
      <c r="O32" s="108"/>
      <c r="P32" s="218">
        <f t="shared" si="109"/>
        <v>40</v>
      </c>
      <c r="Q32" s="62">
        <f t="shared" ref="Q32:Q95" si="113">Q12-P32</f>
        <v>112</v>
      </c>
      <c r="R32" s="219" t="str">
        <f t="shared" si="110"/>
        <v>Рычков</v>
      </c>
      <c r="S32" s="76" t="s">
        <v>10</v>
      </c>
      <c r="T32" s="77" t="s">
        <v>9</v>
      </c>
      <c r="U32" s="73">
        <f t="shared" si="111"/>
        <v>0</v>
      </c>
      <c r="V32" s="62">
        <f t="shared" si="112"/>
        <v>0</v>
      </c>
      <c r="W32" s="62"/>
      <c r="X32" s="74" t="s">
        <v>34</v>
      </c>
      <c r="Y32" s="7"/>
      <c r="Z32" s="7"/>
      <c r="AA32" s="7"/>
      <c r="AB32" s="13"/>
      <c r="AC32" s="13"/>
      <c r="AD32" s="13"/>
    </row>
    <row r="33" s="21" customFormat="1" ht="14.4" hidden="1">
      <c r="A33" s="203" t="s">
        <v>61</v>
      </c>
      <c r="B33" s="354" t="s">
        <v>32</v>
      </c>
      <c r="C33" s="354" t="s">
        <v>33</v>
      </c>
      <c r="D33" s="354" t="s">
        <v>32</v>
      </c>
      <c r="E33" s="354" t="s">
        <v>33</v>
      </c>
      <c r="F33" s="354" t="s">
        <v>32</v>
      </c>
      <c r="G33" s="354" t="s">
        <v>33</v>
      </c>
      <c r="H33" s="354" t="s">
        <v>32</v>
      </c>
      <c r="I33" s="354" t="s">
        <v>33</v>
      </c>
      <c r="J33" s="354" t="s">
        <v>32</v>
      </c>
      <c r="K33" s="354" t="s">
        <v>33</v>
      </c>
      <c r="L33" s="66"/>
      <c r="M33" s="66"/>
      <c r="N33" s="67"/>
      <c r="O33" s="67"/>
      <c r="P33" s="218">
        <f t="shared" si="109"/>
        <v>40</v>
      </c>
      <c r="Q33" s="62">
        <f t="shared" si="113"/>
        <v>112</v>
      </c>
      <c r="R33" s="219" t="str">
        <f t="shared" si="110"/>
        <v>Карузина</v>
      </c>
      <c r="S33" s="76" t="s">
        <v>10</v>
      </c>
      <c r="T33" s="77" t="s">
        <v>9</v>
      </c>
      <c r="U33" s="73">
        <f t="shared" si="111"/>
        <v>0</v>
      </c>
      <c r="V33" s="62">
        <f t="shared" si="112"/>
        <v>0</v>
      </c>
      <c r="W33" s="62"/>
      <c r="X33" s="79" t="s">
        <v>49</v>
      </c>
      <c r="Y33" s="7"/>
      <c r="Z33" s="7"/>
      <c r="AA33" s="7"/>
      <c r="AB33" s="13"/>
      <c r="AC33" s="13"/>
      <c r="AD33" s="13"/>
    </row>
    <row r="34" s="21" customFormat="1" ht="14.25">
      <c r="A34" s="203" t="s">
        <v>39</v>
      </c>
      <c r="B34" s="354" t="s">
        <v>32</v>
      </c>
      <c r="C34" s="354" t="s">
        <v>33</v>
      </c>
      <c r="D34" s="354" t="s">
        <v>32</v>
      </c>
      <c r="E34" s="354" t="s">
        <v>33</v>
      </c>
      <c r="F34" s="354" t="s">
        <v>32</v>
      </c>
      <c r="G34" s="354" t="s">
        <v>33</v>
      </c>
      <c r="H34" s="354" t="s">
        <v>32</v>
      </c>
      <c r="I34" s="354" t="s">
        <v>33</v>
      </c>
      <c r="J34" s="354" t="s">
        <v>32</v>
      </c>
      <c r="K34" s="354" t="s">
        <v>33</v>
      </c>
      <c r="L34" s="66"/>
      <c r="M34" s="66"/>
      <c r="N34" s="66"/>
      <c r="O34" s="66"/>
      <c r="P34" s="218">
        <f t="shared" si="109"/>
        <v>40</v>
      </c>
      <c r="Q34" s="62">
        <f t="shared" si="113"/>
        <v>112</v>
      </c>
      <c r="R34" s="219" t="str">
        <f t="shared" si="110"/>
        <v>Игумнов</v>
      </c>
      <c r="S34" s="76" t="s">
        <v>10</v>
      </c>
      <c r="T34" s="77" t="s">
        <v>9</v>
      </c>
      <c r="U34" s="73">
        <f t="shared" si="111"/>
        <v>0</v>
      </c>
      <c r="V34" s="62">
        <f t="shared" si="112"/>
        <v>0</v>
      </c>
      <c r="W34" s="62"/>
      <c r="X34" s="79" t="s">
        <v>34</v>
      </c>
      <c r="Y34" s="7"/>
      <c r="Z34" s="7"/>
      <c r="AA34" s="7"/>
      <c r="AB34" s="13"/>
      <c r="AC34" s="13"/>
      <c r="AD34" s="13"/>
    </row>
    <row r="35" s="21" customFormat="1" ht="14.25">
      <c r="A35" s="203" t="s">
        <v>40</v>
      </c>
      <c r="B35" s="354" t="s">
        <v>32</v>
      </c>
      <c r="C35" s="354" t="s">
        <v>33</v>
      </c>
      <c r="D35" s="354" t="s">
        <v>32</v>
      </c>
      <c r="E35" s="354" t="s">
        <v>33</v>
      </c>
      <c r="F35" s="354" t="s">
        <v>32</v>
      </c>
      <c r="G35" s="354" t="s">
        <v>33</v>
      </c>
      <c r="H35" s="354" t="s">
        <v>32</v>
      </c>
      <c r="I35" s="354" t="s">
        <v>33</v>
      </c>
      <c r="J35" s="354" t="s">
        <v>32</v>
      </c>
      <c r="K35" s="354" t="s">
        <v>33</v>
      </c>
      <c r="L35" s="66"/>
      <c r="M35" s="66"/>
      <c r="N35" s="66"/>
      <c r="O35" s="66"/>
      <c r="P35" s="218">
        <f t="shared" si="109"/>
        <v>40</v>
      </c>
      <c r="Q35" s="62">
        <f t="shared" si="113"/>
        <v>112</v>
      </c>
      <c r="R35" s="219" t="str">
        <f t="shared" si="110"/>
        <v>Душин</v>
      </c>
      <c r="S35" s="76" t="s">
        <v>10</v>
      </c>
      <c r="T35" s="77" t="s">
        <v>9</v>
      </c>
      <c r="U35" s="73">
        <f t="shared" si="111"/>
        <v>0</v>
      </c>
      <c r="V35" s="62">
        <f t="shared" si="112"/>
        <v>0</v>
      </c>
      <c r="W35" s="62"/>
      <c r="X35" s="74" t="s">
        <v>38</v>
      </c>
      <c r="Y35" s="7"/>
      <c r="Z35" s="7"/>
      <c r="AA35" s="7"/>
      <c r="AB35" s="13"/>
      <c r="AC35" s="13"/>
      <c r="AD35" s="13"/>
    </row>
    <row r="36" s="21" customFormat="1" ht="14.25">
      <c r="A36" s="203" t="s">
        <v>31</v>
      </c>
      <c r="B36" s="354" t="s">
        <v>32</v>
      </c>
      <c r="C36" s="354" t="s">
        <v>33</v>
      </c>
      <c r="D36" s="354" t="s">
        <v>32</v>
      </c>
      <c r="E36" s="354" t="s">
        <v>33</v>
      </c>
      <c r="F36" s="354" t="s">
        <v>32</v>
      </c>
      <c r="G36" s="354" t="s">
        <v>33</v>
      </c>
      <c r="H36" s="354" t="s">
        <v>32</v>
      </c>
      <c r="I36" s="354" t="s">
        <v>33</v>
      </c>
      <c r="J36" s="354" t="s">
        <v>32</v>
      </c>
      <c r="K36" s="354" t="s">
        <v>33</v>
      </c>
      <c r="L36" s="66"/>
      <c r="M36" s="66"/>
      <c r="N36" s="66"/>
      <c r="O36" s="66"/>
      <c r="P36" s="218">
        <f t="shared" si="109"/>
        <v>40</v>
      </c>
      <c r="Q36" s="62">
        <f t="shared" si="113"/>
        <v>112</v>
      </c>
      <c r="R36" s="219" t="str">
        <f t="shared" si="110"/>
        <v>Нетронин</v>
      </c>
      <c r="S36" s="76" t="s">
        <v>58</v>
      </c>
      <c r="T36" s="77" t="s">
        <v>59</v>
      </c>
      <c r="U36" s="73"/>
      <c r="V36" s="62"/>
      <c r="W36" s="62"/>
      <c r="X36" s="74" t="s">
        <v>34</v>
      </c>
      <c r="Y36" s="7"/>
      <c r="Z36" s="7"/>
      <c r="AA36" s="7"/>
      <c r="AB36" s="13"/>
      <c r="AC36" s="13"/>
      <c r="AD36" s="13"/>
    </row>
    <row r="37" s="21" customFormat="1" ht="14.25">
      <c r="A37" s="203" t="s">
        <v>62</v>
      </c>
      <c r="B37" s="354" t="s">
        <v>32</v>
      </c>
      <c r="C37" s="354" t="s">
        <v>33</v>
      </c>
      <c r="D37" s="457" t="s">
        <v>32</v>
      </c>
      <c r="E37" s="354" t="s">
        <v>33</v>
      </c>
      <c r="F37" s="457" t="s">
        <v>32</v>
      </c>
      <c r="G37" s="354" t="s">
        <v>33</v>
      </c>
      <c r="H37" s="457" t="s">
        <v>32</v>
      </c>
      <c r="I37" s="354" t="s">
        <v>33</v>
      </c>
      <c r="J37" s="457" t="s">
        <v>32</v>
      </c>
      <c r="K37" s="354" t="s">
        <v>33</v>
      </c>
      <c r="L37" s="66"/>
      <c r="M37" s="66"/>
      <c r="N37" s="66"/>
      <c r="O37" s="66"/>
      <c r="P37" s="218">
        <f t="shared" si="109"/>
        <v>40</v>
      </c>
      <c r="Q37" s="62">
        <f t="shared" si="113"/>
        <v>112</v>
      </c>
      <c r="R37" s="219" t="str">
        <f t="shared" si="110"/>
        <v>Раимова</v>
      </c>
      <c r="S37" s="76" t="s">
        <v>10</v>
      </c>
      <c r="T37" s="77" t="s">
        <v>9</v>
      </c>
      <c r="U37" s="73"/>
      <c r="V37" s="62"/>
      <c r="W37" s="62"/>
      <c r="X37" s="74" t="s">
        <v>38</v>
      </c>
      <c r="Y37" s="7"/>
      <c r="Z37" s="7"/>
      <c r="AA37" s="7"/>
      <c r="AB37" s="13"/>
      <c r="AC37" s="13"/>
      <c r="AD37" s="13"/>
    </row>
    <row r="38" s="21" customFormat="1" ht="14.25">
      <c r="A38" s="203" t="s">
        <v>63</v>
      </c>
      <c r="B38" s="354" t="s">
        <v>32</v>
      </c>
      <c r="C38" s="354" t="s">
        <v>33</v>
      </c>
      <c r="D38" s="354" t="s">
        <v>32</v>
      </c>
      <c r="E38" s="354" t="s">
        <v>33</v>
      </c>
      <c r="F38" s="354" t="s">
        <v>32</v>
      </c>
      <c r="G38" s="354" t="s">
        <v>33</v>
      </c>
      <c r="H38" s="354" t="s">
        <v>32</v>
      </c>
      <c r="I38" s="354" t="s">
        <v>33</v>
      </c>
      <c r="J38" s="354" t="s">
        <v>32</v>
      </c>
      <c r="K38" s="354" t="s">
        <v>33</v>
      </c>
      <c r="L38" s="491"/>
      <c r="M38" s="492"/>
      <c r="N38" s="66"/>
      <c r="O38" s="66"/>
      <c r="P38" s="493">
        <f t="shared" si="109"/>
        <v>40</v>
      </c>
      <c r="Q38" s="62">
        <f t="shared" si="113"/>
        <v>112</v>
      </c>
      <c r="R38" s="113" t="str">
        <f t="shared" si="110"/>
        <v>Войтехович</v>
      </c>
      <c r="S38" s="76" t="s">
        <v>10</v>
      </c>
      <c r="T38" s="77" t="s">
        <v>9</v>
      </c>
      <c r="U38" s="227"/>
      <c r="V38" s="62"/>
      <c r="W38" s="62"/>
      <c r="X38" s="74" t="s">
        <v>34</v>
      </c>
      <c r="Y38" s="7"/>
      <c r="Z38" s="7"/>
      <c r="AA38" s="7"/>
      <c r="AB38" s="13"/>
      <c r="AC38" s="13"/>
      <c r="AD38" s="13"/>
    </row>
    <row r="39" s="21" customFormat="1" ht="14.25">
      <c r="A39" s="203" t="s">
        <v>61</v>
      </c>
      <c r="B39" s="354" t="s">
        <v>32</v>
      </c>
      <c r="C39" s="354" t="s">
        <v>33</v>
      </c>
      <c r="D39" s="354" t="s">
        <v>32</v>
      </c>
      <c r="E39" s="354" t="s">
        <v>33</v>
      </c>
      <c r="F39" s="354" t="s">
        <v>32</v>
      </c>
      <c r="G39" s="354" t="s">
        <v>33</v>
      </c>
      <c r="H39" s="354" t="s">
        <v>32</v>
      </c>
      <c r="I39" s="354" t="s">
        <v>33</v>
      </c>
      <c r="J39" s="354" t="s">
        <v>32</v>
      </c>
      <c r="K39" s="354" t="s">
        <v>33</v>
      </c>
      <c r="L39" s="491"/>
      <c r="M39" s="492"/>
      <c r="N39" s="66"/>
      <c r="O39" s="66"/>
      <c r="P39" s="493">
        <f t="shared" si="109"/>
        <v>40</v>
      </c>
      <c r="Q39" s="62">
        <f t="shared" si="113"/>
        <v>112</v>
      </c>
      <c r="R39" s="113" t="str">
        <f t="shared" si="110"/>
        <v>Карузина</v>
      </c>
      <c r="S39" s="76" t="s">
        <v>58</v>
      </c>
      <c r="T39" s="77" t="s">
        <v>59</v>
      </c>
      <c r="U39" s="227"/>
      <c r="V39" s="62"/>
      <c r="W39" s="62"/>
      <c r="X39" s="74" t="s">
        <v>38</v>
      </c>
      <c r="Y39" s="7"/>
      <c r="Z39" s="7"/>
      <c r="AA39" s="7"/>
      <c r="AB39" s="13"/>
      <c r="AC39" s="13"/>
      <c r="AD39" s="13"/>
    </row>
    <row r="40" s="21" customFormat="1" ht="14.25">
      <c r="A40" s="203" t="s">
        <v>64</v>
      </c>
      <c r="B40" s="354" t="s">
        <v>32</v>
      </c>
      <c r="C40" s="457" t="s">
        <v>33</v>
      </c>
      <c r="D40" s="354" t="s">
        <v>32</v>
      </c>
      <c r="E40" s="457" t="s">
        <v>33</v>
      </c>
      <c r="F40" s="354" t="s">
        <v>32</v>
      </c>
      <c r="G40" s="457" t="s">
        <v>33</v>
      </c>
      <c r="H40" s="354" t="s">
        <v>32</v>
      </c>
      <c r="I40" s="457" t="s">
        <v>33</v>
      </c>
      <c r="J40" s="354" t="s">
        <v>32</v>
      </c>
      <c r="K40" s="457" t="s">
        <v>33</v>
      </c>
      <c r="L40" s="491"/>
      <c r="M40" s="492"/>
      <c r="N40" s="66"/>
      <c r="O40" s="66"/>
      <c r="P40" s="493">
        <f t="shared" si="109"/>
        <v>40</v>
      </c>
      <c r="Q40" s="62">
        <f t="shared" si="113"/>
        <v>112</v>
      </c>
      <c r="R40" s="113" t="str">
        <f t="shared" si="110"/>
        <v>Васильев</v>
      </c>
      <c r="S40" s="76" t="s">
        <v>67</v>
      </c>
      <c r="T40" s="77" t="s">
        <v>68</v>
      </c>
      <c r="U40" s="227"/>
      <c r="V40" s="62"/>
      <c r="W40" s="62"/>
      <c r="X40" s="74" t="s">
        <v>38</v>
      </c>
      <c r="Y40" s="7"/>
      <c r="Z40" s="7"/>
      <c r="AA40" s="7"/>
      <c r="AB40" s="13"/>
      <c r="AC40" s="13"/>
      <c r="AD40" s="13"/>
    </row>
    <row r="41" s="21" customFormat="1" ht="14.25">
      <c r="A41" s="205" t="s">
        <v>43</v>
      </c>
      <c r="B41" s="72"/>
      <c r="C41" s="359">
        <v>11</v>
      </c>
      <c r="D41" s="494"/>
      <c r="E41" s="495"/>
      <c r="F41" s="76"/>
      <c r="G41" s="361">
        <v>11</v>
      </c>
      <c r="H41" s="76"/>
      <c r="I41" s="361">
        <v>11</v>
      </c>
      <c r="J41" s="67"/>
      <c r="K41" s="362"/>
      <c r="L41" s="496"/>
      <c r="M41" s="497"/>
      <c r="N41" s="76"/>
      <c r="O41" s="361">
        <v>11</v>
      </c>
      <c r="P41" s="285">
        <f t="shared" si="109"/>
        <v>44</v>
      </c>
      <c r="Q41" s="62">
        <f t="shared" si="113"/>
        <v>99</v>
      </c>
      <c r="R41" s="442" t="str">
        <f t="shared" si="110"/>
        <v>Дащенко</v>
      </c>
      <c r="S41" s="71" t="s">
        <v>12</v>
      </c>
      <c r="T41" s="72" t="s">
        <v>11</v>
      </c>
      <c r="U41" s="90">
        <f t="shared" si="111"/>
        <v>0</v>
      </c>
      <c r="V41" s="62">
        <v>2</v>
      </c>
      <c r="W41" s="62"/>
      <c r="X41" s="80" t="s">
        <v>44</v>
      </c>
      <c r="Y41" s="7"/>
      <c r="Z41" s="7"/>
      <c r="AA41" s="7"/>
      <c r="AB41" s="13"/>
      <c r="AC41" s="13"/>
      <c r="AD41" s="13"/>
    </row>
    <row r="42" s="21" customFormat="1" ht="14.25">
      <c r="A42" s="205" t="s">
        <v>45</v>
      </c>
      <c r="B42" s="76"/>
      <c r="C42" s="361">
        <v>11</v>
      </c>
      <c r="D42" s="76"/>
      <c r="E42" s="361">
        <v>11</v>
      </c>
      <c r="F42" s="384"/>
      <c r="G42" s="384"/>
      <c r="H42" s="446"/>
      <c r="I42" s="362"/>
      <c r="J42" s="77"/>
      <c r="K42" s="359">
        <v>11</v>
      </c>
      <c r="L42" s="77"/>
      <c r="M42" s="359">
        <v>11</v>
      </c>
      <c r="N42" s="72"/>
      <c r="O42" s="359">
        <v>11</v>
      </c>
      <c r="P42" s="218">
        <f t="shared" si="109"/>
        <v>55</v>
      </c>
      <c r="Q42" s="62">
        <f t="shared" si="113"/>
        <v>99</v>
      </c>
      <c r="R42" s="219" t="str">
        <f t="shared" si="110"/>
        <v>Пузырь</v>
      </c>
      <c r="S42" s="76" t="s">
        <v>10</v>
      </c>
      <c r="T42" s="77" t="s">
        <v>9</v>
      </c>
      <c r="U42" s="73">
        <v>3</v>
      </c>
      <c r="V42" s="62">
        <v>2</v>
      </c>
      <c r="W42" s="62"/>
      <c r="X42" s="74" t="s">
        <v>34</v>
      </c>
      <c r="Y42" s="7"/>
      <c r="Z42" s="7"/>
      <c r="AA42" s="7"/>
      <c r="AB42" s="13"/>
      <c r="AC42" s="13"/>
      <c r="AD42" s="13"/>
    </row>
    <row r="43" s="21" customFormat="1" ht="14.25">
      <c r="A43" s="205" t="s">
        <v>65</v>
      </c>
      <c r="B43" s="67"/>
      <c r="C43" s="362"/>
      <c r="D43" s="67"/>
      <c r="E43" s="362"/>
      <c r="F43" s="77"/>
      <c r="G43" s="359">
        <v>11</v>
      </c>
      <c r="H43" s="77"/>
      <c r="I43" s="359">
        <v>11</v>
      </c>
      <c r="J43" s="77"/>
      <c r="K43" s="359">
        <v>11</v>
      </c>
      <c r="L43" s="67"/>
      <c r="M43" s="362"/>
      <c r="N43" s="67"/>
      <c r="O43" s="362"/>
      <c r="P43" s="218">
        <f t="shared" si="109"/>
        <v>33</v>
      </c>
      <c r="Q43" s="62">
        <f t="shared" si="113"/>
        <v>99</v>
      </c>
      <c r="R43" s="219" t="str">
        <f t="shared" si="110"/>
        <v>Рожнева</v>
      </c>
      <c r="S43" s="71" t="s">
        <v>12</v>
      </c>
      <c r="T43" s="72" t="s">
        <v>11</v>
      </c>
      <c r="U43" s="73">
        <f t="shared" si="111"/>
        <v>0</v>
      </c>
      <c r="V43" s="62">
        <f t="shared" si="112"/>
        <v>0</v>
      </c>
      <c r="W43" s="62"/>
      <c r="X43" s="74" t="s">
        <v>34</v>
      </c>
      <c r="Y43" s="7"/>
      <c r="Z43" s="7"/>
      <c r="AA43" s="7"/>
      <c r="AB43" s="13"/>
      <c r="AC43" s="13"/>
      <c r="AD43" s="13"/>
    </row>
    <row r="44" s="21" customFormat="1" ht="14.25">
      <c r="A44" s="205" t="s">
        <v>47</v>
      </c>
      <c r="B44" s="67"/>
      <c r="C44" s="450"/>
      <c r="D44" s="67"/>
      <c r="E44" s="362"/>
      <c r="F44" s="67"/>
      <c r="G44" s="362"/>
      <c r="H44" s="77"/>
      <c r="I44" s="359">
        <v>11</v>
      </c>
      <c r="J44" s="72"/>
      <c r="K44" s="359">
        <v>11</v>
      </c>
      <c r="L44" s="67"/>
      <c r="M44" s="362"/>
      <c r="N44" s="446"/>
      <c r="O44" s="362"/>
      <c r="P44" s="218">
        <f t="shared" si="109"/>
        <v>22</v>
      </c>
      <c r="Q44" s="62">
        <f t="shared" si="113"/>
        <v>121</v>
      </c>
      <c r="R44" s="219" t="str">
        <f t="shared" si="110"/>
        <v>Торубара</v>
      </c>
      <c r="S44" s="76" t="s">
        <v>10</v>
      </c>
      <c r="T44" s="77" t="s">
        <v>9</v>
      </c>
      <c r="U44" s="73">
        <v>2</v>
      </c>
      <c r="V44" s="62">
        <v>2</v>
      </c>
      <c r="W44" s="62"/>
      <c r="X44" s="74" t="s">
        <v>34</v>
      </c>
      <c r="Y44" s="7"/>
      <c r="Z44" s="7"/>
      <c r="AA44" s="7"/>
      <c r="AB44" s="13"/>
      <c r="AC44" s="13"/>
      <c r="AD44" s="13"/>
    </row>
    <row r="45" s="21" customFormat="1" ht="14.25">
      <c r="A45" s="205" t="s">
        <v>48</v>
      </c>
      <c r="B45" s="76"/>
      <c r="C45" s="361">
        <v>11</v>
      </c>
      <c r="D45" s="384"/>
      <c r="E45" s="384"/>
      <c r="F45" s="77"/>
      <c r="G45" s="359">
        <v>11</v>
      </c>
      <c r="H45" s="72"/>
      <c r="I45" s="359">
        <v>11</v>
      </c>
      <c r="J45" s="67"/>
      <c r="K45" s="362"/>
      <c r="L45" s="384"/>
      <c r="M45" s="384"/>
      <c r="N45" s="173"/>
      <c r="O45" s="361">
        <v>11</v>
      </c>
      <c r="P45" s="218">
        <f t="shared" si="109"/>
        <v>44</v>
      </c>
      <c r="Q45" s="62">
        <f t="shared" si="113"/>
        <v>99</v>
      </c>
      <c r="R45" s="219" t="str">
        <f t="shared" si="110"/>
        <v>Стрыгин</v>
      </c>
      <c r="S45" s="71" t="s">
        <v>8</v>
      </c>
      <c r="T45" s="72" t="s">
        <v>7</v>
      </c>
      <c r="U45" s="73">
        <v>1</v>
      </c>
      <c r="V45" s="62">
        <v>2</v>
      </c>
      <c r="W45" s="62"/>
      <c r="X45" s="74" t="s">
        <v>49</v>
      </c>
      <c r="Y45" s="7"/>
      <c r="Z45" s="7"/>
      <c r="AA45" s="7"/>
      <c r="AB45" s="13"/>
      <c r="AC45" s="13"/>
      <c r="AD45" s="13"/>
    </row>
    <row r="46" s="21" customFormat="1" ht="14.25">
      <c r="A46" s="205" t="s">
        <v>50</v>
      </c>
      <c r="B46" s="384"/>
      <c r="C46" s="384"/>
      <c r="D46" s="76"/>
      <c r="E46" s="361">
        <v>11</v>
      </c>
      <c r="F46" s="76"/>
      <c r="G46" s="361">
        <v>11</v>
      </c>
      <c r="H46" s="76"/>
      <c r="I46" s="361">
        <v>11</v>
      </c>
      <c r="J46" s="67"/>
      <c r="K46" s="362"/>
      <c r="L46" s="72"/>
      <c r="M46" s="359">
        <v>11</v>
      </c>
      <c r="N46" s="446"/>
      <c r="O46" s="362"/>
      <c r="P46" s="218">
        <f t="shared" si="109"/>
        <v>44</v>
      </c>
      <c r="Q46" s="62">
        <f t="shared" si="113"/>
        <v>99</v>
      </c>
      <c r="R46" s="219" t="str">
        <f t="shared" si="110"/>
        <v>Фрик</v>
      </c>
      <c r="S46" s="71" t="s">
        <v>12</v>
      </c>
      <c r="T46" s="72" t="s">
        <v>11</v>
      </c>
      <c r="U46" s="73">
        <v>2</v>
      </c>
      <c r="V46" s="62">
        <v>2</v>
      </c>
      <c r="W46" s="62"/>
      <c r="X46" s="74" t="s">
        <v>44</v>
      </c>
      <c r="Y46" s="7"/>
      <c r="Z46" s="7"/>
      <c r="AA46" s="7"/>
      <c r="AB46" s="13"/>
      <c r="AC46" s="13"/>
      <c r="AD46" s="13"/>
    </row>
    <row r="47" s="21" customFormat="1" ht="14.25">
      <c r="A47" s="206" t="s">
        <v>51</v>
      </c>
      <c r="B47" s="72"/>
      <c r="C47" s="451">
        <v>11</v>
      </c>
      <c r="D47" s="72"/>
      <c r="E47" s="359">
        <v>11</v>
      </c>
      <c r="F47" s="384"/>
      <c r="G47" s="384"/>
      <c r="H47" s="67"/>
      <c r="I47" s="362"/>
      <c r="J47" s="76"/>
      <c r="K47" s="361">
        <v>11</v>
      </c>
      <c r="L47" s="76"/>
      <c r="M47" s="361">
        <v>11</v>
      </c>
      <c r="N47" s="446"/>
      <c r="O47" s="362"/>
      <c r="P47" s="218">
        <f t="shared" si="109"/>
        <v>44</v>
      </c>
      <c r="Q47" s="62">
        <f t="shared" si="113"/>
        <v>99</v>
      </c>
      <c r="R47" s="219" t="str">
        <f t="shared" si="110"/>
        <v>Истрашкин</v>
      </c>
      <c r="S47" s="71" t="s">
        <v>10</v>
      </c>
      <c r="T47" s="72" t="s">
        <v>9</v>
      </c>
      <c r="U47" s="73">
        <v>2</v>
      </c>
      <c r="V47" s="62">
        <v>1</v>
      </c>
      <c r="W47" s="62"/>
      <c r="X47" s="74" t="s">
        <v>34</v>
      </c>
      <c r="Y47" s="7"/>
      <c r="Z47" s="7"/>
      <c r="AA47" s="7"/>
      <c r="AB47" s="13"/>
      <c r="AC47" s="13"/>
      <c r="AD47" s="13"/>
    </row>
    <row r="48" ht="14.25">
      <c r="A48" s="245"/>
      <c r="B48" s="488">
        <v>46118</v>
      </c>
      <c r="C48" s="488"/>
      <c r="D48" s="488">
        <v>46119</v>
      </c>
      <c r="E48" s="488"/>
      <c r="F48" s="488">
        <v>46120</v>
      </c>
      <c r="G48" s="488"/>
      <c r="H48" s="488">
        <v>46121</v>
      </c>
      <c r="I48" s="488"/>
      <c r="J48" s="488">
        <v>46122</v>
      </c>
      <c r="K48" s="488"/>
      <c r="L48" s="488">
        <v>46123</v>
      </c>
      <c r="M48" s="488"/>
      <c r="N48" s="488">
        <v>46124</v>
      </c>
      <c r="O48" s="157"/>
      <c r="P48" s="246"/>
      <c r="Q48" s="247"/>
      <c r="R48" s="245"/>
      <c r="S48" s="178"/>
      <c r="T48" s="178"/>
      <c r="U48" s="100"/>
      <c r="V48" s="100"/>
      <c r="W48" s="100"/>
      <c r="X48" s="7"/>
      <c r="Y48" s="7"/>
      <c r="Z48" s="7"/>
      <c r="AA48" s="7"/>
      <c r="AB48" s="13"/>
      <c r="AC48" s="13"/>
      <c r="AD48" s="13"/>
    </row>
    <row r="49" ht="14.25">
      <c r="A49" s="162"/>
      <c r="B49" s="163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4"/>
      <c r="R49" s="165"/>
      <c r="S49" s="165"/>
      <c r="T49" s="165"/>
      <c r="U49" s="100"/>
      <c r="V49" s="100"/>
      <c r="W49" s="100"/>
      <c r="X49" s="51"/>
      <c r="Y49" s="7"/>
      <c r="Z49" s="7"/>
      <c r="AA49" s="7"/>
      <c r="AB49" s="13"/>
      <c r="AC49" s="13"/>
      <c r="AD49" s="13"/>
    </row>
    <row r="50" ht="14.25">
      <c r="A50" s="143"/>
      <c r="B50" s="43" t="s">
        <v>17</v>
      </c>
      <c r="C50" s="142"/>
      <c r="D50" s="43" t="s">
        <v>18</v>
      </c>
      <c r="E50" s="142"/>
      <c r="F50" s="43" t="s">
        <v>19</v>
      </c>
      <c r="G50" s="43"/>
      <c r="H50" s="43" t="s">
        <v>20</v>
      </c>
      <c r="I50" s="142"/>
      <c r="J50" s="43" t="s">
        <v>21</v>
      </c>
      <c r="K50" s="43"/>
      <c r="L50" s="43" t="s">
        <v>22</v>
      </c>
      <c r="M50" s="43"/>
      <c r="N50" s="43" t="s">
        <v>23</v>
      </c>
      <c r="O50" s="214"/>
      <c r="P50" s="208" t="s">
        <v>24</v>
      </c>
      <c r="Q50" s="209"/>
      <c r="R50" s="143"/>
      <c r="S50" s="143"/>
      <c r="T50" s="143"/>
      <c r="U50" s="62"/>
      <c r="V50" s="62"/>
      <c r="W50" s="62"/>
      <c r="X50" s="63"/>
      <c r="Y50" s="7"/>
      <c r="Z50" s="7"/>
      <c r="AA50" s="7"/>
      <c r="AB50" s="13"/>
      <c r="AC50" s="13"/>
      <c r="AD50" s="13"/>
    </row>
    <row r="51" ht="14.25">
      <c r="A51" s="143"/>
      <c r="B51" s="210">
        <v>46125</v>
      </c>
      <c r="C51" s="210"/>
      <c r="D51" s="210">
        <v>46126</v>
      </c>
      <c r="E51" s="210"/>
      <c r="F51" s="210">
        <v>46127</v>
      </c>
      <c r="G51" s="210"/>
      <c r="H51" s="210">
        <v>46128</v>
      </c>
      <c r="I51" s="210"/>
      <c r="J51" s="210">
        <v>46129</v>
      </c>
      <c r="K51" s="210"/>
      <c r="L51" s="210">
        <v>46130</v>
      </c>
      <c r="M51" s="210"/>
      <c r="N51" s="210">
        <v>46131</v>
      </c>
      <c r="O51" s="440"/>
      <c r="P51" s="213" t="s">
        <v>25</v>
      </c>
      <c r="Q51" s="214" t="s">
        <v>26</v>
      </c>
      <c r="R51" s="249"/>
      <c r="S51" s="147"/>
      <c r="T51" s="147"/>
      <c r="U51" s="60" t="s">
        <v>27</v>
      </c>
      <c r="V51" s="61" t="s">
        <v>28</v>
      </c>
      <c r="W51" s="62" t="s">
        <v>29</v>
      </c>
      <c r="X51" s="63" t="s">
        <v>30</v>
      </c>
      <c r="Y51" s="7"/>
      <c r="Z51" s="7"/>
      <c r="AA51" s="7"/>
      <c r="AB51" s="13"/>
      <c r="AC51" s="13"/>
      <c r="AD51" s="13"/>
    </row>
    <row r="52" s="21" customFormat="1" ht="14.25">
      <c r="A52" s="203" t="s">
        <v>35</v>
      </c>
      <c r="B52" s="148"/>
      <c r="C52" s="148" t="s">
        <v>33</v>
      </c>
      <c r="D52" s="148"/>
      <c r="E52" s="148" t="s">
        <v>33</v>
      </c>
      <c r="F52" s="148"/>
      <c r="G52" s="148" t="s">
        <v>33</v>
      </c>
      <c r="H52" s="354" t="s">
        <v>32</v>
      </c>
      <c r="I52" s="354" t="s">
        <v>33</v>
      </c>
      <c r="J52" s="354" t="s">
        <v>32</v>
      </c>
      <c r="K52" s="354" t="s">
        <v>33</v>
      </c>
      <c r="L52" s="66"/>
      <c r="M52" s="66"/>
      <c r="N52" s="66"/>
      <c r="O52" s="66"/>
      <c r="P52" s="218">
        <f t="shared" si="109"/>
        <v>40</v>
      </c>
      <c r="Q52" s="62">
        <f t="shared" si="113"/>
        <v>72</v>
      </c>
      <c r="R52" s="219" t="str">
        <f t="shared" si="110"/>
        <v>Рычков</v>
      </c>
      <c r="S52" s="76" t="s">
        <v>10</v>
      </c>
      <c r="T52" s="77" t="s">
        <v>9</v>
      </c>
      <c r="U52" s="73">
        <f t="shared" si="111"/>
        <v>0</v>
      </c>
      <c r="V52" s="62">
        <f t="shared" si="112"/>
        <v>0</v>
      </c>
      <c r="W52" s="62"/>
      <c r="X52" s="74" t="s">
        <v>34</v>
      </c>
      <c r="Y52" s="7"/>
      <c r="Z52" s="7"/>
      <c r="AA52" s="7"/>
      <c r="AB52" s="13"/>
      <c r="AC52" s="13"/>
      <c r="AD52" s="13"/>
    </row>
    <row r="53" s="21" customFormat="1" ht="14.4" hidden="1">
      <c r="A53" s="203" t="s">
        <v>61</v>
      </c>
      <c r="B53" s="354" t="s">
        <v>32</v>
      </c>
      <c r="C53" s="354" t="s">
        <v>33</v>
      </c>
      <c r="D53" s="354" t="s">
        <v>32</v>
      </c>
      <c r="E53" s="354" t="s">
        <v>33</v>
      </c>
      <c r="F53" s="354" t="s">
        <v>32</v>
      </c>
      <c r="G53" s="354" t="s">
        <v>33</v>
      </c>
      <c r="H53" s="354" t="s">
        <v>32</v>
      </c>
      <c r="I53" s="354" t="s">
        <v>33</v>
      </c>
      <c r="J53" s="354" t="s">
        <v>32</v>
      </c>
      <c r="K53" s="354" t="s">
        <v>33</v>
      </c>
      <c r="L53" s="66"/>
      <c r="M53" s="66"/>
      <c r="N53" s="67"/>
      <c r="O53" s="67"/>
      <c r="P53" s="218">
        <f t="shared" si="109"/>
        <v>40</v>
      </c>
      <c r="Q53" s="62">
        <f t="shared" si="113"/>
        <v>72</v>
      </c>
      <c r="R53" s="219" t="str">
        <f t="shared" si="110"/>
        <v>Карузина</v>
      </c>
      <c r="S53" s="76" t="s">
        <v>10</v>
      </c>
      <c r="T53" s="77" t="s">
        <v>9</v>
      </c>
      <c r="U53" s="73">
        <f t="shared" si="111"/>
        <v>0</v>
      </c>
      <c r="V53" s="62">
        <f t="shared" si="112"/>
        <v>0</v>
      </c>
      <c r="W53" s="62"/>
      <c r="X53" s="79" t="s">
        <v>49</v>
      </c>
      <c r="Y53" s="7"/>
      <c r="Z53" s="7"/>
      <c r="AA53" s="7"/>
      <c r="AB53" s="13"/>
      <c r="AC53" s="13"/>
      <c r="AD53" s="13"/>
    </row>
    <row r="54" s="21" customFormat="1" ht="14.25">
      <c r="A54" s="203" t="s">
        <v>39</v>
      </c>
      <c r="B54" s="354" t="s">
        <v>32</v>
      </c>
      <c r="C54" s="354" t="s">
        <v>33</v>
      </c>
      <c r="D54" s="354" t="s">
        <v>32</v>
      </c>
      <c r="E54" s="354" t="s">
        <v>33</v>
      </c>
      <c r="F54" s="354" t="s">
        <v>32</v>
      </c>
      <c r="G54" s="354" t="s">
        <v>33</v>
      </c>
      <c r="H54" s="354" t="s">
        <v>32</v>
      </c>
      <c r="I54" s="354" t="s">
        <v>33</v>
      </c>
      <c r="J54" s="354" t="s">
        <v>32</v>
      </c>
      <c r="K54" s="354" t="s">
        <v>33</v>
      </c>
      <c r="L54" s="66"/>
      <c r="M54" s="66"/>
      <c r="N54" s="66"/>
      <c r="O54" s="66"/>
      <c r="P54" s="218">
        <f t="shared" si="109"/>
        <v>40</v>
      </c>
      <c r="Q54" s="62">
        <f t="shared" si="113"/>
        <v>72</v>
      </c>
      <c r="R54" s="219" t="str">
        <f t="shared" si="110"/>
        <v>Игумнов</v>
      </c>
      <c r="S54" s="76" t="s">
        <v>10</v>
      </c>
      <c r="T54" s="77" t="s">
        <v>9</v>
      </c>
      <c r="U54" s="73">
        <f t="shared" si="111"/>
        <v>0</v>
      </c>
      <c r="V54" s="62">
        <f t="shared" si="112"/>
        <v>0</v>
      </c>
      <c r="W54" s="62"/>
      <c r="X54" s="79" t="s">
        <v>34</v>
      </c>
      <c r="Y54" s="7"/>
      <c r="Z54" s="7"/>
      <c r="AA54" s="7"/>
      <c r="AB54" s="13"/>
      <c r="AC54" s="13"/>
      <c r="AD54" s="13"/>
    </row>
    <row r="55" s="21" customFormat="1" ht="14.25">
      <c r="A55" s="203" t="s">
        <v>40</v>
      </c>
      <c r="B55" s="354" t="s">
        <v>32</v>
      </c>
      <c r="C55" s="354" t="s">
        <v>33</v>
      </c>
      <c r="D55" s="354" t="s">
        <v>32</v>
      </c>
      <c r="E55" s="354" t="s">
        <v>33</v>
      </c>
      <c r="F55" s="354" t="s">
        <v>32</v>
      </c>
      <c r="G55" s="354" t="s">
        <v>33</v>
      </c>
      <c r="H55" s="354" t="s">
        <v>32</v>
      </c>
      <c r="I55" s="354" t="s">
        <v>33</v>
      </c>
      <c r="J55" s="354" t="s">
        <v>32</v>
      </c>
      <c r="K55" s="354" t="s">
        <v>33</v>
      </c>
      <c r="L55" s="66"/>
      <c r="M55" s="66"/>
      <c r="N55" s="66"/>
      <c r="O55" s="66"/>
      <c r="P55" s="218">
        <f t="shared" si="109"/>
        <v>40</v>
      </c>
      <c r="Q55" s="62">
        <f t="shared" si="113"/>
        <v>72</v>
      </c>
      <c r="R55" s="219" t="str">
        <f t="shared" si="110"/>
        <v>Душин</v>
      </c>
      <c r="S55" s="76" t="s">
        <v>10</v>
      </c>
      <c r="T55" s="77" t="s">
        <v>9</v>
      </c>
      <c r="U55" s="73">
        <f t="shared" si="111"/>
        <v>0</v>
      </c>
      <c r="V55" s="62">
        <f t="shared" si="112"/>
        <v>0</v>
      </c>
      <c r="W55" s="62"/>
      <c r="X55" s="74" t="s">
        <v>38</v>
      </c>
      <c r="Y55" s="7"/>
      <c r="Z55" s="7"/>
      <c r="AA55" s="7"/>
      <c r="AB55" s="13"/>
      <c r="AC55" s="13"/>
      <c r="AD55" s="13"/>
    </row>
    <row r="56" s="21" customFormat="1" ht="14.25">
      <c r="A56" s="203" t="s">
        <v>31</v>
      </c>
      <c r="B56" s="354" t="s">
        <v>32</v>
      </c>
      <c r="C56" s="354" t="s">
        <v>33</v>
      </c>
      <c r="D56" s="354" t="s">
        <v>32</v>
      </c>
      <c r="E56" s="354" t="s">
        <v>33</v>
      </c>
      <c r="F56" s="354" t="s">
        <v>32</v>
      </c>
      <c r="G56" s="354" t="s">
        <v>33</v>
      </c>
      <c r="H56" s="354" t="s">
        <v>32</v>
      </c>
      <c r="I56" s="354" t="s">
        <v>33</v>
      </c>
      <c r="J56" s="354" t="s">
        <v>32</v>
      </c>
      <c r="K56" s="354" t="s">
        <v>33</v>
      </c>
      <c r="L56" s="66"/>
      <c r="M56" s="66"/>
      <c r="N56" s="66"/>
      <c r="O56" s="66"/>
      <c r="P56" s="218">
        <f t="shared" si="109"/>
        <v>40</v>
      </c>
      <c r="Q56" s="62">
        <f t="shared" si="113"/>
        <v>72</v>
      </c>
      <c r="R56" s="219" t="str">
        <f t="shared" si="110"/>
        <v>Нетронин</v>
      </c>
      <c r="S56" s="76" t="s">
        <v>58</v>
      </c>
      <c r="T56" s="77" t="s">
        <v>59</v>
      </c>
      <c r="U56" s="73"/>
      <c r="V56" s="62"/>
      <c r="W56" s="62"/>
      <c r="X56" s="74" t="s">
        <v>34</v>
      </c>
      <c r="Y56" s="7"/>
      <c r="Z56" s="7"/>
      <c r="AA56" s="7"/>
      <c r="AB56" s="13"/>
      <c r="AC56" s="13"/>
      <c r="AD56" s="13"/>
    </row>
    <row r="57" s="21" customFormat="1" ht="14.25">
      <c r="A57" s="203" t="s">
        <v>62</v>
      </c>
      <c r="B57" s="354" t="s">
        <v>32</v>
      </c>
      <c r="C57" s="354" t="s">
        <v>33</v>
      </c>
      <c r="D57" s="354" t="s">
        <v>32</v>
      </c>
      <c r="E57" s="354" t="s">
        <v>33</v>
      </c>
      <c r="F57" s="354" t="s">
        <v>32</v>
      </c>
      <c r="G57" s="354" t="s">
        <v>33</v>
      </c>
      <c r="H57" s="426" t="s">
        <v>32</v>
      </c>
      <c r="I57" s="426" t="s">
        <v>33</v>
      </c>
      <c r="J57" s="426" t="s">
        <v>32</v>
      </c>
      <c r="K57" s="426" t="s">
        <v>33</v>
      </c>
      <c r="L57" s="498"/>
      <c r="M57" s="498"/>
      <c r="N57" s="498"/>
      <c r="O57" s="498"/>
      <c r="P57" s="218">
        <f t="shared" si="109"/>
        <v>40</v>
      </c>
      <c r="Q57" s="62">
        <f t="shared" si="113"/>
        <v>72</v>
      </c>
      <c r="R57" s="219" t="str">
        <f t="shared" si="110"/>
        <v>Раимова</v>
      </c>
      <c r="S57" s="76" t="s">
        <v>10</v>
      </c>
      <c r="T57" s="77" t="s">
        <v>9</v>
      </c>
      <c r="U57" s="73"/>
      <c r="V57" s="62"/>
      <c r="W57" s="62"/>
      <c r="X57" s="74" t="s">
        <v>38</v>
      </c>
      <c r="Y57" s="7"/>
      <c r="Z57" s="7"/>
      <c r="AA57" s="7"/>
      <c r="AB57" s="13"/>
      <c r="AC57" s="13"/>
      <c r="AD57" s="13"/>
    </row>
    <row r="58" s="21" customFormat="1" ht="14.25">
      <c r="A58" s="203" t="s">
        <v>63</v>
      </c>
      <c r="B58" s="354" t="s">
        <v>32</v>
      </c>
      <c r="C58" s="457" t="s">
        <v>33</v>
      </c>
      <c r="D58" s="354" t="s">
        <v>32</v>
      </c>
      <c r="E58" s="457" t="s">
        <v>33</v>
      </c>
      <c r="F58" s="354" t="s">
        <v>32</v>
      </c>
      <c r="G58" s="354" t="s">
        <v>33</v>
      </c>
      <c r="H58" s="354" t="s">
        <v>32</v>
      </c>
      <c r="I58" s="354" t="s">
        <v>33</v>
      </c>
      <c r="J58" s="354" t="s">
        <v>32</v>
      </c>
      <c r="K58" s="354" t="s">
        <v>33</v>
      </c>
      <c r="L58" s="273"/>
      <c r="M58" s="273"/>
      <c r="N58" s="273"/>
      <c r="O58" s="273"/>
      <c r="P58" s="218">
        <f t="shared" si="109"/>
        <v>40</v>
      </c>
      <c r="Q58" s="62">
        <f t="shared" si="113"/>
        <v>72</v>
      </c>
      <c r="R58" s="113" t="str">
        <f t="shared" si="110"/>
        <v>Войтехович</v>
      </c>
      <c r="S58" s="76" t="s">
        <v>10</v>
      </c>
      <c r="T58" s="77" t="s">
        <v>9</v>
      </c>
      <c r="U58" s="227"/>
      <c r="V58" s="62"/>
      <c r="W58" s="62"/>
      <c r="X58" s="74" t="s">
        <v>34</v>
      </c>
      <c r="Y58" s="7"/>
      <c r="Z58" s="7"/>
      <c r="AA58" s="7"/>
      <c r="AB58" s="13"/>
      <c r="AC58" s="13"/>
      <c r="AD58" s="13"/>
    </row>
    <row r="59" s="21" customFormat="1" ht="14.25">
      <c r="A59" s="203" t="s">
        <v>61</v>
      </c>
      <c r="B59" s="354" t="s">
        <v>32</v>
      </c>
      <c r="C59" s="354" t="s">
        <v>33</v>
      </c>
      <c r="D59" s="354" t="s">
        <v>32</v>
      </c>
      <c r="E59" s="354" t="s">
        <v>33</v>
      </c>
      <c r="F59" s="354" t="s">
        <v>32</v>
      </c>
      <c r="G59" s="354" t="s">
        <v>33</v>
      </c>
      <c r="H59" s="354" t="s">
        <v>32</v>
      </c>
      <c r="I59" s="354" t="s">
        <v>33</v>
      </c>
      <c r="J59" s="354" t="s">
        <v>32</v>
      </c>
      <c r="K59" s="354" t="s">
        <v>33</v>
      </c>
      <c r="L59" s="273"/>
      <c r="M59" s="273"/>
      <c r="N59" s="273"/>
      <c r="O59" s="273"/>
      <c r="P59" s="218">
        <f t="shared" si="109"/>
        <v>40</v>
      </c>
      <c r="Q59" s="62">
        <f t="shared" si="113"/>
        <v>72</v>
      </c>
      <c r="R59" s="113" t="str">
        <f t="shared" si="110"/>
        <v>Карузина</v>
      </c>
      <c r="S59" s="76" t="s">
        <v>58</v>
      </c>
      <c r="T59" s="77" t="s">
        <v>59</v>
      </c>
      <c r="U59" s="227"/>
      <c r="V59" s="62"/>
      <c r="W59" s="62"/>
      <c r="X59" s="74" t="s">
        <v>38</v>
      </c>
      <c r="Y59" s="7"/>
      <c r="Z59" s="7"/>
      <c r="AA59" s="7"/>
      <c r="AB59" s="13"/>
      <c r="AC59" s="13"/>
      <c r="AD59" s="13"/>
    </row>
    <row r="60" s="21" customFormat="1" ht="14.25">
      <c r="A60" s="203" t="s">
        <v>64</v>
      </c>
      <c r="B60" s="354" t="s">
        <v>32</v>
      </c>
      <c r="C60" s="354" t="s">
        <v>33</v>
      </c>
      <c r="D60" s="354" t="s">
        <v>32</v>
      </c>
      <c r="E60" s="354" t="s">
        <v>33</v>
      </c>
      <c r="F60" s="354" t="s">
        <v>32</v>
      </c>
      <c r="G60" s="457" t="s">
        <v>33</v>
      </c>
      <c r="H60" s="354" t="s">
        <v>32</v>
      </c>
      <c r="I60" s="354" t="s">
        <v>33</v>
      </c>
      <c r="J60" s="354" t="s">
        <v>32</v>
      </c>
      <c r="K60" s="354" t="s">
        <v>33</v>
      </c>
      <c r="L60" s="273"/>
      <c r="M60" s="273"/>
      <c r="N60" s="273"/>
      <c r="O60" s="273"/>
      <c r="P60" s="218">
        <f t="shared" si="109"/>
        <v>40</v>
      </c>
      <c r="Q60" s="62">
        <f t="shared" si="113"/>
        <v>72</v>
      </c>
      <c r="R60" s="113" t="str">
        <f t="shared" si="110"/>
        <v>Васильев</v>
      </c>
      <c r="S60" s="76" t="s">
        <v>67</v>
      </c>
      <c r="T60" s="77" t="s">
        <v>68</v>
      </c>
      <c r="U60" s="227"/>
      <c r="V60" s="62"/>
      <c r="W60" s="62"/>
      <c r="X60" s="74" t="s">
        <v>38</v>
      </c>
      <c r="Y60" s="7"/>
      <c r="Z60" s="7"/>
      <c r="AA60" s="7"/>
      <c r="AB60" s="13"/>
      <c r="AC60" s="13"/>
      <c r="AD60" s="13"/>
    </row>
    <row r="61" s="21" customFormat="1" ht="14.25">
      <c r="A61" s="205" t="s">
        <v>43</v>
      </c>
      <c r="B61" s="67"/>
      <c r="C61" s="362"/>
      <c r="D61" s="261"/>
      <c r="E61" s="362"/>
      <c r="F61" s="251" t="s">
        <v>71</v>
      </c>
      <c r="G61" s="359">
        <v>8</v>
      </c>
      <c r="H61" s="499"/>
      <c r="I61" s="500" t="s">
        <v>33</v>
      </c>
      <c r="J61" s="500"/>
      <c r="K61" s="500" t="s">
        <v>33</v>
      </c>
      <c r="L61" s="501"/>
      <c r="M61" s="501"/>
      <c r="N61" s="501"/>
      <c r="O61" s="501"/>
      <c r="P61" s="253">
        <f t="shared" si="109"/>
        <v>24</v>
      </c>
      <c r="Q61" s="62">
        <f t="shared" si="113"/>
        <v>75</v>
      </c>
      <c r="R61" s="442" t="str">
        <f t="shared" si="110"/>
        <v>Дащенко</v>
      </c>
      <c r="S61" s="71" t="s">
        <v>12</v>
      </c>
      <c r="T61" s="72" t="s">
        <v>11</v>
      </c>
      <c r="U61" s="90">
        <v>3</v>
      </c>
      <c r="V61" s="62">
        <f t="shared" si="112"/>
        <v>0</v>
      </c>
      <c r="W61" s="62"/>
      <c r="X61" s="80" t="s">
        <v>44</v>
      </c>
      <c r="Y61" s="7"/>
      <c r="Z61" s="7"/>
      <c r="AA61" s="7"/>
      <c r="AB61" s="13"/>
      <c r="AC61" s="13"/>
      <c r="AD61" s="13"/>
    </row>
    <row r="62" s="21" customFormat="1" ht="14.25">
      <c r="A62" s="205" t="s">
        <v>45</v>
      </c>
      <c r="B62" s="108"/>
      <c r="C62" s="108" t="s">
        <v>33</v>
      </c>
      <c r="D62" s="108"/>
      <c r="E62" s="108" t="s">
        <v>33</v>
      </c>
      <c r="F62" s="108"/>
      <c r="G62" s="108" t="s">
        <v>33</v>
      </c>
      <c r="H62" s="108"/>
      <c r="I62" s="108" t="s">
        <v>33</v>
      </c>
      <c r="J62" s="109"/>
      <c r="K62" s="109" t="s">
        <v>33</v>
      </c>
      <c r="L62" s="108"/>
      <c r="M62" s="108"/>
      <c r="N62" s="108"/>
      <c r="O62" s="108"/>
      <c r="P62" s="218">
        <f t="shared" si="109"/>
        <v>40</v>
      </c>
      <c r="Q62" s="62">
        <f t="shared" si="113"/>
        <v>59</v>
      </c>
      <c r="R62" s="219" t="str">
        <f t="shared" si="110"/>
        <v>Пузырь</v>
      </c>
      <c r="S62" s="76" t="s">
        <v>10</v>
      </c>
      <c r="T62" s="77" t="s">
        <v>9</v>
      </c>
      <c r="U62" s="73">
        <f t="shared" si="111"/>
        <v>0</v>
      </c>
      <c r="V62" s="62">
        <f t="shared" si="112"/>
        <v>0</v>
      </c>
      <c r="W62" s="62"/>
      <c r="X62" s="74" t="s">
        <v>34</v>
      </c>
      <c r="Y62" s="7"/>
      <c r="Z62" s="7"/>
      <c r="AA62" s="7"/>
      <c r="AB62" s="13"/>
      <c r="AC62" s="13"/>
      <c r="AD62" s="13"/>
    </row>
    <row r="63" s="21" customFormat="1" ht="14.25">
      <c r="A63" s="205" t="s">
        <v>65</v>
      </c>
      <c r="B63" s="77"/>
      <c r="C63" s="359">
        <v>11</v>
      </c>
      <c r="D63" s="77"/>
      <c r="E63" s="359">
        <v>11</v>
      </c>
      <c r="F63" s="67"/>
      <c r="G63" s="362"/>
      <c r="H63" s="67"/>
      <c r="I63" s="362"/>
      <c r="J63" s="76"/>
      <c r="K63" s="361">
        <v>11</v>
      </c>
      <c r="L63" s="76"/>
      <c r="M63" s="361">
        <v>11</v>
      </c>
      <c r="N63" s="173"/>
      <c r="O63" s="361">
        <v>11</v>
      </c>
      <c r="P63" s="218">
        <f t="shared" si="109"/>
        <v>55</v>
      </c>
      <c r="Q63" s="62">
        <f t="shared" si="113"/>
        <v>44</v>
      </c>
      <c r="R63" s="219" t="str">
        <f t="shared" si="110"/>
        <v>Рожнева</v>
      </c>
      <c r="S63" s="71" t="s">
        <v>12</v>
      </c>
      <c r="T63" s="72" t="s">
        <v>11</v>
      </c>
      <c r="U63" s="73">
        <v>3</v>
      </c>
      <c r="V63" s="62">
        <v>2</v>
      </c>
      <c r="W63" s="62"/>
      <c r="X63" s="74" t="s">
        <v>34</v>
      </c>
      <c r="Y63" s="7"/>
      <c r="Z63" s="7"/>
      <c r="AA63" s="7"/>
      <c r="AB63" s="13"/>
      <c r="AC63" s="13"/>
      <c r="AD63" s="13"/>
    </row>
    <row r="64" s="21" customFormat="1" ht="14.25">
      <c r="A64" s="205" t="s">
        <v>47</v>
      </c>
      <c r="B64" s="67"/>
      <c r="C64" s="450"/>
      <c r="D64" s="76"/>
      <c r="E64" s="361">
        <v>11</v>
      </c>
      <c r="F64" s="76"/>
      <c r="G64" s="361">
        <v>11</v>
      </c>
      <c r="H64" s="67"/>
      <c r="I64" s="362"/>
      <c r="J64" s="67"/>
      <c r="K64" s="362"/>
      <c r="L64" s="76"/>
      <c r="M64" s="361">
        <v>11</v>
      </c>
      <c r="N64" s="76"/>
      <c r="O64" s="361">
        <v>11</v>
      </c>
      <c r="P64" s="218">
        <f t="shared" si="109"/>
        <v>44</v>
      </c>
      <c r="Q64" s="62">
        <f t="shared" si="113"/>
        <v>77</v>
      </c>
      <c r="R64" s="219" t="str">
        <f t="shared" si="110"/>
        <v>Торубара</v>
      </c>
      <c r="S64" s="76" t="s">
        <v>10</v>
      </c>
      <c r="T64" s="77" t="s">
        <v>9</v>
      </c>
      <c r="U64" s="73">
        <v>1</v>
      </c>
      <c r="V64" s="62">
        <v>2</v>
      </c>
      <c r="W64" s="62"/>
      <c r="X64" s="74" t="s">
        <v>34</v>
      </c>
      <c r="Y64" s="7"/>
      <c r="Z64" s="7"/>
      <c r="AA64" s="7"/>
      <c r="AB64" s="13"/>
      <c r="AC64" s="13"/>
      <c r="AD64" s="13"/>
    </row>
    <row r="65" s="21" customFormat="1" ht="14.25">
      <c r="A65" s="205" t="s">
        <v>48</v>
      </c>
      <c r="B65" s="76"/>
      <c r="C65" s="361">
        <v>11</v>
      </c>
      <c r="D65" s="446"/>
      <c r="E65" s="362"/>
      <c r="F65" s="66"/>
      <c r="G65" s="66"/>
      <c r="H65" s="76"/>
      <c r="I65" s="361">
        <v>11</v>
      </c>
      <c r="J65" s="76"/>
      <c r="K65" s="361">
        <v>11</v>
      </c>
      <c r="L65" s="67"/>
      <c r="M65" s="362"/>
      <c r="N65" s="66"/>
      <c r="O65" s="66"/>
      <c r="P65" s="218">
        <f t="shared" si="109"/>
        <v>33</v>
      </c>
      <c r="Q65" s="62">
        <f t="shared" si="113"/>
        <v>66</v>
      </c>
      <c r="R65" s="219" t="str">
        <f t="shared" si="110"/>
        <v>Стрыгин</v>
      </c>
      <c r="S65" s="71" t="s">
        <v>8</v>
      </c>
      <c r="T65" s="72" t="s">
        <v>7</v>
      </c>
      <c r="U65" s="73">
        <v>2</v>
      </c>
      <c r="V65" s="62">
        <v>2</v>
      </c>
      <c r="W65" s="62"/>
      <c r="X65" s="74" t="s">
        <v>49</v>
      </c>
      <c r="Y65" s="7"/>
      <c r="Z65" s="7"/>
      <c r="AA65" s="7"/>
      <c r="AB65" s="13"/>
      <c r="AC65" s="13"/>
      <c r="AD65" s="13"/>
    </row>
    <row r="66" s="21" customFormat="1" ht="14.25">
      <c r="A66" s="205" t="s">
        <v>50</v>
      </c>
      <c r="B66" s="76"/>
      <c r="C66" s="361">
        <v>11</v>
      </c>
      <c r="D66" s="76"/>
      <c r="E66" s="361">
        <v>11</v>
      </c>
      <c r="F66" s="67"/>
      <c r="G66" s="362"/>
      <c r="H66" s="446"/>
      <c r="I66" s="362"/>
      <c r="J66" s="77"/>
      <c r="K66" s="359">
        <v>11</v>
      </c>
      <c r="L66" s="77"/>
      <c r="M66" s="359">
        <v>11</v>
      </c>
      <c r="N66" s="67"/>
      <c r="O66" s="362"/>
      <c r="P66" s="218">
        <f t="shared" si="109"/>
        <v>44</v>
      </c>
      <c r="Q66" s="62">
        <f t="shared" si="113"/>
        <v>55</v>
      </c>
      <c r="R66" s="219" t="str">
        <f t="shared" si="110"/>
        <v>Фрик</v>
      </c>
      <c r="S66" s="71" t="s">
        <v>12</v>
      </c>
      <c r="T66" s="72" t="s">
        <v>11</v>
      </c>
      <c r="U66" s="73">
        <v>2</v>
      </c>
      <c r="V66" s="62">
        <v>1</v>
      </c>
      <c r="W66" s="62"/>
      <c r="X66" s="74" t="s">
        <v>44</v>
      </c>
      <c r="Y66" s="7"/>
      <c r="Z66" s="7"/>
      <c r="AA66" s="7"/>
      <c r="AB66" s="13"/>
      <c r="AC66" s="13"/>
      <c r="AD66" s="13"/>
    </row>
    <row r="67" s="21" customFormat="1" ht="14.25">
      <c r="A67" s="206" t="s">
        <v>51</v>
      </c>
      <c r="B67" s="67"/>
      <c r="C67" s="450"/>
      <c r="D67" s="77"/>
      <c r="E67" s="359">
        <v>11</v>
      </c>
      <c r="F67" s="72"/>
      <c r="G67" s="359">
        <v>11</v>
      </c>
      <c r="H67" s="77"/>
      <c r="I67" s="359">
        <v>11</v>
      </c>
      <c r="J67" s="446"/>
      <c r="K67" s="362"/>
      <c r="L67" s="67"/>
      <c r="M67" s="362"/>
      <c r="N67" s="72"/>
      <c r="O67" s="359">
        <v>11</v>
      </c>
      <c r="P67" s="218">
        <f t="shared" si="109"/>
        <v>44</v>
      </c>
      <c r="Q67" s="62">
        <f t="shared" si="113"/>
        <v>55</v>
      </c>
      <c r="R67" s="219" t="str">
        <f t="shared" si="110"/>
        <v>Истрашкин</v>
      </c>
      <c r="S67" s="71" t="s">
        <v>10</v>
      </c>
      <c r="T67" s="72" t="s">
        <v>9</v>
      </c>
      <c r="U67" s="73">
        <v>2</v>
      </c>
      <c r="V67" s="62">
        <v>2</v>
      </c>
      <c r="W67" s="62"/>
      <c r="X67" s="74" t="s">
        <v>34</v>
      </c>
      <c r="Y67" s="7"/>
      <c r="Z67" s="7"/>
      <c r="AA67" s="7"/>
      <c r="AB67" s="13"/>
      <c r="AC67" s="13"/>
      <c r="AD67" s="13"/>
    </row>
    <row r="68" ht="14.25">
      <c r="A68" s="207"/>
      <c r="B68" s="210">
        <v>46125</v>
      </c>
      <c r="C68" s="210"/>
      <c r="D68" s="210">
        <v>46126</v>
      </c>
      <c r="E68" s="210"/>
      <c r="F68" s="210">
        <v>46127</v>
      </c>
      <c r="G68" s="210"/>
      <c r="H68" s="210">
        <v>46128</v>
      </c>
      <c r="I68" s="210"/>
      <c r="J68" s="210">
        <v>46129</v>
      </c>
      <c r="K68" s="210"/>
      <c r="L68" s="210">
        <v>46130</v>
      </c>
      <c r="M68" s="210"/>
      <c r="N68" s="210">
        <v>46131</v>
      </c>
      <c r="O68" s="212"/>
      <c r="P68" s="253"/>
      <c r="Q68" s="254"/>
      <c r="R68" s="207"/>
      <c r="S68" s="138"/>
      <c r="T68" s="138"/>
      <c r="U68" s="60" t="s">
        <v>27</v>
      </c>
      <c r="V68" s="61" t="s">
        <v>28</v>
      </c>
      <c r="W68" s="62" t="s">
        <v>29</v>
      </c>
      <c r="X68" s="7"/>
      <c r="Y68" s="7"/>
      <c r="Z68" s="7"/>
      <c r="AA68" s="7"/>
      <c r="AB68" s="13"/>
      <c r="AC68" s="13"/>
      <c r="AD68" s="13"/>
    </row>
    <row r="69" ht="14.25">
      <c r="A69" s="165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65"/>
      <c r="Q69" s="165"/>
      <c r="R69" s="193"/>
      <c r="S69" s="127"/>
      <c r="T69" s="127"/>
      <c r="U69" s="127"/>
      <c r="V69" s="127"/>
      <c r="W69" s="128"/>
      <c r="X69" s="7"/>
      <c r="Y69" s="7"/>
      <c r="Z69" s="7"/>
      <c r="AA69" s="7"/>
      <c r="AB69" s="13"/>
      <c r="AC69" s="13"/>
      <c r="AD69" s="13"/>
    </row>
    <row r="70" ht="14.25">
      <c r="A70" s="143"/>
      <c r="B70" s="43" t="s">
        <v>17</v>
      </c>
      <c r="C70" s="142"/>
      <c r="D70" s="43" t="s">
        <v>18</v>
      </c>
      <c r="E70" s="142"/>
      <c r="F70" s="43" t="s">
        <v>19</v>
      </c>
      <c r="G70" s="43"/>
      <c r="H70" s="43" t="s">
        <v>20</v>
      </c>
      <c r="I70" s="142"/>
      <c r="J70" s="45" t="s">
        <v>21</v>
      </c>
      <c r="K70" s="45"/>
      <c r="L70" s="43" t="s">
        <v>22</v>
      </c>
      <c r="M70" s="43"/>
      <c r="N70" s="43" t="s">
        <v>23</v>
      </c>
      <c r="O70" s="214"/>
      <c r="P70" s="208" t="s">
        <v>24</v>
      </c>
      <c r="Q70" s="209"/>
      <c r="R70" s="143"/>
      <c r="S70" s="143"/>
      <c r="T70" s="143"/>
      <c r="U70" s="62"/>
      <c r="V70" s="62"/>
      <c r="W70" s="62"/>
      <c r="X70" s="51"/>
      <c r="Y70" s="7"/>
      <c r="Z70" s="7"/>
      <c r="AA70" s="7"/>
      <c r="AB70" s="13"/>
      <c r="AC70" s="13"/>
      <c r="AD70" s="13"/>
    </row>
    <row r="71" ht="14.25">
      <c r="A71" s="143"/>
      <c r="B71" s="210">
        <v>46132</v>
      </c>
      <c r="C71" s="210"/>
      <c r="D71" s="210">
        <v>46133</v>
      </c>
      <c r="E71" s="210"/>
      <c r="F71" s="210">
        <v>46134</v>
      </c>
      <c r="G71" s="210"/>
      <c r="H71" s="210">
        <v>46135</v>
      </c>
      <c r="I71" s="210"/>
      <c r="J71" s="210">
        <v>46136</v>
      </c>
      <c r="K71" s="210"/>
      <c r="L71" s="210">
        <v>46137</v>
      </c>
      <c r="M71" s="210"/>
      <c r="N71" s="210">
        <v>46138</v>
      </c>
      <c r="O71" s="440"/>
      <c r="P71" s="213" t="s">
        <v>25</v>
      </c>
      <c r="Q71" s="214" t="s">
        <v>26</v>
      </c>
      <c r="R71" s="249"/>
      <c r="S71" s="147"/>
      <c r="T71" s="147"/>
      <c r="U71" s="60" t="s">
        <v>27</v>
      </c>
      <c r="V71" s="61" t="s">
        <v>28</v>
      </c>
      <c r="W71" s="62" t="s">
        <v>29</v>
      </c>
      <c r="X71" s="63" t="s">
        <v>30</v>
      </c>
      <c r="Y71" s="7"/>
      <c r="Z71" s="7"/>
      <c r="AA71" s="7"/>
      <c r="AB71" s="13"/>
      <c r="AC71" s="13"/>
      <c r="AD71" s="13"/>
    </row>
    <row r="72" s="21" customFormat="1" ht="14.25">
      <c r="A72" s="203" t="s">
        <v>35</v>
      </c>
      <c r="B72" s="354" t="s">
        <v>32</v>
      </c>
      <c r="C72" s="354" t="s">
        <v>33</v>
      </c>
      <c r="D72" s="354" t="s">
        <v>32</v>
      </c>
      <c r="E72" s="354" t="s">
        <v>33</v>
      </c>
      <c r="F72" s="354" t="s">
        <v>32</v>
      </c>
      <c r="G72" s="354" t="s">
        <v>33</v>
      </c>
      <c r="H72" s="354" t="s">
        <v>32</v>
      </c>
      <c r="I72" s="354" t="s">
        <v>33</v>
      </c>
      <c r="J72" s="354" t="s">
        <v>32</v>
      </c>
      <c r="K72" s="354" t="s">
        <v>72</v>
      </c>
      <c r="L72" s="66"/>
      <c r="M72" s="66"/>
      <c r="N72" s="66"/>
      <c r="O72" s="66"/>
      <c r="P72" s="218">
        <f t="shared" si="109"/>
        <v>40.5</v>
      </c>
      <c r="Q72" s="62">
        <f t="shared" si="113"/>
        <v>31.5</v>
      </c>
      <c r="R72" s="219" t="str">
        <f t="shared" si="110"/>
        <v>Рычков</v>
      </c>
      <c r="S72" s="76" t="s">
        <v>10</v>
      </c>
      <c r="T72" s="77" t="s">
        <v>9</v>
      </c>
      <c r="U72" s="73">
        <f t="shared" si="111"/>
        <v>0</v>
      </c>
      <c r="V72" s="62">
        <f t="shared" si="112"/>
        <v>0</v>
      </c>
      <c r="W72" s="62"/>
      <c r="X72" s="74" t="s">
        <v>34</v>
      </c>
      <c r="Y72" s="7"/>
      <c r="Z72" s="7"/>
      <c r="AA72" s="7"/>
      <c r="AB72" s="13"/>
      <c r="AC72" s="13"/>
      <c r="AD72" s="13"/>
    </row>
    <row r="73" s="21" customFormat="1" ht="14.4" hidden="1">
      <c r="A73" s="203" t="s">
        <v>61</v>
      </c>
      <c r="B73" s="354" t="s">
        <v>32</v>
      </c>
      <c r="C73" s="354" t="s">
        <v>33</v>
      </c>
      <c r="D73" s="354" t="s">
        <v>32</v>
      </c>
      <c r="E73" s="354" t="s">
        <v>33</v>
      </c>
      <c r="F73" s="354" t="s">
        <v>32</v>
      </c>
      <c r="G73" s="354" t="s">
        <v>33</v>
      </c>
      <c r="H73" s="354" t="s">
        <v>32</v>
      </c>
      <c r="I73" s="354" t="s">
        <v>33</v>
      </c>
      <c r="J73" s="354" t="s">
        <v>32</v>
      </c>
      <c r="K73" s="354" t="s">
        <v>33</v>
      </c>
      <c r="L73" s="66"/>
      <c r="M73" s="66"/>
      <c r="N73" s="67"/>
      <c r="O73" s="67"/>
      <c r="P73" s="218">
        <f t="shared" si="109"/>
        <v>40</v>
      </c>
      <c r="Q73" s="62">
        <f t="shared" si="113"/>
        <v>32</v>
      </c>
      <c r="R73" s="219" t="str">
        <f t="shared" si="110"/>
        <v>Карузина</v>
      </c>
      <c r="S73" s="76" t="s">
        <v>10</v>
      </c>
      <c r="T73" s="77" t="s">
        <v>9</v>
      </c>
      <c r="U73" s="73">
        <f t="shared" si="111"/>
        <v>0</v>
      </c>
      <c r="V73" s="62">
        <f t="shared" si="112"/>
        <v>0</v>
      </c>
      <c r="W73" s="62"/>
      <c r="X73" s="79" t="s">
        <v>49</v>
      </c>
      <c r="Y73" s="7"/>
      <c r="Z73" s="7"/>
      <c r="AA73" s="7"/>
      <c r="AB73" s="13"/>
      <c r="AC73" s="13"/>
      <c r="AD73" s="13"/>
    </row>
    <row r="74" s="21" customFormat="1" ht="14.25">
      <c r="A74" s="203" t="s">
        <v>39</v>
      </c>
      <c r="B74" s="354" t="s">
        <v>32</v>
      </c>
      <c r="C74" s="354" t="s">
        <v>33</v>
      </c>
      <c r="D74" s="354" t="s">
        <v>32</v>
      </c>
      <c r="E74" s="354" t="s">
        <v>33</v>
      </c>
      <c r="F74" s="354" t="s">
        <v>32</v>
      </c>
      <c r="G74" s="354" t="s">
        <v>33</v>
      </c>
      <c r="H74" s="354" t="s">
        <v>32</v>
      </c>
      <c r="I74" s="354" t="s">
        <v>33</v>
      </c>
      <c r="J74" s="354" t="s">
        <v>32</v>
      </c>
      <c r="K74" s="354" t="s">
        <v>33</v>
      </c>
      <c r="L74" s="66"/>
      <c r="M74" s="66"/>
      <c r="N74" s="66"/>
      <c r="O74" s="66"/>
      <c r="P74" s="218">
        <f t="shared" si="109"/>
        <v>40</v>
      </c>
      <c r="Q74" s="62">
        <f t="shared" si="113"/>
        <v>32</v>
      </c>
      <c r="R74" s="219" t="str">
        <f t="shared" si="110"/>
        <v>Игумнов</v>
      </c>
      <c r="S74" s="76" t="s">
        <v>10</v>
      </c>
      <c r="T74" s="77" t="s">
        <v>9</v>
      </c>
      <c r="U74" s="73">
        <f t="shared" si="111"/>
        <v>0</v>
      </c>
      <c r="V74" s="62">
        <f t="shared" si="112"/>
        <v>0</v>
      </c>
      <c r="W74" s="62"/>
      <c r="X74" s="79" t="s">
        <v>34</v>
      </c>
      <c r="Y74" s="7"/>
      <c r="Z74" s="7"/>
      <c r="AA74" s="7"/>
      <c r="AB74" s="13"/>
      <c r="AC74" s="13"/>
      <c r="AD74" s="13"/>
    </row>
    <row r="75" s="21" customFormat="1" ht="14.25">
      <c r="A75" s="203" t="s">
        <v>40</v>
      </c>
      <c r="B75" s="148"/>
      <c r="C75" s="148" t="s">
        <v>33</v>
      </c>
      <c r="D75" s="148"/>
      <c r="E75" s="148" t="s">
        <v>33</v>
      </c>
      <c r="F75" s="148"/>
      <c r="G75" s="148" t="s">
        <v>33</v>
      </c>
      <c r="H75" s="148"/>
      <c r="I75" s="148" t="s">
        <v>33</v>
      </c>
      <c r="J75" s="148"/>
      <c r="K75" s="148" t="s">
        <v>33</v>
      </c>
      <c r="L75" s="108"/>
      <c r="M75" s="108"/>
      <c r="N75" s="108"/>
      <c r="O75" s="108"/>
      <c r="P75" s="218">
        <f t="shared" si="109"/>
        <v>40</v>
      </c>
      <c r="Q75" s="62">
        <f t="shared" si="113"/>
        <v>32</v>
      </c>
      <c r="R75" s="219" t="str">
        <f t="shared" si="110"/>
        <v>Душин</v>
      </c>
      <c r="S75" s="76" t="s">
        <v>10</v>
      </c>
      <c r="T75" s="77" t="s">
        <v>9</v>
      </c>
      <c r="U75" s="73">
        <f t="shared" si="111"/>
        <v>0</v>
      </c>
      <c r="V75" s="62">
        <f t="shared" si="112"/>
        <v>0</v>
      </c>
      <c r="W75" s="62"/>
      <c r="X75" s="74" t="s">
        <v>38</v>
      </c>
      <c r="Y75" s="7"/>
      <c r="Z75" s="7"/>
      <c r="AA75" s="7"/>
      <c r="AB75" s="13"/>
      <c r="AC75" s="13"/>
      <c r="AD75" s="13"/>
    </row>
    <row r="76" s="21" customFormat="1" ht="14.25">
      <c r="A76" s="203" t="s">
        <v>31</v>
      </c>
      <c r="B76" s="354" t="s">
        <v>32</v>
      </c>
      <c r="C76" s="354" t="s">
        <v>33</v>
      </c>
      <c r="D76" s="354" t="s">
        <v>32</v>
      </c>
      <c r="E76" s="354" t="s">
        <v>33</v>
      </c>
      <c r="F76" s="354" t="s">
        <v>32</v>
      </c>
      <c r="G76" s="354" t="s">
        <v>33</v>
      </c>
      <c r="H76" s="354" t="s">
        <v>32</v>
      </c>
      <c r="I76" s="354" t="s">
        <v>33</v>
      </c>
      <c r="J76" s="354" t="s">
        <v>32</v>
      </c>
      <c r="K76" s="354" t="s">
        <v>33</v>
      </c>
      <c r="L76" s="66"/>
      <c r="M76" s="66"/>
      <c r="N76" s="66"/>
      <c r="O76" s="66"/>
      <c r="P76" s="218">
        <f t="shared" ref="P76:P107" si="114">C76+E76+G76+I76+K76+M76+O76</f>
        <v>40</v>
      </c>
      <c r="Q76" s="62">
        <f t="shared" si="113"/>
        <v>32</v>
      </c>
      <c r="R76" s="219" t="str">
        <f t="shared" ref="R76:R107" si="115">A76</f>
        <v>Нетронин</v>
      </c>
      <c r="S76" s="76" t="s">
        <v>58</v>
      </c>
      <c r="T76" s="77" t="s">
        <v>59</v>
      </c>
      <c r="U76" s="73"/>
      <c r="V76" s="62"/>
      <c r="W76" s="62"/>
      <c r="X76" s="74" t="s">
        <v>34</v>
      </c>
      <c r="Y76" s="7"/>
      <c r="Z76" s="7"/>
      <c r="AA76" s="7"/>
      <c r="AB76" s="13"/>
      <c r="AC76" s="13"/>
      <c r="AD76" s="13"/>
    </row>
    <row r="77" s="21" customFormat="1" ht="14.25">
      <c r="A77" s="203" t="s">
        <v>62</v>
      </c>
      <c r="B77" s="426" t="s">
        <v>32</v>
      </c>
      <c r="C77" s="426" t="s">
        <v>33</v>
      </c>
      <c r="D77" s="426" t="s">
        <v>32</v>
      </c>
      <c r="E77" s="426" t="s">
        <v>33</v>
      </c>
      <c r="F77" s="426" t="s">
        <v>32</v>
      </c>
      <c r="G77" s="426" t="s">
        <v>33</v>
      </c>
      <c r="H77" s="426" t="s">
        <v>32</v>
      </c>
      <c r="I77" s="426" t="s">
        <v>33</v>
      </c>
      <c r="J77" s="426" t="s">
        <v>32</v>
      </c>
      <c r="K77" s="426" t="s">
        <v>33</v>
      </c>
      <c r="L77" s="498"/>
      <c r="M77" s="498"/>
      <c r="N77" s="498"/>
      <c r="O77" s="498"/>
      <c r="P77" s="218">
        <f t="shared" si="114"/>
        <v>40</v>
      </c>
      <c r="Q77" s="62">
        <f t="shared" si="113"/>
        <v>32</v>
      </c>
      <c r="R77" s="219" t="str">
        <f t="shared" si="115"/>
        <v>Раимова</v>
      </c>
      <c r="S77" s="76" t="s">
        <v>10</v>
      </c>
      <c r="T77" s="77" t="s">
        <v>9</v>
      </c>
      <c r="U77" s="73"/>
      <c r="V77" s="62"/>
      <c r="W77" s="62"/>
      <c r="X77" s="74" t="s">
        <v>38</v>
      </c>
      <c r="Y77" s="7"/>
      <c r="Z77" s="7"/>
      <c r="AA77" s="7"/>
      <c r="AB77" s="13"/>
      <c r="AC77" s="13"/>
      <c r="AD77" s="13"/>
    </row>
    <row r="78" s="21" customFormat="1" ht="14.25">
      <c r="A78" s="203" t="s">
        <v>63</v>
      </c>
      <c r="B78" s="426" t="s">
        <v>32</v>
      </c>
      <c r="C78" s="426" t="s">
        <v>33</v>
      </c>
      <c r="D78" s="426" t="s">
        <v>32</v>
      </c>
      <c r="E78" s="426" t="s">
        <v>33</v>
      </c>
      <c r="F78" s="426" t="s">
        <v>32</v>
      </c>
      <c r="G78" s="426" t="s">
        <v>33</v>
      </c>
      <c r="H78" s="426" t="s">
        <v>32</v>
      </c>
      <c r="I78" s="426" t="s">
        <v>33</v>
      </c>
      <c r="J78" s="426" t="s">
        <v>32</v>
      </c>
      <c r="K78" s="426" t="s">
        <v>33</v>
      </c>
      <c r="L78" s="273"/>
      <c r="M78" s="273"/>
      <c r="N78" s="273"/>
      <c r="O78" s="273"/>
      <c r="P78" s="218">
        <f t="shared" si="114"/>
        <v>40</v>
      </c>
      <c r="Q78" s="62">
        <f t="shared" si="113"/>
        <v>32</v>
      </c>
      <c r="R78" s="113" t="str">
        <f t="shared" si="115"/>
        <v>Войтехович</v>
      </c>
      <c r="S78" s="76" t="s">
        <v>10</v>
      </c>
      <c r="T78" s="77" t="s">
        <v>9</v>
      </c>
      <c r="U78" s="227"/>
      <c r="V78" s="62"/>
      <c r="W78" s="62"/>
      <c r="X78" s="74" t="s">
        <v>34</v>
      </c>
      <c r="Y78" s="7"/>
      <c r="Z78" s="7"/>
      <c r="AA78" s="7"/>
      <c r="AB78" s="13"/>
      <c r="AC78" s="13"/>
      <c r="AD78" s="13"/>
    </row>
    <row r="79" s="21" customFormat="1" ht="14.25">
      <c r="A79" s="203" t="s">
        <v>61</v>
      </c>
      <c r="B79" s="354" t="s">
        <v>32</v>
      </c>
      <c r="C79" s="354" t="s">
        <v>33</v>
      </c>
      <c r="D79" s="354" t="s">
        <v>32</v>
      </c>
      <c r="E79" s="354" t="s">
        <v>33</v>
      </c>
      <c r="F79" s="354" t="s">
        <v>32</v>
      </c>
      <c r="G79" s="354" t="s">
        <v>33</v>
      </c>
      <c r="H79" s="354" t="s">
        <v>32</v>
      </c>
      <c r="I79" s="354" t="s">
        <v>33</v>
      </c>
      <c r="J79" s="148"/>
      <c r="K79" s="148" t="s">
        <v>33</v>
      </c>
      <c r="L79" s="148"/>
      <c r="M79" s="148"/>
      <c r="N79" s="148"/>
      <c r="O79" s="148"/>
      <c r="P79" s="218">
        <f t="shared" si="114"/>
        <v>40</v>
      </c>
      <c r="Q79" s="62">
        <f t="shared" si="113"/>
        <v>32</v>
      </c>
      <c r="R79" s="113" t="str">
        <f t="shared" si="115"/>
        <v>Карузина</v>
      </c>
      <c r="S79" s="76" t="s">
        <v>58</v>
      </c>
      <c r="T79" s="77" t="s">
        <v>59</v>
      </c>
      <c r="U79" s="227"/>
      <c r="V79" s="62"/>
      <c r="W79" s="62"/>
      <c r="X79" s="74" t="s">
        <v>38</v>
      </c>
      <c r="Y79" s="7"/>
      <c r="Z79" s="7"/>
      <c r="AA79" s="7"/>
      <c r="AB79" s="13"/>
      <c r="AC79" s="13"/>
      <c r="AD79" s="13"/>
    </row>
    <row r="80" s="21" customFormat="1" ht="14.25">
      <c r="A80" s="203" t="s">
        <v>64</v>
      </c>
      <c r="B80" s="354" t="s">
        <v>32</v>
      </c>
      <c r="C80" s="354" t="s">
        <v>33</v>
      </c>
      <c r="D80" s="354" t="s">
        <v>32</v>
      </c>
      <c r="E80" s="354" t="s">
        <v>33</v>
      </c>
      <c r="F80" s="354" t="s">
        <v>32</v>
      </c>
      <c r="G80" s="354" t="s">
        <v>33</v>
      </c>
      <c r="H80" s="354" t="s">
        <v>32</v>
      </c>
      <c r="I80" s="354" t="s">
        <v>33</v>
      </c>
      <c r="J80" s="354" t="s">
        <v>32</v>
      </c>
      <c r="K80" s="354" t="s">
        <v>33</v>
      </c>
      <c r="L80" s="273"/>
      <c r="M80" s="273"/>
      <c r="N80" s="273"/>
      <c r="O80" s="273"/>
      <c r="P80" s="218">
        <f t="shared" si="114"/>
        <v>40</v>
      </c>
      <c r="Q80" s="62">
        <f t="shared" si="113"/>
        <v>32</v>
      </c>
      <c r="R80" s="113" t="str">
        <f t="shared" si="115"/>
        <v>Васильев</v>
      </c>
      <c r="S80" s="76" t="s">
        <v>67</v>
      </c>
      <c r="T80" s="77" t="s">
        <v>68</v>
      </c>
      <c r="U80" s="227"/>
      <c r="V80" s="62"/>
      <c r="W80" s="62"/>
      <c r="X80" s="74" t="s">
        <v>38</v>
      </c>
      <c r="Y80" s="7"/>
      <c r="Z80" s="7"/>
      <c r="AA80" s="7"/>
      <c r="AB80" s="13"/>
      <c r="AC80" s="13"/>
      <c r="AD80" s="13"/>
    </row>
    <row r="81" s="21" customFormat="1" ht="14.25">
      <c r="A81" s="388" t="s">
        <v>43</v>
      </c>
      <c r="B81" s="502"/>
      <c r="C81" s="502" t="s">
        <v>33</v>
      </c>
      <c r="D81" s="503"/>
      <c r="E81" s="503" t="s">
        <v>33</v>
      </c>
      <c r="F81" s="504"/>
      <c r="G81" s="505">
        <v>8</v>
      </c>
      <c r="H81" s="500"/>
      <c r="I81" s="500" t="s">
        <v>33</v>
      </c>
      <c r="J81" s="500"/>
      <c r="K81" s="500" t="s">
        <v>33</v>
      </c>
      <c r="L81" s="501"/>
      <c r="M81" s="501"/>
      <c r="N81" s="501"/>
      <c r="O81" s="501"/>
      <c r="P81" s="253">
        <f t="shared" si="114"/>
        <v>40</v>
      </c>
      <c r="Q81" s="62">
        <f t="shared" si="113"/>
        <v>35</v>
      </c>
      <c r="R81" s="442" t="str">
        <f t="shared" si="115"/>
        <v>Дащенко</v>
      </c>
      <c r="S81" s="71" t="s">
        <v>12</v>
      </c>
      <c r="T81" s="72" t="s">
        <v>11</v>
      </c>
      <c r="U81" s="90">
        <f t="shared" ref="U76:U95" si="116">COUNTIF(T81,B81)+COUNTIF(T81,D81)+COUNTIF(T81,F81)+COUNTIF(T81,H81)+COUNTIF(T81,J81)+COUNTIF(T81,L81)+COUNTIF(T81,N81)</f>
        <v>0</v>
      </c>
      <c r="V81" s="62">
        <f t="shared" ref="V76:V95" si="117">COUNTIF(S81,B81)+COUNTIF(S81,D81)+COUNTIF(S81,F81)+COUNTIF(S81,H81)+COUNTIF(S81,J81)+COUNTIF(S81,L81)+COUNTIF(S81,N81)</f>
        <v>0</v>
      </c>
      <c r="W81" s="62"/>
      <c r="X81" s="80" t="s">
        <v>44</v>
      </c>
      <c r="Y81" s="7"/>
      <c r="Z81" s="7"/>
      <c r="AA81" s="7"/>
      <c r="AB81" s="13"/>
      <c r="AC81" s="13"/>
      <c r="AD81" s="13"/>
    </row>
    <row r="82" s="21" customFormat="1" ht="14.25">
      <c r="A82" s="205" t="s">
        <v>45</v>
      </c>
      <c r="B82" s="76"/>
      <c r="C82" s="361">
        <v>11</v>
      </c>
      <c r="D82" s="76"/>
      <c r="E82" s="361">
        <v>11</v>
      </c>
      <c r="F82" s="446"/>
      <c r="G82" s="362"/>
      <c r="H82" s="446"/>
      <c r="I82" s="362"/>
      <c r="J82" s="77"/>
      <c r="K82" s="359">
        <v>11</v>
      </c>
      <c r="L82" s="72"/>
      <c r="M82" s="359">
        <v>11</v>
      </c>
      <c r="N82" s="67"/>
      <c r="O82" s="362"/>
      <c r="P82" s="218">
        <f t="shared" si="114"/>
        <v>44</v>
      </c>
      <c r="Q82" s="62">
        <f t="shared" si="113"/>
        <v>15</v>
      </c>
      <c r="R82" s="219" t="str">
        <f t="shared" si="115"/>
        <v>Пузырь</v>
      </c>
      <c r="S82" s="76" t="s">
        <v>10</v>
      </c>
      <c r="T82" s="77" t="s">
        <v>9</v>
      </c>
      <c r="U82" s="73">
        <v>3</v>
      </c>
      <c r="V82" s="62">
        <v>2</v>
      </c>
      <c r="W82" s="62"/>
      <c r="X82" s="74" t="s">
        <v>34</v>
      </c>
      <c r="Y82" s="7"/>
      <c r="Z82" s="7"/>
      <c r="AA82" s="7"/>
      <c r="AB82" s="13"/>
      <c r="AC82" s="13"/>
      <c r="AD82" s="13"/>
    </row>
    <row r="83" s="21" customFormat="1" ht="14.25">
      <c r="A83" s="205" t="s">
        <v>65</v>
      </c>
      <c r="B83" s="67"/>
      <c r="C83" s="362"/>
      <c r="D83" s="67"/>
      <c r="E83" s="67"/>
      <c r="F83" s="261"/>
      <c r="G83" s="362"/>
      <c r="H83" s="77"/>
      <c r="I83" s="359">
        <v>11</v>
      </c>
      <c r="J83" s="72"/>
      <c r="K83" s="359">
        <v>11</v>
      </c>
      <c r="L83" s="67"/>
      <c r="M83" s="362"/>
      <c r="N83" s="67"/>
      <c r="O83" s="362"/>
      <c r="P83" s="218">
        <f t="shared" si="114"/>
        <v>22</v>
      </c>
      <c r="Q83" s="62">
        <f t="shared" si="113"/>
        <v>22</v>
      </c>
      <c r="R83" s="219" t="str">
        <f t="shared" si="115"/>
        <v>Рожнева</v>
      </c>
      <c r="S83" s="71" t="s">
        <v>12</v>
      </c>
      <c r="T83" s="72" t="s">
        <v>11</v>
      </c>
      <c r="U83" s="73">
        <v>2</v>
      </c>
      <c r="V83" s="62">
        <v>1</v>
      </c>
      <c r="W83" s="62"/>
      <c r="X83" s="74" t="s">
        <v>34</v>
      </c>
      <c r="Y83" s="7"/>
      <c r="Z83" s="7"/>
      <c r="AA83" s="7"/>
      <c r="AB83" s="13"/>
      <c r="AC83" s="13"/>
      <c r="AD83" s="13"/>
    </row>
    <row r="84" s="21" customFormat="1" ht="14.25">
      <c r="A84" s="205" t="s">
        <v>47</v>
      </c>
      <c r="B84" s="446"/>
      <c r="C84" s="450"/>
      <c r="D84" s="77"/>
      <c r="E84" s="359">
        <v>11</v>
      </c>
      <c r="F84" s="72"/>
      <c r="G84" s="359">
        <v>11</v>
      </c>
      <c r="H84" s="446"/>
      <c r="I84" s="362"/>
      <c r="J84" s="67"/>
      <c r="K84" s="362"/>
      <c r="L84" s="77"/>
      <c r="M84" s="359">
        <v>11</v>
      </c>
      <c r="N84" s="72"/>
      <c r="O84" s="359">
        <v>11</v>
      </c>
      <c r="P84" s="218">
        <f t="shared" si="114"/>
        <v>44</v>
      </c>
      <c r="Q84" s="62">
        <f t="shared" si="113"/>
        <v>33</v>
      </c>
      <c r="R84" s="219" t="str">
        <f t="shared" si="115"/>
        <v>Торубара</v>
      </c>
      <c r="S84" s="76" t="s">
        <v>10</v>
      </c>
      <c r="T84" s="77" t="s">
        <v>9</v>
      </c>
      <c r="U84" s="73">
        <v>1</v>
      </c>
      <c r="V84" s="62">
        <v>2</v>
      </c>
      <c r="W84" s="62"/>
      <c r="X84" s="74" t="s">
        <v>34</v>
      </c>
      <c r="Y84" s="7"/>
      <c r="Z84" s="7"/>
      <c r="AA84" s="7"/>
      <c r="AB84" s="13"/>
      <c r="AC84" s="13"/>
      <c r="AD84" s="13"/>
    </row>
    <row r="85" s="21" customFormat="1" ht="14.25">
      <c r="A85" s="205" t="s">
        <v>48</v>
      </c>
      <c r="B85" s="77"/>
      <c r="C85" s="359">
        <v>11</v>
      </c>
      <c r="D85" s="72"/>
      <c r="E85" s="359">
        <v>11</v>
      </c>
      <c r="F85" s="67"/>
      <c r="G85" s="362"/>
      <c r="H85" s="67"/>
      <c r="I85" s="362"/>
      <c r="J85" s="76"/>
      <c r="K85" s="361">
        <v>11</v>
      </c>
      <c r="L85" s="76"/>
      <c r="M85" s="361">
        <v>11</v>
      </c>
      <c r="N85" s="66"/>
      <c r="O85" s="66"/>
      <c r="P85" s="218">
        <f t="shared" si="114"/>
        <v>44</v>
      </c>
      <c r="Q85" s="62">
        <f t="shared" si="113"/>
        <v>22</v>
      </c>
      <c r="R85" s="219" t="str">
        <f t="shared" si="115"/>
        <v>Стрыгин</v>
      </c>
      <c r="S85" s="71" t="s">
        <v>8</v>
      </c>
      <c r="T85" s="72" t="s">
        <v>7</v>
      </c>
      <c r="U85" s="73">
        <v>3</v>
      </c>
      <c r="V85" s="62">
        <f t="shared" si="117"/>
        <v>0</v>
      </c>
      <c r="W85" s="62"/>
      <c r="X85" s="74" t="s">
        <v>49</v>
      </c>
      <c r="Y85" s="7"/>
      <c r="Z85" s="7"/>
      <c r="AA85" s="7"/>
      <c r="AB85" s="13"/>
      <c r="AC85" s="13"/>
      <c r="AD85" s="13"/>
    </row>
    <row r="86" s="21" customFormat="1" ht="14.25">
      <c r="A86" s="205" t="s">
        <v>50</v>
      </c>
      <c r="B86" s="67"/>
      <c r="C86" s="362"/>
      <c r="D86" s="67"/>
      <c r="E86" s="362"/>
      <c r="F86" s="72"/>
      <c r="G86" s="359">
        <v>11</v>
      </c>
      <c r="H86" s="72"/>
      <c r="I86" s="359">
        <v>11</v>
      </c>
      <c r="J86" s="446"/>
      <c r="K86" s="362"/>
      <c r="L86" s="446"/>
      <c r="M86" s="362"/>
      <c r="N86" s="77"/>
      <c r="O86" s="359">
        <v>11</v>
      </c>
      <c r="P86" s="218">
        <f t="shared" si="114"/>
        <v>33</v>
      </c>
      <c r="Q86" s="62">
        <f t="shared" si="113"/>
        <v>22</v>
      </c>
      <c r="R86" s="219" t="str">
        <f t="shared" si="115"/>
        <v>Фрик</v>
      </c>
      <c r="S86" s="71" t="s">
        <v>12</v>
      </c>
      <c r="T86" s="72" t="s">
        <v>11</v>
      </c>
      <c r="U86" s="73">
        <v>2</v>
      </c>
      <c r="V86" s="62">
        <v>1</v>
      </c>
      <c r="W86" s="62"/>
      <c r="X86" s="74" t="s">
        <v>44</v>
      </c>
      <c r="Y86" s="7"/>
      <c r="Z86" s="7"/>
      <c r="AA86" s="7"/>
      <c r="AB86" s="13"/>
      <c r="AC86" s="13"/>
      <c r="AD86" s="13"/>
    </row>
    <row r="87" s="21" customFormat="1" ht="14.25">
      <c r="A87" s="206" t="s">
        <v>51</v>
      </c>
      <c r="B87" s="67"/>
      <c r="C87" s="450"/>
      <c r="D87" s="67"/>
      <c r="E87" s="362"/>
      <c r="F87" s="76"/>
      <c r="G87" s="361">
        <v>11</v>
      </c>
      <c r="H87" s="76"/>
      <c r="I87" s="361">
        <v>11</v>
      </c>
      <c r="J87" s="446"/>
      <c r="K87" s="362"/>
      <c r="L87" s="446"/>
      <c r="M87" s="362"/>
      <c r="N87" s="76"/>
      <c r="O87" s="361">
        <v>11</v>
      </c>
      <c r="P87" s="218">
        <f t="shared" si="114"/>
        <v>33</v>
      </c>
      <c r="Q87" s="62">
        <f t="shared" si="113"/>
        <v>22</v>
      </c>
      <c r="R87" s="219" t="str">
        <f t="shared" si="115"/>
        <v>Истрашкин</v>
      </c>
      <c r="S87" s="71" t="s">
        <v>10</v>
      </c>
      <c r="T87" s="72" t="s">
        <v>9</v>
      </c>
      <c r="U87" s="73">
        <v>2</v>
      </c>
      <c r="V87" s="62">
        <v>2</v>
      </c>
      <c r="W87" s="62"/>
      <c r="X87" s="74" t="s">
        <v>34</v>
      </c>
      <c r="Y87" s="7"/>
      <c r="Z87" s="7"/>
      <c r="AA87" s="7"/>
      <c r="AB87" s="13"/>
      <c r="AC87" s="13"/>
      <c r="AD87" s="13"/>
    </row>
    <row r="88" ht="14.25">
      <c r="A88" s="207"/>
      <c r="B88" s="210">
        <v>46132</v>
      </c>
      <c r="C88" s="210"/>
      <c r="D88" s="210">
        <v>46133</v>
      </c>
      <c r="E88" s="210"/>
      <c r="F88" s="210">
        <v>46134</v>
      </c>
      <c r="G88" s="210"/>
      <c r="H88" s="210">
        <v>46135</v>
      </c>
      <c r="I88" s="210"/>
      <c r="J88" s="210">
        <v>46136</v>
      </c>
      <c r="K88" s="210"/>
      <c r="L88" s="210">
        <v>46137</v>
      </c>
      <c r="M88" s="210"/>
      <c r="N88" s="210">
        <v>46138</v>
      </c>
      <c r="O88" s="506"/>
      <c r="P88" s="218"/>
      <c r="Q88" s="254"/>
      <c r="R88" s="207"/>
      <c r="S88" s="138"/>
      <c r="T88" s="138"/>
      <c r="U88" s="60" t="s">
        <v>27</v>
      </c>
      <c r="V88" s="61" t="s">
        <v>28</v>
      </c>
      <c r="W88" s="62" t="s">
        <v>29</v>
      </c>
      <c r="X88" s="7"/>
      <c r="Y88" s="7"/>
      <c r="Z88" s="7"/>
      <c r="AA88" s="7"/>
      <c r="AB88" s="13"/>
      <c r="AC88" s="13"/>
      <c r="AD88" s="13"/>
    </row>
    <row r="89" ht="14.25">
      <c r="A89" s="139"/>
      <c r="B89" s="140"/>
      <c r="C89" s="140"/>
      <c r="D89" s="140"/>
      <c r="E89" s="140"/>
      <c r="F89" s="140"/>
      <c r="G89" s="140"/>
      <c r="H89" s="140"/>
      <c r="I89" s="507"/>
      <c r="J89" s="140"/>
      <c r="K89" s="140"/>
      <c r="L89" s="140"/>
      <c r="M89" s="140"/>
      <c r="N89" s="140"/>
      <c r="O89" s="140"/>
      <c r="P89" s="139"/>
      <c r="Q89" s="127"/>
      <c r="R89" s="139"/>
      <c r="S89" s="139"/>
      <c r="T89" s="139"/>
      <c r="U89" s="127"/>
      <c r="V89" s="127"/>
      <c r="W89" s="128"/>
      <c r="X89" s="7"/>
      <c r="Y89" s="7"/>
      <c r="Z89" s="7"/>
      <c r="AA89" s="7"/>
      <c r="AB89" s="13"/>
      <c r="AC89" s="13"/>
      <c r="AD89" s="13"/>
    </row>
    <row r="90" ht="14.25">
      <c r="A90" s="143"/>
      <c r="B90" s="435" t="s">
        <v>17</v>
      </c>
      <c r="C90" s="436"/>
      <c r="D90" s="435" t="s">
        <v>18</v>
      </c>
      <c r="E90" s="436"/>
      <c r="F90" s="435" t="s">
        <v>19</v>
      </c>
      <c r="G90" s="435"/>
      <c r="H90" s="435" t="s">
        <v>20</v>
      </c>
      <c r="I90" s="436"/>
      <c r="J90" s="437" t="s">
        <v>21</v>
      </c>
      <c r="K90" s="437"/>
      <c r="L90" s="435" t="s">
        <v>22</v>
      </c>
      <c r="M90" s="435"/>
      <c r="N90" s="435" t="s">
        <v>23</v>
      </c>
      <c r="O90" s="435"/>
      <c r="P90" s="208" t="s">
        <v>24</v>
      </c>
      <c r="Q90" s="209"/>
      <c r="R90" s="143"/>
      <c r="S90" s="143"/>
      <c r="T90" s="143"/>
      <c r="U90" s="62"/>
      <c r="V90" s="62"/>
      <c r="W90" s="62"/>
      <c r="X90" s="51"/>
      <c r="Y90" s="7"/>
      <c r="Z90" s="7"/>
      <c r="AA90" s="7"/>
      <c r="AB90" s="13"/>
      <c r="AC90" s="13"/>
      <c r="AD90" s="13"/>
    </row>
    <row r="91" ht="14.25">
      <c r="A91" s="248"/>
      <c r="B91" s="438">
        <v>46139</v>
      </c>
      <c r="C91" s="438"/>
      <c r="D91" s="438">
        <v>46140</v>
      </c>
      <c r="E91" s="438"/>
      <c r="F91" s="438">
        <v>46141</v>
      </c>
      <c r="G91" s="438"/>
      <c r="H91" s="438">
        <v>46142</v>
      </c>
      <c r="I91" s="438"/>
      <c r="J91" s="439">
        <v>46143</v>
      </c>
      <c r="K91" s="439"/>
      <c r="L91" s="439">
        <v>46144</v>
      </c>
      <c r="M91" s="439"/>
      <c r="N91" s="438">
        <v>46145</v>
      </c>
      <c r="O91" s="440"/>
      <c r="P91" s="309" t="s">
        <v>25</v>
      </c>
      <c r="Q91" s="214" t="s">
        <v>26</v>
      </c>
      <c r="R91" s="249"/>
      <c r="S91" s="147"/>
      <c r="T91" s="147"/>
      <c r="U91" s="60" t="s">
        <v>27</v>
      </c>
      <c r="V91" s="61" t="s">
        <v>28</v>
      </c>
      <c r="W91" s="62" t="s">
        <v>29</v>
      </c>
      <c r="X91" s="63" t="s">
        <v>30</v>
      </c>
      <c r="Y91" s="7"/>
      <c r="Z91" s="7"/>
      <c r="AA91" s="7"/>
      <c r="AB91" s="13"/>
      <c r="AC91" s="13"/>
      <c r="AD91" s="13"/>
    </row>
    <row r="92" s="21" customFormat="1" ht="14.25">
      <c r="A92" s="203" t="s">
        <v>35</v>
      </c>
      <c r="B92" s="354" t="s">
        <v>32</v>
      </c>
      <c r="C92" s="354" t="s">
        <v>33</v>
      </c>
      <c r="D92" s="354" t="s">
        <v>32</v>
      </c>
      <c r="E92" s="354" t="s">
        <v>33</v>
      </c>
      <c r="F92" s="354" t="s">
        <v>32</v>
      </c>
      <c r="G92" s="354" t="s">
        <v>33</v>
      </c>
      <c r="H92" s="354" t="s">
        <v>32</v>
      </c>
      <c r="I92" s="354" t="s">
        <v>33</v>
      </c>
      <c r="J92" s="441"/>
      <c r="K92" s="441"/>
      <c r="L92" s="66"/>
      <c r="M92" s="66"/>
      <c r="N92" s="66"/>
      <c r="O92" s="66"/>
      <c r="P92" s="218">
        <f t="shared" si="114"/>
        <v>32</v>
      </c>
      <c r="Q92" s="62">
        <f t="shared" si="113"/>
        <v>-0.5</v>
      </c>
      <c r="R92" s="219" t="str">
        <f t="shared" si="115"/>
        <v>Рычков</v>
      </c>
      <c r="S92" s="76" t="s">
        <v>10</v>
      </c>
      <c r="T92" s="77" t="s">
        <v>9</v>
      </c>
      <c r="U92" s="73">
        <f t="shared" si="116"/>
        <v>0</v>
      </c>
      <c r="V92" s="62">
        <f t="shared" si="117"/>
        <v>0</v>
      </c>
      <c r="W92" s="62"/>
      <c r="X92" s="74" t="s">
        <v>34</v>
      </c>
      <c r="Y92" s="7"/>
      <c r="Z92" s="7"/>
      <c r="AA92" s="7"/>
      <c r="AB92" s="13"/>
      <c r="AC92" s="13"/>
      <c r="AD92" s="13"/>
    </row>
    <row r="93" s="21" customFormat="1" ht="14.4" hidden="1">
      <c r="A93" s="203" t="s">
        <v>61</v>
      </c>
      <c r="B93" s="354" t="s">
        <v>32</v>
      </c>
      <c r="C93" s="354" t="s">
        <v>33</v>
      </c>
      <c r="D93" s="354" t="s">
        <v>32</v>
      </c>
      <c r="E93" s="354" t="s">
        <v>33</v>
      </c>
      <c r="F93" s="354" t="s">
        <v>32</v>
      </c>
      <c r="G93" s="354" t="s">
        <v>33</v>
      </c>
      <c r="H93" s="354" t="s">
        <v>32</v>
      </c>
      <c r="I93" s="354" t="s">
        <v>33</v>
      </c>
      <c r="J93" s="441"/>
      <c r="K93" s="441"/>
      <c r="L93" s="66"/>
      <c r="M93" s="66"/>
      <c r="N93" s="67"/>
      <c r="O93" s="67"/>
      <c r="P93" s="218">
        <f t="shared" si="114"/>
        <v>32</v>
      </c>
      <c r="Q93" s="62">
        <f t="shared" si="113"/>
        <v>0</v>
      </c>
      <c r="R93" s="219" t="str">
        <f t="shared" si="115"/>
        <v>Карузина</v>
      </c>
      <c r="S93" s="76" t="s">
        <v>10</v>
      </c>
      <c r="T93" s="77" t="s">
        <v>9</v>
      </c>
      <c r="U93" s="73">
        <f t="shared" si="116"/>
        <v>0</v>
      </c>
      <c r="V93" s="62">
        <f t="shared" si="117"/>
        <v>0</v>
      </c>
      <c r="W93" s="62"/>
      <c r="X93" s="79" t="s">
        <v>49</v>
      </c>
      <c r="Y93" s="7"/>
      <c r="Z93" s="7"/>
      <c r="AA93" s="7"/>
      <c r="AB93" s="13"/>
      <c r="AC93" s="13"/>
      <c r="AD93" s="13"/>
    </row>
    <row r="94" s="21" customFormat="1" ht="14.25">
      <c r="A94" s="203" t="s">
        <v>39</v>
      </c>
      <c r="B94" s="354" t="s">
        <v>32</v>
      </c>
      <c r="C94" s="354" t="s">
        <v>33</v>
      </c>
      <c r="D94" s="354" t="s">
        <v>32</v>
      </c>
      <c r="E94" s="354" t="s">
        <v>33</v>
      </c>
      <c r="F94" s="354" t="s">
        <v>32</v>
      </c>
      <c r="G94" s="354" t="s">
        <v>33</v>
      </c>
      <c r="H94" s="354" t="s">
        <v>32</v>
      </c>
      <c r="I94" s="354" t="s">
        <v>33</v>
      </c>
      <c r="J94" s="441"/>
      <c r="K94" s="441"/>
      <c r="L94" s="66"/>
      <c r="M94" s="66"/>
      <c r="N94" s="66"/>
      <c r="O94" s="66"/>
      <c r="P94" s="218">
        <f t="shared" si="114"/>
        <v>32</v>
      </c>
      <c r="Q94" s="62">
        <f t="shared" si="113"/>
        <v>0</v>
      </c>
      <c r="R94" s="219" t="str">
        <f t="shared" si="115"/>
        <v>Игумнов</v>
      </c>
      <c r="S94" s="76" t="s">
        <v>10</v>
      </c>
      <c r="T94" s="77" t="s">
        <v>9</v>
      </c>
      <c r="U94" s="73">
        <f t="shared" si="116"/>
        <v>0</v>
      </c>
      <c r="V94" s="62">
        <f t="shared" si="117"/>
        <v>0</v>
      </c>
      <c r="W94" s="62"/>
      <c r="X94" s="79" t="s">
        <v>34</v>
      </c>
      <c r="Y94" s="7"/>
      <c r="Z94" s="7"/>
      <c r="AA94" s="7"/>
      <c r="AB94" s="13"/>
      <c r="AC94" s="13"/>
      <c r="AD94" s="13"/>
    </row>
    <row r="95" s="21" customFormat="1" ht="14.25">
      <c r="A95" s="203" t="s">
        <v>40</v>
      </c>
      <c r="B95" s="354" t="s">
        <v>32</v>
      </c>
      <c r="C95" s="354" t="s">
        <v>33</v>
      </c>
      <c r="D95" s="354" t="s">
        <v>32</v>
      </c>
      <c r="E95" s="354" t="s">
        <v>33</v>
      </c>
      <c r="F95" s="354" t="s">
        <v>32</v>
      </c>
      <c r="G95" s="354" t="s">
        <v>33</v>
      </c>
      <c r="H95" s="354" t="s">
        <v>32</v>
      </c>
      <c r="I95" s="354" t="s">
        <v>33</v>
      </c>
      <c r="J95" s="441"/>
      <c r="K95" s="441"/>
      <c r="L95" s="66"/>
      <c r="M95" s="66"/>
      <c r="N95" s="66"/>
      <c r="O95" s="66"/>
      <c r="P95" s="218">
        <f t="shared" si="114"/>
        <v>32</v>
      </c>
      <c r="Q95" s="62">
        <f t="shared" si="113"/>
        <v>0</v>
      </c>
      <c r="R95" s="219" t="str">
        <f t="shared" si="115"/>
        <v>Душин</v>
      </c>
      <c r="S95" s="76" t="s">
        <v>10</v>
      </c>
      <c r="T95" s="77" t="s">
        <v>9</v>
      </c>
      <c r="U95" s="73">
        <f t="shared" si="116"/>
        <v>0</v>
      </c>
      <c r="V95" s="62">
        <f t="shared" si="117"/>
        <v>0</v>
      </c>
      <c r="W95" s="62"/>
      <c r="X95" s="74" t="s">
        <v>38</v>
      </c>
      <c r="Y95" s="7"/>
      <c r="Z95" s="7"/>
      <c r="AA95" s="7"/>
      <c r="AB95" s="13"/>
      <c r="AC95" s="13"/>
      <c r="AD95" s="13"/>
    </row>
    <row r="96" s="21" customFormat="1" ht="14.25">
      <c r="A96" s="203" t="s">
        <v>31</v>
      </c>
      <c r="B96" s="354" t="s">
        <v>32</v>
      </c>
      <c r="C96" s="354" t="s">
        <v>33</v>
      </c>
      <c r="D96" s="354" t="s">
        <v>32</v>
      </c>
      <c r="E96" s="354" t="s">
        <v>33</v>
      </c>
      <c r="F96" s="354" t="s">
        <v>32</v>
      </c>
      <c r="G96" s="354" t="s">
        <v>33</v>
      </c>
      <c r="H96" s="354" t="s">
        <v>32</v>
      </c>
      <c r="I96" s="354" t="s">
        <v>33</v>
      </c>
      <c r="J96" s="441"/>
      <c r="K96" s="441"/>
      <c r="L96" s="66"/>
      <c r="M96" s="66"/>
      <c r="N96" s="66"/>
      <c r="O96" s="66"/>
      <c r="P96" s="218">
        <f t="shared" si="114"/>
        <v>32</v>
      </c>
      <c r="Q96" s="62">
        <f t="shared" ref="Q96:Q99" si="118">Q76-P96</f>
        <v>0</v>
      </c>
      <c r="R96" s="219" t="str">
        <f t="shared" si="115"/>
        <v>Нетронин</v>
      </c>
      <c r="S96" s="76" t="s">
        <v>58</v>
      </c>
      <c r="T96" s="77" t="s">
        <v>59</v>
      </c>
      <c r="U96" s="73"/>
      <c r="V96" s="62"/>
      <c r="W96" s="62"/>
      <c r="X96" s="74" t="s">
        <v>34</v>
      </c>
      <c r="Y96" s="7"/>
      <c r="Z96" s="7"/>
      <c r="AA96" s="7"/>
      <c r="AB96" s="13"/>
      <c r="AC96" s="13"/>
      <c r="AD96" s="13"/>
    </row>
    <row r="97" s="21" customFormat="1" ht="14.25">
      <c r="A97" s="203" t="s">
        <v>62</v>
      </c>
      <c r="B97" s="426" t="s">
        <v>32</v>
      </c>
      <c r="C97" s="426" t="s">
        <v>33</v>
      </c>
      <c r="D97" s="426" t="s">
        <v>32</v>
      </c>
      <c r="E97" s="426" t="s">
        <v>33</v>
      </c>
      <c r="F97" s="426" t="s">
        <v>32</v>
      </c>
      <c r="G97" s="426" t="s">
        <v>33</v>
      </c>
      <c r="H97" s="354" t="s">
        <v>32</v>
      </c>
      <c r="I97" s="354" t="s">
        <v>33</v>
      </c>
      <c r="J97" s="441"/>
      <c r="K97" s="441"/>
      <c r="L97" s="498"/>
      <c r="M97" s="498"/>
      <c r="N97" s="498"/>
      <c r="O97" s="498"/>
      <c r="P97" s="218">
        <f t="shared" si="114"/>
        <v>32</v>
      </c>
      <c r="Q97" s="62">
        <f t="shared" si="118"/>
        <v>0</v>
      </c>
      <c r="R97" s="219" t="str">
        <f t="shared" si="115"/>
        <v>Раимова</v>
      </c>
      <c r="S97" s="76" t="s">
        <v>10</v>
      </c>
      <c r="T97" s="77" t="s">
        <v>9</v>
      </c>
      <c r="U97" s="73"/>
      <c r="V97" s="62"/>
      <c r="W97" s="62"/>
      <c r="X97" s="74" t="s">
        <v>38</v>
      </c>
      <c r="Y97" s="7"/>
      <c r="Z97" s="7"/>
      <c r="AA97" s="7"/>
      <c r="AB97" s="13"/>
      <c r="AC97" s="13"/>
      <c r="AD97" s="13"/>
    </row>
    <row r="98" s="21" customFormat="1" ht="14.25">
      <c r="A98" s="203" t="s">
        <v>63</v>
      </c>
      <c r="B98" s="426" t="s">
        <v>32</v>
      </c>
      <c r="C98" s="426" t="s">
        <v>33</v>
      </c>
      <c r="D98" s="426" t="s">
        <v>32</v>
      </c>
      <c r="E98" s="426" t="s">
        <v>33</v>
      </c>
      <c r="F98" s="426" t="s">
        <v>32</v>
      </c>
      <c r="G98" s="426" t="s">
        <v>33</v>
      </c>
      <c r="H98" s="354" t="s">
        <v>32</v>
      </c>
      <c r="I98" s="457" t="s">
        <v>33</v>
      </c>
      <c r="J98" s="441"/>
      <c r="K98" s="441"/>
      <c r="L98" s="508"/>
      <c r="M98" s="273"/>
      <c r="N98" s="273"/>
      <c r="O98" s="273"/>
      <c r="P98" s="218">
        <f t="shared" si="114"/>
        <v>32</v>
      </c>
      <c r="Q98" s="62">
        <f t="shared" si="118"/>
        <v>0</v>
      </c>
      <c r="R98" s="113" t="str">
        <f t="shared" si="115"/>
        <v>Войтехович</v>
      </c>
      <c r="S98" s="76" t="s">
        <v>10</v>
      </c>
      <c r="T98" s="77" t="s">
        <v>9</v>
      </c>
      <c r="U98" s="227"/>
      <c r="V98" s="62"/>
      <c r="W98" s="62"/>
      <c r="X98" s="74" t="s">
        <v>34</v>
      </c>
      <c r="Y98" s="7"/>
      <c r="Z98" s="7"/>
      <c r="AA98" s="7"/>
      <c r="AB98" s="13"/>
      <c r="AC98" s="13"/>
      <c r="AD98" s="13"/>
    </row>
    <row r="99" s="21" customFormat="1" ht="14.25">
      <c r="A99" s="203" t="s">
        <v>61</v>
      </c>
      <c r="B99" s="148"/>
      <c r="C99" s="148" t="s">
        <v>33</v>
      </c>
      <c r="D99" s="148"/>
      <c r="E99" s="148" t="s">
        <v>33</v>
      </c>
      <c r="F99" s="148"/>
      <c r="G99" s="148" t="s">
        <v>33</v>
      </c>
      <c r="H99" s="148"/>
      <c r="I99" s="148" t="s">
        <v>33</v>
      </c>
      <c r="J99" s="441"/>
      <c r="K99" s="441"/>
      <c r="L99" s="508"/>
      <c r="M99" s="273"/>
      <c r="N99" s="273"/>
      <c r="O99" s="273"/>
      <c r="P99" s="218">
        <f t="shared" si="114"/>
        <v>32</v>
      </c>
      <c r="Q99" s="62">
        <f t="shared" si="118"/>
        <v>0</v>
      </c>
      <c r="R99" s="113" t="str">
        <f t="shared" si="115"/>
        <v>Карузина</v>
      </c>
      <c r="S99" s="76" t="s">
        <v>58</v>
      </c>
      <c r="T99" s="77" t="s">
        <v>59</v>
      </c>
      <c r="U99" s="227"/>
      <c r="V99" s="62"/>
      <c r="W99" s="62"/>
      <c r="X99" s="74" t="s">
        <v>38</v>
      </c>
      <c r="Y99" s="7"/>
      <c r="Z99" s="7"/>
      <c r="AA99" s="7"/>
      <c r="AB99" s="13"/>
      <c r="AC99" s="13"/>
      <c r="AD99" s="13"/>
    </row>
    <row r="100" s="21" customFormat="1" ht="14.25">
      <c r="A100" s="203" t="s">
        <v>64</v>
      </c>
      <c r="B100" s="426" t="s">
        <v>32</v>
      </c>
      <c r="C100" s="426" t="s">
        <v>33</v>
      </c>
      <c r="D100" s="426" t="s">
        <v>32</v>
      </c>
      <c r="E100" s="426" t="s">
        <v>33</v>
      </c>
      <c r="F100" s="426" t="s">
        <v>32</v>
      </c>
      <c r="G100" s="426" t="s">
        <v>33</v>
      </c>
      <c r="H100" s="457" t="s">
        <v>32</v>
      </c>
      <c r="I100" s="354" t="s">
        <v>33</v>
      </c>
      <c r="J100" s="441"/>
      <c r="K100" s="441"/>
      <c r="L100" s="508"/>
      <c r="M100" s="273"/>
      <c r="N100" s="273"/>
      <c r="O100" s="273"/>
      <c r="P100" s="218">
        <f>C100+E100+G100+I100+K100+M100+O100</f>
        <v>32</v>
      </c>
      <c r="Q100" s="62">
        <f t="shared" ref="Q100:Q107" si="119">Q80-P100</f>
        <v>0</v>
      </c>
      <c r="R100" s="113" t="str">
        <f>A100</f>
        <v>Васильев</v>
      </c>
      <c r="S100" s="76" t="s">
        <v>67</v>
      </c>
      <c r="T100" s="77" t="s">
        <v>68</v>
      </c>
      <c r="U100" s="227"/>
      <c r="V100" s="62"/>
      <c r="W100" s="62"/>
      <c r="X100" s="74" t="s">
        <v>38</v>
      </c>
      <c r="Y100" s="7"/>
      <c r="Z100" s="7"/>
      <c r="AA100" s="7"/>
      <c r="AB100" s="13"/>
      <c r="AC100" s="13"/>
      <c r="AD100" s="13"/>
    </row>
    <row r="101" s="21" customFormat="1" ht="14.25">
      <c r="A101" s="388" t="s">
        <v>43</v>
      </c>
      <c r="B101" s="509"/>
      <c r="C101" s="509" t="s">
        <v>33</v>
      </c>
      <c r="D101" s="501"/>
      <c r="E101" s="501" t="s">
        <v>33</v>
      </c>
      <c r="F101" s="510"/>
      <c r="G101" s="511">
        <v>8</v>
      </c>
      <c r="H101" s="76"/>
      <c r="I101" s="361">
        <v>11</v>
      </c>
      <c r="J101" s="76"/>
      <c r="K101" s="361"/>
      <c r="L101" s="512"/>
      <c r="M101" s="367"/>
      <c r="N101" s="367"/>
      <c r="O101" s="367"/>
      <c r="P101" s="253">
        <f t="shared" si="114"/>
        <v>35</v>
      </c>
      <c r="Q101" s="62">
        <f t="shared" si="119"/>
        <v>0</v>
      </c>
      <c r="R101" s="442" t="str">
        <f t="shared" si="115"/>
        <v>Дащенко</v>
      </c>
      <c r="S101" s="76" t="s">
        <v>12</v>
      </c>
      <c r="T101" s="513" t="s">
        <v>11</v>
      </c>
      <c r="U101" s="62">
        <f>0+U81+U61+U41+U21</f>
        <v>4</v>
      </c>
      <c r="V101" s="62">
        <f>1+V81+V61+V41+V21</f>
        <v>5</v>
      </c>
      <c r="W101" s="62"/>
      <c r="X101" s="80" t="s">
        <v>44</v>
      </c>
      <c r="Y101" s="7"/>
      <c r="Z101" s="7"/>
      <c r="AA101" s="7"/>
      <c r="AB101" s="13"/>
      <c r="AC101" s="13"/>
      <c r="AD101" s="13"/>
    </row>
    <row r="102" s="21" customFormat="1" ht="14.25">
      <c r="A102" s="205" t="s">
        <v>45</v>
      </c>
      <c r="B102" s="77"/>
      <c r="C102" s="359">
        <v>11</v>
      </c>
      <c r="D102" s="77"/>
      <c r="E102" s="359">
        <v>11</v>
      </c>
      <c r="F102" s="446"/>
      <c r="G102" s="362"/>
      <c r="H102" s="446"/>
      <c r="I102" s="362"/>
      <c r="J102" s="76"/>
      <c r="K102" s="361"/>
      <c r="L102" s="76"/>
      <c r="M102" s="361"/>
      <c r="N102" s="66"/>
      <c r="O102" s="66"/>
      <c r="P102" s="218">
        <f t="shared" si="114"/>
        <v>22</v>
      </c>
      <c r="Q102" s="62">
        <f t="shared" si="119"/>
        <v>-7</v>
      </c>
      <c r="R102" s="219" t="str">
        <f t="shared" si="115"/>
        <v>Пузырь</v>
      </c>
      <c r="S102" s="76" t="s">
        <v>10</v>
      </c>
      <c r="T102" s="513" t="s">
        <v>9</v>
      </c>
      <c r="U102" s="62">
        <f>2+U82+U62+U42+U22</f>
        <v>8</v>
      </c>
      <c r="V102" s="62">
        <f>0+V82+V62+V42+V22</f>
        <v>6</v>
      </c>
      <c r="W102" s="62"/>
      <c r="X102" s="74" t="s">
        <v>34</v>
      </c>
      <c r="Y102" s="7"/>
      <c r="Z102" s="7"/>
      <c r="AA102" s="7"/>
      <c r="AB102" s="13"/>
      <c r="AC102" s="13"/>
      <c r="AD102" s="13"/>
    </row>
    <row r="103" s="21" customFormat="1" ht="14.25">
      <c r="A103" s="205" t="s">
        <v>65</v>
      </c>
      <c r="B103" s="67"/>
      <c r="C103" s="362"/>
      <c r="D103" s="67"/>
      <c r="E103" s="362"/>
      <c r="F103" s="77"/>
      <c r="G103" s="359">
        <v>11</v>
      </c>
      <c r="H103" s="77"/>
      <c r="I103" s="359">
        <v>11</v>
      </c>
      <c r="J103" s="67"/>
      <c r="K103" s="362"/>
      <c r="L103" s="67"/>
      <c r="M103" s="362"/>
      <c r="N103" s="76"/>
      <c r="O103" s="361"/>
      <c r="P103" s="218">
        <f t="shared" si="114"/>
        <v>22</v>
      </c>
      <c r="Q103" s="62">
        <f t="shared" si="119"/>
        <v>0</v>
      </c>
      <c r="R103" s="219" t="str">
        <f t="shared" si="115"/>
        <v>Рожнева</v>
      </c>
      <c r="S103" s="76" t="s">
        <v>12</v>
      </c>
      <c r="T103" s="513" t="s">
        <v>11</v>
      </c>
      <c r="U103" s="62">
        <f>1+U83+U63+U43+U23</f>
        <v>6</v>
      </c>
      <c r="V103" s="62">
        <f>1+V83+V63+V43+V23</f>
        <v>4</v>
      </c>
      <c r="W103" s="62"/>
      <c r="X103" s="74" t="s">
        <v>34</v>
      </c>
      <c r="Y103" s="7"/>
      <c r="Z103" s="7"/>
      <c r="AA103" s="7"/>
      <c r="AB103" s="13"/>
      <c r="AC103" s="13"/>
      <c r="AD103" s="13"/>
    </row>
    <row r="104" s="21" customFormat="1" ht="14.25">
      <c r="A104" s="205" t="s">
        <v>47</v>
      </c>
      <c r="B104" s="67"/>
      <c r="C104" s="450"/>
      <c r="D104" s="446"/>
      <c r="E104" s="362"/>
      <c r="F104" s="76"/>
      <c r="G104" s="361">
        <v>11</v>
      </c>
      <c r="H104" s="76"/>
      <c r="I104" s="361">
        <v>11</v>
      </c>
      <c r="J104" s="67"/>
      <c r="K104" s="362"/>
      <c r="L104" s="67"/>
      <c r="M104" s="67"/>
      <c r="N104" s="77"/>
      <c r="O104" s="359"/>
      <c r="P104" s="218">
        <f t="shared" si="114"/>
        <v>22</v>
      </c>
      <c r="Q104" s="62">
        <f t="shared" si="119"/>
        <v>11</v>
      </c>
      <c r="R104" s="219" t="str">
        <f t="shared" si="115"/>
        <v>Торубара</v>
      </c>
      <c r="S104" s="76" t="s">
        <v>10</v>
      </c>
      <c r="T104" s="513" t="s">
        <v>9</v>
      </c>
      <c r="U104" s="62">
        <f t="shared" ref="U104:U105" si="120">2+U84+U64+U44+U24</f>
        <v>9</v>
      </c>
      <c r="V104" s="62">
        <f>0+V84+V64+V44+V24</f>
        <v>6</v>
      </c>
      <c r="W104" s="62"/>
      <c r="X104" s="74" t="s">
        <v>34</v>
      </c>
      <c r="Y104" s="7"/>
      <c r="Z104" s="7"/>
      <c r="AA104" s="7"/>
      <c r="AB104" s="13"/>
      <c r="AC104" s="13"/>
      <c r="AD104" s="13"/>
    </row>
    <row r="105" s="21" customFormat="1" ht="14.25">
      <c r="A105" s="205" t="s">
        <v>48</v>
      </c>
      <c r="B105" s="67"/>
      <c r="C105" s="67"/>
      <c r="D105" s="77"/>
      <c r="E105" s="359">
        <v>11</v>
      </c>
      <c r="F105" s="77"/>
      <c r="G105" s="359">
        <v>11</v>
      </c>
      <c r="H105" s="67"/>
      <c r="I105" s="362"/>
      <c r="J105" s="82"/>
      <c r="K105" s="82"/>
      <c r="L105" s="77"/>
      <c r="M105" s="359"/>
      <c r="N105" s="77"/>
      <c r="O105" s="359"/>
      <c r="P105" s="218">
        <f t="shared" si="114"/>
        <v>22</v>
      </c>
      <c r="Q105" s="62">
        <f t="shared" si="119"/>
        <v>0</v>
      </c>
      <c r="R105" s="219" t="str">
        <f t="shared" si="115"/>
        <v>Стрыгин</v>
      </c>
      <c r="S105" s="76" t="s">
        <v>8</v>
      </c>
      <c r="T105" s="513" t="s">
        <v>7</v>
      </c>
      <c r="U105" s="62">
        <f t="shared" si="120"/>
        <v>10</v>
      </c>
      <c r="V105" s="62">
        <f t="shared" ref="V105:V106" si="121">2+V85+V65+V45+V25</f>
        <v>7</v>
      </c>
      <c r="W105" s="62"/>
      <c r="X105" s="74" t="s">
        <v>49</v>
      </c>
      <c r="Y105" s="7"/>
      <c r="Z105" s="7"/>
      <c r="AA105" s="7"/>
      <c r="AB105" s="13"/>
      <c r="AC105" s="13"/>
      <c r="AD105" s="13"/>
    </row>
    <row r="106" s="21" customFormat="1" ht="14.25">
      <c r="A106" s="205" t="s">
        <v>50</v>
      </c>
      <c r="B106" s="67"/>
      <c r="C106" s="362"/>
      <c r="D106" s="76"/>
      <c r="E106" s="361">
        <v>11</v>
      </c>
      <c r="F106" s="76"/>
      <c r="G106" s="361">
        <v>11</v>
      </c>
      <c r="H106" s="66"/>
      <c r="I106" s="66"/>
      <c r="J106" s="66"/>
      <c r="K106" s="66"/>
      <c r="L106" s="76"/>
      <c r="M106" s="361"/>
      <c r="N106" s="76"/>
      <c r="O106" s="361"/>
      <c r="P106" s="218">
        <f t="shared" si="114"/>
        <v>22</v>
      </c>
      <c r="Q106" s="62">
        <f t="shared" si="119"/>
        <v>0</v>
      </c>
      <c r="R106" s="219" t="str">
        <f t="shared" si="115"/>
        <v>Фрик</v>
      </c>
      <c r="S106" s="76" t="s">
        <v>12</v>
      </c>
      <c r="T106" s="513" t="s">
        <v>11</v>
      </c>
      <c r="U106" s="62">
        <f>0+U86+U66+U46+U26</f>
        <v>6</v>
      </c>
      <c r="V106" s="62">
        <f t="shared" si="121"/>
        <v>8</v>
      </c>
      <c r="W106" s="62"/>
      <c r="X106" s="74" t="s">
        <v>44</v>
      </c>
      <c r="Y106" s="7"/>
      <c r="Z106" s="7"/>
      <c r="AA106" s="7"/>
      <c r="AB106" s="13"/>
      <c r="AC106" s="13"/>
      <c r="AD106" s="13"/>
    </row>
    <row r="107" ht="14.25">
      <c r="A107" s="206" t="s">
        <v>51</v>
      </c>
      <c r="B107" s="76"/>
      <c r="C107" s="361">
        <v>11</v>
      </c>
      <c r="D107" s="447"/>
      <c r="E107" s="448"/>
      <c r="F107" s="67"/>
      <c r="G107" s="362"/>
      <c r="H107" s="72"/>
      <c r="I107" s="359">
        <v>11</v>
      </c>
      <c r="J107" s="77"/>
      <c r="K107" s="359"/>
      <c r="L107" s="77"/>
      <c r="M107" s="359"/>
      <c r="N107" s="447"/>
      <c r="O107" s="514"/>
      <c r="P107" s="285">
        <f t="shared" si="114"/>
        <v>22</v>
      </c>
      <c r="Q107" s="62">
        <f t="shared" si="119"/>
        <v>0</v>
      </c>
      <c r="R107" s="219" t="str">
        <f t="shared" si="115"/>
        <v>Истрашкин</v>
      </c>
      <c r="S107" s="76" t="s">
        <v>10</v>
      </c>
      <c r="T107" s="513" t="s">
        <v>9</v>
      </c>
      <c r="U107" s="62">
        <f>2+U87+U67+U47+U27</f>
        <v>8</v>
      </c>
      <c r="V107" s="62">
        <f>0+V87+V67+V47+V27</f>
        <v>8</v>
      </c>
      <c r="W107" s="62"/>
      <c r="X107" s="299" t="s">
        <v>34</v>
      </c>
      <c r="Y107" s="7"/>
      <c r="Z107" s="7"/>
      <c r="AA107" s="7"/>
      <c r="AB107" s="13"/>
      <c r="AC107" s="13"/>
      <c r="AD107" s="13"/>
    </row>
    <row r="108" ht="14.25">
      <c r="A108" s="284"/>
      <c r="B108" s="489">
        <v>46139</v>
      </c>
      <c r="C108" s="489"/>
      <c r="D108" s="515">
        <v>46140</v>
      </c>
      <c r="E108" s="515"/>
      <c r="F108" s="489">
        <v>46141</v>
      </c>
      <c r="G108" s="489"/>
      <c r="H108" s="489">
        <v>46142</v>
      </c>
      <c r="I108" s="489"/>
      <c r="J108" s="516">
        <v>46143</v>
      </c>
      <c r="K108" s="516"/>
      <c r="L108" s="516">
        <v>46144</v>
      </c>
      <c r="M108" s="516"/>
      <c r="N108" s="515">
        <v>46145</v>
      </c>
      <c r="O108" s="517"/>
      <c r="P108" s="285"/>
      <c r="Q108" s="254"/>
      <c r="R108" s="207"/>
      <c r="S108" s="138"/>
      <c r="T108" s="138"/>
      <c r="U108" s="60" t="s">
        <v>27</v>
      </c>
      <c r="V108" s="61" t="s">
        <v>28</v>
      </c>
      <c r="W108" s="286" t="s">
        <v>29</v>
      </c>
      <c r="X108" s="87"/>
      <c r="Y108" s="7"/>
      <c r="Z108" s="7"/>
      <c r="AA108" s="7"/>
      <c r="AB108" s="13"/>
      <c r="AC108" s="13"/>
      <c r="AD108" s="13"/>
    </row>
    <row r="109" ht="14.25">
      <c r="A109" s="139"/>
      <c r="B109" s="350"/>
      <c r="C109" s="350"/>
      <c r="D109" s="350"/>
      <c r="E109" s="350"/>
      <c r="F109" s="350"/>
      <c r="G109" s="350"/>
      <c r="H109" s="350"/>
      <c r="I109" s="351"/>
      <c r="J109" s="350"/>
      <c r="K109" s="350"/>
      <c r="L109" s="350"/>
      <c r="M109" s="350"/>
      <c r="N109" s="350"/>
      <c r="O109" s="350"/>
      <c r="P109" s="139"/>
      <c r="Q109" s="127"/>
      <c r="R109" s="139"/>
      <c r="S109" s="139"/>
      <c r="T109" s="139"/>
      <c r="U109" s="127"/>
      <c r="V109" s="127"/>
      <c r="W109" s="128"/>
      <c r="X109" s="87"/>
      <c r="Y109" s="7"/>
      <c r="Z109" s="7"/>
      <c r="AA109" s="7"/>
      <c r="AB109" s="13"/>
      <c r="AC109" s="13"/>
      <c r="AD109" s="13"/>
    </row>
    <row r="110" ht="14.25">
      <c r="A110" s="7"/>
      <c r="B110" s="7"/>
      <c r="C110" s="7"/>
      <c r="D110" s="7"/>
      <c r="E110" s="7"/>
      <c r="F110" s="7"/>
      <c r="G110" s="7"/>
      <c r="H110" s="7"/>
      <c r="I110" s="153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Y110" s="7"/>
      <c r="Z110" s="7"/>
      <c r="AA110" s="7"/>
      <c r="AB110" s="13"/>
      <c r="AC110" s="13"/>
      <c r="AD110" s="13"/>
    </row>
    <row r="111" ht="14.25">
      <c r="A111" s="7"/>
      <c r="B111" s="7"/>
      <c r="C111" s="7"/>
      <c r="D111" s="7"/>
      <c r="E111" s="7"/>
      <c r="F111" s="7"/>
      <c r="G111" s="7"/>
      <c r="H111" s="7"/>
      <c r="I111" s="153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25">
      <c r="A112" s="7"/>
      <c r="B112" s="7"/>
      <c r="C112" s="7"/>
      <c r="D112" s="7"/>
      <c r="E112" s="7"/>
      <c r="F112" s="7"/>
      <c r="G112" s="7"/>
      <c r="H112" s="7"/>
      <c r="I112" s="153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25">
      <c r="A113" s="7"/>
      <c r="B113" s="7"/>
      <c r="C113" s="7"/>
      <c r="D113" s="7"/>
      <c r="E113" s="7"/>
      <c r="F113" s="7"/>
      <c r="G113" s="7"/>
      <c r="H113" s="7"/>
      <c r="I113" s="153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25">
      <c r="A114" s="7"/>
      <c r="B114" s="7"/>
      <c r="C114" s="7"/>
      <c r="D114" s="7"/>
      <c r="E114" s="7"/>
      <c r="F114" s="7"/>
      <c r="G114" s="7"/>
      <c r="H114" s="7"/>
      <c r="I114" s="153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25">
      <c r="A115" s="7"/>
      <c r="B115" s="7"/>
      <c r="C115" s="7"/>
      <c r="D115" s="7"/>
      <c r="E115" s="7"/>
      <c r="F115" s="7"/>
      <c r="G115" s="7"/>
      <c r="H115" s="7"/>
      <c r="I115" s="153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25">
      <c r="A116" s="7"/>
      <c r="B116" s="7"/>
      <c r="C116" s="7"/>
      <c r="D116" s="7"/>
      <c r="E116" s="7"/>
      <c r="F116" s="7"/>
      <c r="G116" s="7"/>
      <c r="H116" s="7"/>
      <c r="I116" s="153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25">
      <c r="A117" s="7"/>
      <c r="B117" s="7"/>
      <c r="C117" s="7"/>
      <c r="D117" s="7"/>
      <c r="E117" s="7"/>
      <c r="F117" s="7"/>
      <c r="G117" s="7"/>
      <c r="H117" s="7"/>
      <c r="I117" s="153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25">
      <c r="A118" s="7"/>
      <c r="B118" s="7"/>
      <c r="C118" s="7"/>
      <c r="D118" s="7"/>
      <c r="E118" s="7"/>
      <c r="F118" s="7"/>
      <c r="G118" s="7"/>
      <c r="H118" s="7"/>
      <c r="I118" s="153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25">
      <c r="A119" s="7"/>
      <c r="B119" s="7"/>
      <c r="C119" s="7"/>
      <c r="D119" s="7"/>
      <c r="E119" s="7"/>
      <c r="F119" s="7"/>
      <c r="G119" s="7"/>
      <c r="H119" s="7"/>
      <c r="I119" s="153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25">
      <c r="A120" s="7"/>
      <c r="B120" s="7"/>
      <c r="C120" s="7"/>
      <c r="D120" s="7"/>
      <c r="E120" s="7"/>
      <c r="F120" s="7"/>
      <c r="G120" s="7"/>
      <c r="H120" s="7"/>
      <c r="I120" s="153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25">
      <c r="A121" s="7"/>
      <c r="B121" s="7"/>
      <c r="C121" s="7"/>
      <c r="D121" s="7"/>
      <c r="E121" s="7"/>
      <c r="F121" s="7"/>
      <c r="G121" s="7"/>
      <c r="H121" s="7"/>
      <c r="I121" s="153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25">
      <c r="A122" s="7"/>
      <c r="B122" s="7"/>
      <c r="C122" s="7"/>
      <c r="D122" s="7"/>
      <c r="E122" s="7"/>
      <c r="F122" s="7"/>
      <c r="G122" s="7"/>
      <c r="H122" s="7"/>
      <c r="I122" s="153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25">
      <c r="A123" s="7"/>
      <c r="B123" s="7"/>
      <c r="C123" s="7"/>
      <c r="D123" s="7"/>
      <c r="E123" s="7"/>
      <c r="F123" s="7"/>
      <c r="G123" s="7"/>
      <c r="H123" s="7"/>
      <c r="I123" s="153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25">
      <c r="A124" s="7"/>
      <c r="B124" s="7"/>
      <c r="C124" s="7"/>
      <c r="D124" s="7"/>
      <c r="E124" s="7"/>
      <c r="F124" s="7"/>
      <c r="G124" s="7"/>
      <c r="H124" s="7"/>
      <c r="I124" s="153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25">
      <c r="A125" s="7"/>
      <c r="B125" s="7"/>
      <c r="C125" s="7"/>
      <c r="D125" s="7"/>
      <c r="E125" s="7"/>
      <c r="F125" s="7"/>
      <c r="G125" s="7"/>
      <c r="H125" s="7"/>
      <c r="I125" s="153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25">
      <c r="A126" s="7"/>
      <c r="B126" s="7"/>
      <c r="C126" s="7"/>
      <c r="D126" s="7"/>
      <c r="E126" s="7"/>
      <c r="F126" s="7"/>
      <c r="G126" s="7"/>
      <c r="H126" s="7"/>
      <c r="I126" s="153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25">
      <c r="A127" s="7"/>
      <c r="B127" s="7"/>
      <c r="C127" s="7"/>
      <c r="D127" s="7"/>
      <c r="E127" s="7"/>
      <c r="F127" s="7"/>
      <c r="G127" s="7"/>
      <c r="H127" s="7"/>
      <c r="I127" s="153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25">
      <c r="A128" s="7"/>
      <c r="B128" s="7"/>
      <c r="C128" s="7"/>
      <c r="D128" s="7"/>
      <c r="E128" s="7"/>
      <c r="F128" s="7"/>
      <c r="G128" s="7"/>
      <c r="H128" s="7"/>
      <c r="I128" s="153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25">
      <c r="A129" s="7"/>
      <c r="B129" s="7"/>
      <c r="C129" s="7"/>
      <c r="D129" s="7"/>
      <c r="E129" s="7"/>
      <c r="F129" s="7"/>
      <c r="G129" s="7"/>
      <c r="H129" s="7"/>
      <c r="I129" s="153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25">
      <c r="A130" s="7"/>
      <c r="B130" s="7"/>
      <c r="C130" s="7"/>
      <c r="D130" s="7"/>
      <c r="E130" s="7"/>
      <c r="F130" s="7"/>
      <c r="G130" s="7"/>
      <c r="H130" s="7"/>
      <c r="I130" s="153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25">
      <c r="A131" s="7"/>
      <c r="B131" s="7"/>
      <c r="C131" s="7"/>
      <c r="D131" s="7"/>
      <c r="E131" s="7"/>
      <c r="F131" s="7"/>
      <c r="G131" s="7"/>
      <c r="H131" s="7"/>
      <c r="I131" s="153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25">
      <c r="A132" s="7"/>
      <c r="B132" s="7"/>
      <c r="C132" s="7"/>
      <c r="D132" s="7"/>
      <c r="E132" s="7"/>
      <c r="F132" s="7"/>
      <c r="G132" s="7"/>
      <c r="H132" s="7"/>
      <c r="I132" s="153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25">
      <c r="A133" s="7"/>
      <c r="B133" s="7"/>
      <c r="C133" s="7"/>
      <c r="D133" s="7"/>
      <c r="E133" s="7"/>
      <c r="F133" s="7"/>
      <c r="G133" s="7"/>
      <c r="H133" s="7"/>
      <c r="I133" s="153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25">
      <c r="A134" s="7"/>
      <c r="B134" s="7"/>
      <c r="C134" s="7"/>
      <c r="D134" s="7"/>
      <c r="E134" s="7"/>
      <c r="F134" s="7"/>
      <c r="G134" s="7"/>
      <c r="H134" s="7"/>
      <c r="I134" s="153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25">
      <c r="A135" s="7"/>
      <c r="B135" s="7"/>
      <c r="C135" s="7"/>
      <c r="D135" s="7"/>
      <c r="E135" s="7"/>
      <c r="F135" s="7"/>
      <c r="G135" s="7"/>
      <c r="H135" s="7"/>
      <c r="I135" s="153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25">
      <c r="A136" s="7"/>
      <c r="B136" s="7"/>
      <c r="C136" s="7"/>
      <c r="D136" s="7"/>
      <c r="E136" s="7"/>
      <c r="F136" s="7"/>
      <c r="G136" s="7"/>
      <c r="H136" s="7"/>
      <c r="I136" s="153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25">
      <c r="A137" s="7"/>
      <c r="B137" s="7"/>
      <c r="C137" s="7"/>
      <c r="D137" s="7"/>
      <c r="E137" s="7"/>
      <c r="F137" s="7"/>
      <c r="G137" s="7"/>
      <c r="H137" s="7"/>
      <c r="I137" s="153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153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153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153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153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153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153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153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153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153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153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153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153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153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153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153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153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153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153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153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153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153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153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153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153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153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153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153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153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153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153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153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153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153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153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153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153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153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153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153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153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153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153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153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153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153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153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153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153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153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153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153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153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153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153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153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153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153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153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153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153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153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153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153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153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153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153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153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153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153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153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153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153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153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153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153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153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153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153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153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153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153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153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153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153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153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153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153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153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153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153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153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153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153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153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153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153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153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153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153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153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153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153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153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153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153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153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153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153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153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153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153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153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153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153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153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153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153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153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153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153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153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153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153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153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153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153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153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153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153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153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153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153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153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153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153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153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153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153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153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153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153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153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153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153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153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153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153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153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153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153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153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153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153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153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153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153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153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153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153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153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153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153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153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153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153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153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153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153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153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153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153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153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153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153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153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153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153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153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153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153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153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153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153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153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153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153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153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153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153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153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153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153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153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153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153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153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153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153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153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153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153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153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153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153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153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153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153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153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153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153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153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153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153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153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153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153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153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153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153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153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153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153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153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153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153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153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153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153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153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153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153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153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153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153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153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153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153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153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153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153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153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153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153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153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153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153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153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153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153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153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153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153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153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153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153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153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153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153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153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153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153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153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153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153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153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153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153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153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153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153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153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153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153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153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153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153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153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153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153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153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153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153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153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153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153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153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153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153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153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153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153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153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153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153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153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153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153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153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153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153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153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153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153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153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153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153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153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153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153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153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153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153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153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153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153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153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153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153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153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153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153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153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153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153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153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153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153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153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153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153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153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153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153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153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153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153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153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153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153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153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153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153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153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153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153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153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153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153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153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153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153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153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153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153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153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153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153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153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153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153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153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153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153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153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153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153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153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153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153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153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153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153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153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153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153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153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153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153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153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153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153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153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153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153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153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153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153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153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153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153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153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153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153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153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153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153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153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153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153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153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153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153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153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153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153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153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153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153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153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153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153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153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153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153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153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153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153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153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153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153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153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153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153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153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153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153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153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153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153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153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153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153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153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153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153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153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153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153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153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153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153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153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153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153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153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153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153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153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153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153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153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153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153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153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153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153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153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153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153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153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153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153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153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153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153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153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153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153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7"/>
      <c r="B606" s="7"/>
      <c r="C606" s="7"/>
      <c r="D606" s="7"/>
      <c r="E606" s="7"/>
      <c r="F606" s="7"/>
      <c r="G606" s="7"/>
      <c r="H606" s="7"/>
      <c r="I606" s="153"/>
      <c r="J606" s="7"/>
      <c r="K606" s="7"/>
      <c r="L606" s="7"/>
      <c r="M606" s="7"/>
      <c r="N606" s="7"/>
      <c r="O606" s="7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7"/>
      <c r="B607" s="7"/>
      <c r="C607" s="7"/>
      <c r="D607" s="7"/>
      <c r="E607" s="7"/>
      <c r="F607" s="7"/>
      <c r="G607" s="7"/>
      <c r="H607" s="7"/>
      <c r="I607" s="153"/>
      <c r="J607" s="7"/>
      <c r="K607" s="7"/>
      <c r="L607" s="7"/>
      <c r="M607" s="7"/>
      <c r="N607" s="7"/>
      <c r="O607" s="7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7"/>
      <c r="B608" s="7"/>
      <c r="C608" s="7"/>
      <c r="D608" s="7"/>
      <c r="E608" s="7"/>
      <c r="F608" s="7"/>
      <c r="G608" s="7"/>
      <c r="H608" s="7"/>
      <c r="I608" s="153"/>
      <c r="J608" s="7"/>
      <c r="K608" s="7"/>
      <c r="L608" s="7"/>
      <c r="M608" s="7"/>
      <c r="N608" s="7"/>
      <c r="O608" s="7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7"/>
      <c r="B609" s="7"/>
      <c r="C609" s="7"/>
      <c r="D609" s="7"/>
      <c r="E609" s="7"/>
      <c r="F609" s="7"/>
      <c r="G609" s="7"/>
      <c r="H609" s="7"/>
      <c r="I609" s="153"/>
      <c r="J609" s="7"/>
      <c r="K609" s="7"/>
      <c r="L609" s="7"/>
      <c r="M609" s="7"/>
      <c r="N609" s="7"/>
      <c r="O609" s="7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7"/>
      <c r="B610" s="7"/>
      <c r="C610" s="7"/>
      <c r="D610" s="7"/>
      <c r="E610" s="7"/>
      <c r="F610" s="7"/>
      <c r="G610" s="7"/>
      <c r="H610" s="7"/>
      <c r="I610" s="153"/>
      <c r="J610" s="7"/>
      <c r="K610" s="7"/>
      <c r="L610" s="7"/>
      <c r="M610" s="7"/>
      <c r="N610" s="7"/>
      <c r="O610" s="7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7"/>
      <c r="B611" s="7"/>
      <c r="C611" s="7"/>
      <c r="D611" s="7"/>
      <c r="E611" s="7"/>
      <c r="F611" s="7"/>
      <c r="G611" s="7"/>
      <c r="H611" s="7"/>
      <c r="I611" s="153"/>
      <c r="J611" s="7"/>
      <c r="K611" s="7"/>
      <c r="L611" s="7"/>
      <c r="M611" s="7"/>
      <c r="N611" s="7"/>
      <c r="O611" s="7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7"/>
      <c r="B612" s="7"/>
      <c r="C612" s="7"/>
      <c r="D612" s="7"/>
      <c r="E612" s="7"/>
      <c r="F612" s="7"/>
      <c r="G612" s="7"/>
      <c r="H612" s="7"/>
      <c r="I612" s="153"/>
      <c r="J612" s="7"/>
      <c r="K612" s="7"/>
      <c r="L612" s="7"/>
      <c r="M612" s="7"/>
      <c r="N612" s="7"/>
      <c r="O612" s="7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7"/>
      <c r="B613" s="7"/>
      <c r="C613" s="7"/>
      <c r="D613" s="7"/>
      <c r="E613" s="7"/>
      <c r="F613" s="7"/>
      <c r="G613" s="7"/>
      <c r="H613" s="7"/>
      <c r="I613" s="153"/>
      <c r="J613" s="7"/>
      <c r="K613" s="7"/>
      <c r="L613" s="7"/>
      <c r="M613" s="7"/>
      <c r="N613" s="7"/>
      <c r="O613" s="7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7"/>
      <c r="B614" s="7"/>
      <c r="C614" s="7"/>
      <c r="D614" s="7"/>
      <c r="E614" s="7"/>
      <c r="F614" s="7"/>
      <c r="G614" s="7"/>
      <c r="H614" s="7"/>
      <c r="I614" s="153"/>
      <c r="J614" s="7"/>
      <c r="K614" s="7"/>
      <c r="L614" s="7"/>
      <c r="M614" s="7"/>
      <c r="N614" s="7"/>
      <c r="O614" s="7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7"/>
      <c r="B615" s="7"/>
      <c r="C615" s="7"/>
      <c r="D615" s="7"/>
      <c r="E615" s="7"/>
      <c r="F615" s="7"/>
      <c r="G615" s="7"/>
      <c r="H615" s="7"/>
      <c r="I615" s="153"/>
      <c r="J615" s="7"/>
      <c r="K615" s="7"/>
      <c r="L615" s="7"/>
      <c r="M615" s="7"/>
      <c r="N615" s="7"/>
      <c r="O615" s="7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7"/>
      <c r="B616" s="7"/>
      <c r="C616" s="7"/>
      <c r="D616" s="7"/>
      <c r="E616" s="7"/>
      <c r="F616" s="7"/>
      <c r="G616" s="7"/>
      <c r="H616" s="7"/>
      <c r="I616" s="153"/>
      <c r="J616" s="7"/>
      <c r="K616" s="7"/>
      <c r="L616" s="7"/>
      <c r="M616" s="7"/>
      <c r="N616" s="7"/>
      <c r="O616" s="7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7"/>
      <c r="B617" s="7"/>
      <c r="C617" s="7"/>
      <c r="D617" s="7"/>
      <c r="E617" s="7"/>
      <c r="F617" s="7"/>
      <c r="G617" s="7"/>
      <c r="H617" s="7"/>
      <c r="I617" s="153"/>
      <c r="J617" s="7"/>
      <c r="K617" s="7"/>
      <c r="L617" s="7"/>
      <c r="M617" s="7"/>
      <c r="N617" s="7"/>
      <c r="O617" s="7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7"/>
      <c r="B618" s="7"/>
      <c r="C618" s="7"/>
      <c r="D618" s="7"/>
      <c r="E618" s="7"/>
      <c r="F618" s="7"/>
      <c r="G618" s="7"/>
      <c r="H618" s="7"/>
      <c r="I618" s="153"/>
      <c r="J618" s="7"/>
      <c r="K618" s="7"/>
      <c r="L618" s="7"/>
      <c r="M618" s="7"/>
      <c r="N618" s="7"/>
      <c r="O618" s="7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7"/>
      <c r="B619" s="7"/>
      <c r="C619" s="7"/>
      <c r="D619" s="7"/>
      <c r="E619" s="7"/>
      <c r="F619" s="7"/>
      <c r="G619" s="7"/>
      <c r="H619" s="7"/>
      <c r="I619" s="153"/>
      <c r="J619" s="7"/>
      <c r="K619" s="7"/>
      <c r="L619" s="7"/>
      <c r="M619" s="7"/>
      <c r="N619" s="7"/>
      <c r="O619" s="7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7"/>
      <c r="B620" s="7"/>
      <c r="C620" s="7"/>
      <c r="D620" s="7"/>
      <c r="E620" s="7"/>
      <c r="F620" s="7"/>
      <c r="G620" s="7"/>
      <c r="H620" s="7"/>
      <c r="I620" s="153"/>
      <c r="J620" s="7"/>
      <c r="K620" s="7"/>
      <c r="L620" s="7"/>
      <c r="M620" s="7"/>
      <c r="N620" s="7"/>
      <c r="O620" s="7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7"/>
      <c r="B621" s="7"/>
      <c r="C621" s="7"/>
      <c r="D621" s="7"/>
      <c r="E621" s="7"/>
      <c r="F621" s="7"/>
      <c r="G621" s="7"/>
      <c r="H621" s="7"/>
      <c r="I621" s="153"/>
      <c r="J621" s="7"/>
      <c r="K621" s="7"/>
      <c r="L621" s="7"/>
      <c r="M621" s="7"/>
      <c r="N621" s="7"/>
      <c r="O621" s="7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7"/>
      <c r="B622" s="7"/>
      <c r="C622" s="7"/>
      <c r="D622" s="7"/>
      <c r="E622" s="7"/>
      <c r="F622" s="7"/>
      <c r="G622" s="7"/>
      <c r="H622" s="7"/>
      <c r="I622" s="153"/>
      <c r="J622" s="7"/>
      <c r="K622" s="7"/>
      <c r="L622" s="7"/>
      <c r="M622" s="7"/>
      <c r="N622" s="7"/>
      <c r="O622" s="7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7"/>
      <c r="B623" s="7"/>
      <c r="C623" s="7"/>
      <c r="D623" s="7"/>
      <c r="E623" s="7"/>
      <c r="F623" s="7"/>
      <c r="G623" s="7"/>
      <c r="H623" s="7"/>
      <c r="I623" s="153"/>
      <c r="J623" s="7"/>
      <c r="K623" s="7"/>
      <c r="L623" s="7"/>
      <c r="M623" s="7"/>
      <c r="N623" s="7"/>
      <c r="O623" s="7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7"/>
      <c r="B624" s="7"/>
      <c r="C624" s="7"/>
      <c r="D624" s="7"/>
      <c r="E624" s="7"/>
      <c r="F624" s="7"/>
      <c r="G624" s="7"/>
      <c r="H624" s="7"/>
      <c r="I624" s="153"/>
      <c r="J624" s="7"/>
      <c r="K624" s="7"/>
      <c r="L624" s="7"/>
      <c r="M624" s="7"/>
      <c r="N624" s="7"/>
      <c r="O624" s="7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7"/>
      <c r="B625" s="7"/>
      <c r="C625" s="7"/>
      <c r="D625" s="7"/>
      <c r="E625" s="7"/>
      <c r="F625" s="7"/>
      <c r="G625" s="7"/>
      <c r="H625" s="7"/>
      <c r="I625" s="153"/>
      <c r="J625" s="7"/>
      <c r="K625" s="7"/>
      <c r="L625" s="7"/>
      <c r="M625" s="7"/>
      <c r="N625" s="7"/>
      <c r="O625" s="7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7"/>
      <c r="B626" s="7"/>
      <c r="C626" s="7"/>
      <c r="D626" s="7"/>
      <c r="E626" s="7"/>
      <c r="F626" s="7"/>
      <c r="G626" s="7"/>
      <c r="H626" s="7"/>
      <c r="I626" s="153"/>
      <c r="J626" s="7"/>
      <c r="K626" s="7"/>
      <c r="L626" s="7"/>
      <c r="M626" s="7"/>
      <c r="N626" s="7"/>
      <c r="O626" s="7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7"/>
      <c r="B627" s="7"/>
      <c r="C627" s="7"/>
      <c r="D627" s="7"/>
      <c r="E627" s="7"/>
      <c r="F627" s="7"/>
      <c r="G627" s="7"/>
      <c r="H627" s="7"/>
      <c r="I627" s="153"/>
      <c r="J627" s="7"/>
      <c r="K627" s="7"/>
      <c r="L627" s="7"/>
      <c r="M627" s="7"/>
      <c r="N627" s="7"/>
      <c r="O627" s="7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7"/>
      <c r="B628" s="7"/>
      <c r="C628" s="7"/>
      <c r="D628" s="7"/>
      <c r="E628" s="7"/>
      <c r="F628" s="7"/>
      <c r="G628" s="7"/>
      <c r="H628" s="7"/>
      <c r="I628" s="153"/>
      <c r="J628" s="7"/>
      <c r="K628" s="7"/>
      <c r="L628" s="7"/>
      <c r="M628" s="7"/>
      <c r="N628" s="7"/>
      <c r="O628" s="7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7"/>
      <c r="B629" s="7"/>
      <c r="C629" s="7"/>
      <c r="D629" s="7"/>
      <c r="E629" s="7"/>
      <c r="F629" s="7"/>
      <c r="G629" s="7"/>
      <c r="H629" s="7"/>
      <c r="I629" s="153"/>
      <c r="J629" s="7"/>
      <c r="K629" s="7"/>
      <c r="L629" s="7"/>
      <c r="M629" s="7"/>
      <c r="N629" s="7"/>
      <c r="O629" s="7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7"/>
      <c r="B630" s="7"/>
      <c r="C630" s="7"/>
      <c r="D630" s="7"/>
      <c r="E630" s="7"/>
      <c r="F630" s="7"/>
      <c r="G630" s="7"/>
      <c r="H630" s="7"/>
      <c r="I630" s="153"/>
      <c r="J630" s="7"/>
      <c r="K630" s="7"/>
      <c r="L630" s="7"/>
      <c r="M630" s="7"/>
      <c r="N630" s="7"/>
      <c r="O630" s="7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7"/>
      <c r="B631" s="7"/>
      <c r="C631" s="7"/>
      <c r="D631" s="7"/>
      <c r="E631" s="7"/>
      <c r="F631" s="7"/>
      <c r="G631" s="7"/>
      <c r="H631" s="7"/>
      <c r="I631" s="153"/>
      <c r="J631" s="7"/>
      <c r="K631" s="7"/>
      <c r="L631" s="7"/>
      <c r="M631" s="7"/>
      <c r="N631" s="7"/>
      <c r="O631" s="7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7"/>
      <c r="B632" s="7"/>
      <c r="C632" s="7"/>
      <c r="D632" s="7"/>
      <c r="E632" s="7"/>
      <c r="F632" s="7"/>
      <c r="G632" s="7"/>
      <c r="H632" s="7"/>
      <c r="I632" s="153"/>
      <c r="J632" s="7"/>
      <c r="K632" s="7"/>
      <c r="L632" s="7"/>
      <c r="M632" s="7"/>
      <c r="N632" s="7"/>
      <c r="O632" s="7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7"/>
      <c r="B633" s="7"/>
      <c r="C633" s="7"/>
      <c r="D633" s="7"/>
      <c r="E633" s="7"/>
      <c r="F633" s="7"/>
      <c r="G633" s="7"/>
      <c r="H633" s="7"/>
      <c r="I633" s="153"/>
      <c r="J633" s="7"/>
      <c r="K633" s="7"/>
      <c r="L633" s="7"/>
      <c r="M633" s="7"/>
      <c r="N633" s="7"/>
      <c r="O633" s="7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7"/>
      <c r="B634" s="7"/>
      <c r="C634" s="7"/>
      <c r="D634" s="7"/>
      <c r="E634" s="7"/>
      <c r="F634" s="7"/>
      <c r="G634" s="7"/>
      <c r="H634" s="7"/>
      <c r="I634" s="153"/>
      <c r="J634" s="7"/>
      <c r="K634" s="7"/>
      <c r="L634" s="7"/>
      <c r="M634" s="7"/>
      <c r="N634" s="7"/>
      <c r="O634" s="7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7"/>
      <c r="B635" s="7"/>
      <c r="C635" s="7"/>
      <c r="D635" s="7"/>
      <c r="E635" s="7"/>
      <c r="F635" s="7"/>
      <c r="G635" s="7"/>
      <c r="H635" s="7"/>
      <c r="I635" s="153"/>
      <c r="J635" s="7"/>
      <c r="K635" s="7"/>
      <c r="L635" s="7"/>
      <c r="M635" s="7"/>
      <c r="N635" s="7"/>
      <c r="O635" s="7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7"/>
      <c r="B636" s="7"/>
      <c r="C636" s="7"/>
      <c r="D636" s="7"/>
      <c r="E636" s="7"/>
      <c r="F636" s="7"/>
      <c r="G636" s="7"/>
      <c r="H636" s="7"/>
      <c r="I636" s="153"/>
      <c r="J636" s="7"/>
      <c r="K636" s="7"/>
      <c r="L636" s="7"/>
      <c r="M636" s="7"/>
      <c r="N636" s="7"/>
      <c r="O636" s="7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7"/>
      <c r="B637" s="7"/>
      <c r="C637" s="7"/>
      <c r="D637" s="7"/>
      <c r="E637" s="7"/>
      <c r="F637" s="7"/>
      <c r="G637" s="7"/>
      <c r="H637" s="7"/>
      <c r="I637" s="153"/>
      <c r="J637" s="7"/>
      <c r="K637" s="7"/>
      <c r="L637" s="7"/>
      <c r="M637" s="7"/>
      <c r="N637" s="7"/>
      <c r="O637" s="7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7"/>
      <c r="B638" s="7"/>
      <c r="C638" s="7"/>
      <c r="D638" s="7"/>
      <c r="E638" s="7"/>
      <c r="F638" s="7"/>
      <c r="G638" s="7"/>
      <c r="H638" s="7"/>
      <c r="I638" s="153"/>
      <c r="J638" s="7"/>
      <c r="K638" s="7"/>
      <c r="L638" s="7"/>
      <c r="M638" s="7"/>
      <c r="N638" s="7"/>
      <c r="O638" s="7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7"/>
      <c r="B639" s="7"/>
      <c r="C639" s="7"/>
      <c r="D639" s="7"/>
      <c r="E639" s="7"/>
      <c r="F639" s="7"/>
      <c r="G639" s="7"/>
      <c r="H639" s="7"/>
      <c r="I639" s="153"/>
      <c r="J639" s="7"/>
      <c r="K639" s="7"/>
      <c r="L639" s="7"/>
      <c r="M639" s="7"/>
      <c r="N639" s="7"/>
      <c r="O639" s="7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7"/>
      <c r="B640" s="7"/>
      <c r="C640" s="7"/>
      <c r="D640" s="7"/>
      <c r="E640" s="7"/>
      <c r="F640" s="7"/>
      <c r="G640" s="7"/>
      <c r="H640" s="7"/>
      <c r="I640" s="153"/>
      <c r="J640" s="7"/>
      <c r="K640" s="7"/>
      <c r="L640" s="7"/>
      <c r="M640" s="7"/>
      <c r="N640" s="7"/>
      <c r="O640" s="7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7"/>
      <c r="B641" s="7"/>
      <c r="C641" s="7"/>
      <c r="D641" s="7"/>
      <c r="E641" s="7"/>
      <c r="F641" s="7"/>
      <c r="G641" s="7"/>
      <c r="H641" s="7"/>
      <c r="I641" s="153"/>
      <c r="J641" s="7"/>
      <c r="K641" s="7"/>
      <c r="L641" s="7"/>
      <c r="M641" s="7"/>
      <c r="N641" s="7"/>
      <c r="O641" s="7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7"/>
      <c r="B642" s="7"/>
      <c r="C642" s="7"/>
      <c r="D642" s="7"/>
      <c r="E642" s="7"/>
      <c r="F642" s="7"/>
      <c r="G642" s="7"/>
      <c r="H642" s="7"/>
      <c r="I642" s="153"/>
      <c r="J642" s="7"/>
      <c r="K642" s="7"/>
      <c r="L642" s="7"/>
      <c r="M642" s="7"/>
      <c r="N642" s="7"/>
      <c r="O642" s="7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7"/>
      <c r="B643" s="7"/>
      <c r="C643" s="7"/>
      <c r="D643" s="7"/>
      <c r="E643" s="7"/>
      <c r="F643" s="7"/>
      <c r="G643" s="7"/>
      <c r="H643" s="7"/>
      <c r="I643" s="153"/>
      <c r="J643" s="7"/>
      <c r="K643" s="7"/>
      <c r="L643" s="7"/>
      <c r="M643" s="7"/>
      <c r="N643" s="7"/>
      <c r="O643" s="7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7"/>
      <c r="B644" s="7"/>
      <c r="C644" s="7"/>
      <c r="D644" s="7"/>
      <c r="E644" s="7"/>
      <c r="F644" s="7"/>
      <c r="G644" s="7"/>
      <c r="H644" s="7"/>
      <c r="I644" s="153"/>
      <c r="J644" s="7"/>
      <c r="K644" s="7"/>
      <c r="L644" s="7"/>
      <c r="M644" s="7"/>
      <c r="N644" s="7"/>
      <c r="O644" s="7"/>
      <c r="P644" s="7"/>
      <c r="Q644" s="153"/>
      <c r="R644" s="7"/>
      <c r="S644" s="7"/>
      <c r="T644" s="7"/>
      <c r="U644" s="153"/>
      <c r="V644" s="153"/>
      <c r="W644" s="12"/>
      <c r="X644" s="7"/>
      <c r="Y644" s="7"/>
      <c r="Z644" s="7"/>
      <c r="AA644" s="7"/>
      <c r="AB644" s="13"/>
      <c r="AC644" s="13"/>
      <c r="AD644" s="13"/>
    </row>
    <row r="645" ht="14.4">
      <c r="A645" s="7"/>
      <c r="B645" s="7"/>
      <c r="C645" s="7"/>
      <c r="D645" s="7"/>
      <c r="E645" s="7"/>
      <c r="F645" s="7"/>
      <c r="G645" s="7"/>
      <c r="H645" s="7"/>
      <c r="I645" s="153"/>
      <c r="J645" s="7"/>
      <c r="K645" s="7"/>
      <c r="L645" s="7"/>
      <c r="M645" s="7"/>
      <c r="N645" s="7"/>
      <c r="O645" s="7"/>
      <c r="P645" s="7"/>
      <c r="Q645" s="153"/>
      <c r="R645" s="7"/>
      <c r="S645" s="7"/>
      <c r="T645" s="7"/>
      <c r="U645" s="153"/>
      <c r="V645" s="153"/>
      <c r="W645" s="12"/>
      <c r="X645" s="7"/>
      <c r="Y645" s="7"/>
      <c r="Z645" s="7"/>
      <c r="AA645" s="7"/>
      <c r="AB645" s="13"/>
      <c r="AC645" s="13"/>
      <c r="AD645" s="13"/>
    </row>
    <row r="646" ht="14.4">
      <c r="A646" s="7"/>
      <c r="B646" s="7"/>
      <c r="C646" s="7"/>
      <c r="D646" s="7"/>
      <c r="E646" s="7"/>
      <c r="F646" s="7"/>
      <c r="G646" s="7"/>
      <c r="H646" s="7"/>
      <c r="I646" s="153"/>
      <c r="J646" s="7"/>
      <c r="K646" s="7"/>
      <c r="L646" s="7"/>
      <c r="M646" s="7"/>
      <c r="N646" s="7"/>
      <c r="O646" s="7"/>
      <c r="P646" s="7"/>
      <c r="Q646" s="153"/>
      <c r="R646" s="7"/>
      <c r="S646" s="7"/>
      <c r="T646" s="7"/>
      <c r="U646" s="153"/>
      <c r="V646" s="153"/>
      <c r="W646" s="12"/>
      <c r="X646" s="7"/>
      <c r="Y646" s="7"/>
      <c r="Z646" s="7"/>
      <c r="AA646" s="7"/>
      <c r="AB646" s="13"/>
      <c r="AC646" s="13"/>
      <c r="AD646" s="13"/>
    </row>
    <row r="647" ht="14.4">
      <c r="A647" s="21"/>
      <c r="B647" s="21"/>
      <c r="C647" s="21"/>
      <c r="D647" s="21"/>
      <c r="E647" s="21"/>
      <c r="F647" s="21"/>
      <c r="G647" s="21"/>
      <c r="H647" s="21"/>
      <c r="I647" s="154"/>
      <c r="J647" s="21"/>
      <c r="K647" s="21"/>
      <c r="L647" s="21"/>
      <c r="M647" s="21"/>
      <c r="N647" s="21"/>
      <c r="O647" s="21"/>
      <c r="P647" s="7"/>
      <c r="Q647" s="153"/>
      <c r="R647" s="7"/>
      <c r="S647" s="7"/>
      <c r="T647" s="7"/>
      <c r="U647" s="153"/>
      <c r="V647" s="153"/>
      <c r="W647" s="12"/>
      <c r="X647" s="7"/>
      <c r="Y647" s="7"/>
      <c r="Z647" s="7"/>
      <c r="AA647" s="7"/>
      <c r="AB647" s="13"/>
      <c r="AC647" s="13"/>
      <c r="AD647" s="13"/>
    </row>
    <row r="648" ht="14.4">
      <c r="A648" s="21"/>
      <c r="B648" s="21"/>
      <c r="C648" s="21"/>
      <c r="D648" s="21"/>
      <c r="E648" s="21"/>
      <c r="F648" s="21"/>
      <c r="G648" s="21"/>
      <c r="H648" s="21"/>
      <c r="I648" s="154"/>
      <c r="J648" s="21"/>
      <c r="K648" s="21"/>
      <c r="L648" s="21"/>
      <c r="M648" s="21"/>
      <c r="N648" s="21"/>
      <c r="O648" s="21"/>
      <c r="P648" s="7"/>
      <c r="Q648" s="153"/>
      <c r="R648" s="7"/>
      <c r="S648" s="7"/>
      <c r="T648" s="7"/>
      <c r="U648" s="153"/>
      <c r="V648" s="153"/>
      <c r="W648" s="12"/>
      <c r="X648" s="7"/>
      <c r="Y648" s="7"/>
      <c r="Z648" s="7"/>
      <c r="AA648" s="7"/>
      <c r="AB648" s="13"/>
      <c r="AC648" s="13"/>
      <c r="AD648" s="13"/>
    </row>
    <row r="649" ht="14.4">
      <c r="A649" s="21"/>
      <c r="B649" s="21"/>
      <c r="C649" s="21"/>
      <c r="D649" s="21"/>
      <c r="E649" s="21"/>
      <c r="F649" s="21"/>
      <c r="G649" s="21"/>
      <c r="H649" s="21"/>
      <c r="I649" s="154"/>
      <c r="J649" s="21"/>
      <c r="K649" s="21"/>
      <c r="L649" s="21"/>
      <c r="M649" s="21"/>
      <c r="N649" s="21"/>
      <c r="O649" s="21"/>
      <c r="P649" s="7"/>
      <c r="Q649" s="153"/>
      <c r="R649" s="7"/>
      <c r="S649" s="7"/>
      <c r="T649" s="7"/>
      <c r="U649" s="153"/>
      <c r="V649" s="153"/>
      <c r="W649" s="12"/>
      <c r="X649" s="7"/>
      <c r="Y649" s="7"/>
      <c r="Z649" s="7"/>
      <c r="AA649" s="7"/>
      <c r="AB649" s="13"/>
      <c r="AC649" s="13"/>
      <c r="AD649" s="13"/>
    </row>
    <row r="650" ht="14.4">
      <c r="A650" s="21"/>
      <c r="B650" s="21"/>
      <c r="C650" s="21"/>
      <c r="D650" s="21"/>
      <c r="E650" s="21"/>
      <c r="F650" s="21"/>
      <c r="G650" s="21"/>
      <c r="H650" s="21"/>
      <c r="I650" s="154"/>
      <c r="J650" s="21"/>
      <c r="K650" s="21"/>
      <c r="L650" s="21"/>
      <c r="M650" s="21"/>
      <c r="N650" s="21"/>
      <c r="O650" s="21"/>
      <c r="P650" s="7"/>
      <c r="Q650" s="153"/>
      <c r="R650" s="7"/>
      <c r="S650" s="7"/>
      <c r="T650" s="7"/>
      <c r="U650" s="153"/>
      <c r="V650" s="153"/>
      <c r="W650" s="12"/>
      <c r="X650" s="7"/>
      <c r="Y650" s="7"/>
      <c r="Z650" s="7"/>
      <c r="AA650" s="7"/>
      <c r="AB650" s="13"/>
      <c r="AC650" s="13"/>
      <c r="AD650" s="13"/>
    </row>
    <row r="651" ht="14.4">
      <c r="A651" s="21"/>
      <c r="B651" s="21"/>
      <c r="C651" s="21"/>
      <c r="D651" s="21"/>
      <c r="E651" s="21"/>
      <c r="F651" s="21"/>
      <c r="G651" s="21"/>
      <c r="H651" s="21"/>
      <c r="I651" s="154"/>
      <c r="J651" s="21"/>
      <c r="K651" s="21"/>
      <c r="L651" s="21"/>
      <c r="M651" s="21"/>
      <c r="N651" s="21"/>
      <c r="O651" s="21"/>
      <c r="P651" s="7"/>
      <c r="Q651" s="153"/>
      <c r="R651" s="7"/>
      <c r="S651" s="7"/>
      <c r="T651" s="7"/>
      <c r="U651" s="153"/>
      <c r="V651" s="153"/>
      <c r="W651" s="12"/>
      <c r="X651" s="7"/>
      <c r="Y651" s="7"/>
      <c r="Z651" s="7"/>
      <c r="AA651" s="7"/>
      <c r="AB651" s="13"/>
      <c r="AC651" s="13"/>
      <c r="AD651" s="13"/>
    </row>
    <row r="652" ht="14.4">
      <c r="A652" s="21"/>
      <c r="B652" s="21"/>
      <c r="C652" s="21"/>
      <c r="D652" s="21"/>
      <c r="E652" s="21"/>
      <c r="F652" s="21"/>
      <c r="G652" s="21"/>
      <c r="H652" s="21"/>
      <c r="I652" s="154"/>
      <c r="J652" s="21"/>
      <c r="K652" s="21"/>
      <c r="L652" s="21"/>
      <c r="M652" s="21"/>
      <c r="N652" s="21"/>
      <c r="O652" s="21"/>
      <c r="P652" s="7"/>
      <c r="Q652" s="153"/>
      <c r="R652" s="7"/>
      <c r="S652" s="7"/>
      <c r="T652" s="7"/>
      <c r="U652" s="153"/>
      <c r="V652" s="153"/>
      <c r="W652" s="12"/>
      <c r="X652" s="7"/>
      <c r="Y652" s="7"/>
      <c r="Z652" s="7"/>
      <c r="AA652" s="7"/>
      <c r="AB652" s="13"/>
      <c r="AC652" s="13"/>
      <c r="AD652" s="13"/>
    </row>
    <row r="653" ht="14.4">
      <c r="A653" s="21"/>
      <c r="B653" s="21"/>
      <c r="C653" s="21"/>
      <c r="D653" s="21"/>
      <c r="E653" s="21"/>
      <c r="F653" s="21"/>
      <c r="G653" s="21"/>
      <c r="H653" s="21"/>
      <c r="I653" s="154"/>
      <c r="J653" s="21"/>
      <c r="K653" s="21"/>
      <c r="L653" s="21"/>
      <c r="M653" s="21"/>
      <c r="N653" s="21"/>
      <c r="O653" s="21"/>
      <c r="P653" s="7"/>
      <c r="Q653" s="153"/>
      <c r="R653" s="7"/>
      <c r="S653" s="7"/>
      <c r="T653" s="7"/>
      <c r="U653" s="153"/>
      <c r="V653" s="153"/>
      <c r="W653" s="12"/>
      <c r="X653" s="7"/>
      <c r="Y653" s="7"/>
      <c r="Z653" s="7"/>
      <c r="AA653" s="7"/>
      <c r="AB653" s="13"/>
      <c r="AC653" s="13"/>
      <c r="AD653" s="13"/>
    </row>
    <row r="654" ht="14.4">
      <c r="A654" s="21"/>
      <c r="B654" s="21"/>
      <c r="C654" s="21"/>
      <c r="D654" s="21"/>
      <c r="E654" s="21"/>
      <c r="F654" s="21"/>
      <c r="G654" s="21"/>
      <c r="H654" s="21"/>
      <c r="I654" s="154"/>
      <c r="J654" s="21"/>
      <c r="K654" s="21"/>
      <c r="L654" s="21"/>
      <c r="M654" s="21"/>
      <c r="N654" s="21"/>
      <c r="O654" s="21"/>
      <c r="P654" s="7"/>
      <c r="Q654" s="153"/>
      <c r="R654" s="7"/>
      <c r="S654" s="7"/>
      <c r="T654" s="7"/>
      <c r="U654" s="153"/>
      <c r="V654" s="153"/>
      <c r="W654" s="12"/>
      <c r="X654" s="7"/>
      <c r="Y654" s="7"/>
      <c r="Z654" s="7"/>
      <c r="AA654" s="7"/>
      <c r="AB654" s="13"/>
      <c r="AC654" s="13"/>
      <c r="AD654" s="13"/>
    </row>
    <row r="655" ht="14.4">
      <c r="A655" s="21"/>
      <c r="B655" s="21"/>
      <c r="C655" s="21"/>
      <c r="D655" s="21"/>
      <c r="E655" s="21"/>
      <c r="F655" s="21"/>
      <c r="G655" s="21"/>
      <c r="H655" s="21"/>
      <c r="I655" s="154"/>
      <c r="J655" s="21"/>
      <c r="K655" s="21"/>
      <c r="L655" s="21"/>
      <c r="M655" s="21"/>
      <c r="N655" s="21"/>
      <c r="O655" s="21"/>
      <c r="P655" s="7"/>
      <c r="Q655" s="153"/>
      <c r="R655" s="7"/>
      <c r="S655" s="7"/>
      <c r="T655" s="7"/>
      <c r="U655" s="153"/>
      <c r="V655" s="153"/>
      <c r="W655" s="12"/>
      <c r="X655" s="7"/>
      <c r="Y655" s="7"/>
      <c r="Z655" s="7"/>
      <c r="AA655" s="7"/>
      <c r="AB655" s="13"/>
      <c r="AC655" s="13"/>
      <c r="AD655" s="13"/>
    </row>
    <row r="656" ht="14.4">
      <c r="A656" s="21"/>
      <c r="B656" s="21"/>
      <c r="C656" s="21"/>
      <c r="D656" s="21"/>
      <c r="E656" s="21"/>
      <c r="F656" s="21"/>
      <c r="G656" s="21"/>
      <c r="H656" s="21"/>
      <c r="I656" s="154"/>
      <c r="J656" s="21"/>
      <c r="K656" s="21"/>
      <c r="L656" s="21"/>
      <c r="M656" s="21"/>
      <c r="N656" s="21"/>
      <c r="O656" s="21"/>
      <c r="P656" s="7"/>
      <c r="Q656" s="153"/>
      <c r="R656" s="7"/>
      <c r="S656" s="7"/>
      <c r="T656" s="7"/>
      <c r="U656" s="153"/>
      <c r="V656" s="153"/>
      <c r="W656" s="12"/>
      <c r="X656" s="7"/>
      <c r="Y656" s="7"/>
      <c r="Z656" s="7"/>
      <c r="AA656" s="7"/>
      <c r="AB656" s="13"/>
      <c r="AC656" s="13"/>
      <c r="AD656" s="13"/>
    </row>
    <row r="657" ht="14.4">
      <c r="A657" s="21"/>
      <c r="B657" s="21"/>
      <c r="C657" s="21"/>
      <c r="D657" s="21"/>
      <c r="E657" s="21"/>
      <c r="F657" s="21"/>
      <c r="G657" s="21"/>
      <c r="H657" s="21"/>
      <c r="I657" s="154"/>
      <c r="J657" s="21"/>
      <c r="K657" s="21"/>
      <c r="L657" s="21"/>
      <c r="M657" s="21"/>
      <c r="N657" s="21"/>
      <c r="O657" s="21"/>
      <c r="P657" s="7"/>
      <c r="Q657" s="153"/>
      <c r="R657" s="7"/>
      <c r="S657" s="7"/>
      <c r="T657" s="7"/>
      <c r="U657" s="153"/>
      <c r="V657" s="153"/>
      <c r="W657" s="12"/>
      <c r="X657" s="7"/>
      <c r="Y657" s="7"/>
      <c r="Z657" s="7"/>
      <c r="AA657" s="7"/>
      <c r="AB657" s="13"/>
      <c r="AC657" s="13"/>
      <c r="AD657" s="13"/>
    </row>
    <row r="658" ht="14.4">
      <c r="A658" s="21"/>
      <c r="B658" s="21"/>
      <c r="C658" s="21"/>
      <c r="D658" s="21"/>
      <c r="E658" s="21"/>
      <c r="F658" s="21"/>
      <c r="G658" s="21"/>
      <c r="H658" s="21"/>
      <c r="I658" s="154"/>
      <c r="J658" s="21"/>
      <c r="K658" s="21"/>
      <c r="L658" s="21"/>
      <c r="M658" s="21"/>
      <c r="N658" s="21"/>
      <c r="O658" s="21"/>
      <c r="P658" s="7"/>
      <c r="Q658" s="153"/>
      <c r="R658" s="7"/>
      <c r="S658" s="7"/>
      <c r="T658" s="7"/>
      <c r="U658" s="153"/>
      <c r="V658" s="153"/>
      <c r="W658" s="12"/>
      <c r="X658" s="7"/>
      <c r="Y658" s="7"/>
      <c r="Z658" s="7"/>
      <c r="AA658" s="7"/>
      <c r="AB658" s="13"/>
      <c r="AC658" s="13"/>
      <c r="AD658" s="13"/>
    </row>
    <row r="659" ht="14.4">
      <c r="A659" s="21"/>
      <c r="B659" s="21"/>
      <c r="C659" s="21"/>
      <c r="D659" s="21"/>
      <c r="E659" s="21"/>
      <c r="F659" s="21"/>
      <c r="G659" s="21"/>
      <c r="H659" s="21"/>
      <c r="I659" s="154"/>
      <c r="J659" s="21"/>
      <c r="K659" s="21"/>
      <c r="L659" s="21"/>
      <c r="M659" s="21"/>
      <c r="N659" s="21"/>
      <c r="O659" s="21"/>
      <c r="P659" s="7"/>
      <c r="Q659" s="153"/>
      <c r="R659" s="7"/>
      <c r="S659" s="7"/>
      <c r="T659" s="7"/>
      <c r="U659" s="153"/>
      <c r="V659" s="153"/>
      <c r="W659" s="12"/>
      <c r="X659" s="7"/>
      <c r="Y659" s="7"/>
      <c r="Z659" s="7"/>
      <c r="AA659" s="7"/>
      <c r="AB659" s="13"/>
      <c r="AC659" s="13"/>
      <c r="AD659" s="13"/>
    </row>
    <row r="660" ht="14.4">
      <c r="A660" s="21"/>
      <c r="B660" s="21"/>
      <c r="C660" s="21"/>
      <c r="D660" s="21"/>
      <c r="E660" s="21"/>
      <c r="F660" s="21"/>
      <c r="G660" s="21"/>
      <c r="H660" s="21"/>
      <c r="I660" s="154"/>
      <c r="J660" s="21"/>
      <c r="K660" s="21"/>
      <c r="L660" s="21"/>
      <c r="M660" s="21"/>
      <c r="N660" s="21"/>
      <c r="O660" s="21"/>
      <c r="P660" s="7"/>
      <c r="Q660" s="153"/>
      <c r="R660" s="7"/>
      <c r="S660" s="7"/>
      <c r="T660" s="7"/>
      <c r="U660" s="153"/>
      <c r="V660" s="153"/>
      <c r="W660" s="12"/>
      <c r="X660" s="7"/>
      <c r="Y660" s="7"/>
      <c r="Z660" s="7"/>
      <c r="AA660" s="7"/>
      <c r="AB660" s="13"/>
      <c r="AC660" s="13"/>
      <c r="AD660" s="13"/>
    </row>
    <row r="661" ht="14.4">
      <c r="A661" s="21"/>
      <c r="B661" s="21"/>
      <c r="C661" s="21"/>
      <c r="D661" s="21"/>
      <c r="E661" s="21"/>
      <c r="F661" s="21"/>
      <c r="G661" s="21"/>
      <c r="H661" s="21"/>
      <c r="I661" s="154"/>
      <c r="J661" s="21"/>
      <c r="K661" s="21"/>
      <c r="L661" s="21"/>
      <c r="M661" s="21"/>
      <c r="N661" s="21"/>
      <c r="O661" s="21"/>
      <c r="P661" s="7"/>
      <c r="Q661" s="153"/>
      <c r="R661" s="7"/>
      <c r="S661" s="7"/>
      <c r="T661" s="7"/>
      <c r="U661" s="153"/>
      <c r="V661" s="153"/>
      <c r="W661" s="12"/>
      <c r="X661" s="7"/>
      <c r="Y661" s="7"/>
      <c r="Z661" s="7"/>
      <c r="AA661" s="7"/>
      <c r="AB661" s="13"/>
      <c r="AC661" s="13"/>
      <c r="AD661" s="13"/>
    </row>
    <row r="662" ht="14.4">
      <c r="A662" s="21"/>
      <c r="B662" s="21"/>
      <c r="C662" s="21"/>
      <c r="D662" s="21"/>
      <c r="E662" s="21"/>
      <c r="F662" s="21"/>
      <c r="G662" s="21"/>
      <c r="H662" s="21"/>
      <c r="I662" s="154"/>
      <c r="J662" s="21"/>
      <c r="K662" s="21"/>
      <c r="L662" s="21"/>
      <c r="M662" s="21"/>
      <c r="N662" s="21"/>
      <c r="O662" s="21"/>
      <c r="P662" s="7"/>
      <c r="Q662" s="153"/>
      <c r="R662" s="7"/>
      <c r="S662" s="7"/>
      <c r="T662" s="7"/>
      <c r="U662" s="153"/>
      <c r="V662" s="153"/>
      <c r="W662" s="12"/>
      <c r="X662" s="7"/>
      <c r="Y662" s="7"/>
      <c r="Z662" s="7"/>
      <c r="AA662" s="7"/>
      <c r="AB662" s="13"/>
      <c r="AC662" s="13"/>
      <c r="AD662" s="13"/>
    </row>
    <row r="663" ht="14.4">
      <c r="A663" s="21"/>
      <c r="B663" s="21"/>
      <c r="C663" s="21"/>
      <c r="D663" s="21"/>
      <c r="E663" s="21"/>
      <c r="F663" s="21"/>
      <c r="G663" s="21"/>
      <c r="H663" s="21"/>
      <c r="I663" s="154"/>
      <c r="J663" s="21"/>
      <c r="K663" s="21"/>
      <c r="L663" s="21"/>
      <c r="M663" s="21"/>
      <c r="N663" s="21"/>
      <c r="O663" s="21"/>
      <c r="P663" s="7"/>
      <c r="Q663" s="153"/>
      <c r="R663" s="7"/>
      <c r="S663" s="7"/>
      <c r="T663" s="7"/>
      <c r="U663" s="153"/>
      <c r="V663" s="153"/>
      <c r="W663" s="12"/>
      <c r="X663" s="7"/>
      <c r="Y663" s="7"/>
      <c r="Z663" s="7"/>
      <c r="AA663" s="7"/>
      <c r="AB663" s="13"/>
      <c r="AC663" s="13"/>
      <c r="AD663" s="13"/>
    </row>
    <row r="664" ht="14.4">
      <c r="A664" s="21"/>
      <c r="B664" s="21"/>
      <c r="C664" s="21"/>
      <c r="D664" s="21"/>
      <c r="E664" s="21"/>
      <c r="F664" s="21"/>
      <c r="G664" s="21"/>
      <c r="H664" s="21"/>
      <c r="I664" s="154"/>
      <c r="J664" s="21"/>
      <c r="K664" s="21"/>
      <c r="L664" s="21"/>
      <c r="M664" s="21"/>
      <c r="N664" s="21"/>
      <c r="O664" s="21"/>
      <c r="P664" s="7"/>
      <c r="Q664" s="153"/>
      <c r="R664" s="7"/>
      <c r="S664" s="7"/>
      <c r="T664" s="7"/>
      <c r="U664" s="153"/>
      <c r="V664" s="153"/>
      <c r="W664" s="12"/>
      <c r="X664" s="7"/>
      <c r="Y664" s="7"/>
      <c r="Z664" s="7"/>
      <c r="AA664" s="7"/>
      <c r="AB664" s="13"/>
      <c r="AC664" s="13"/>
      <c r="AD664" s="13"/>
    </row>
    <row r="665" ht="14.4">
      <c r="A665" s="21"/>
      <c r="B665" s="21"/>
      <c r="C665" s="21"/>
      <c r="D665" s="21"/>
      <c r="E665" s="21"/>
      <c r="F665" s="21"/>
      <c r="G665" s="21"/>
      <c r="H665" s="21"/>
      <c r="I665" s="154"/>
      <c r="J665" s="21"/>
      <c r="K665" s="21"/>
      <c r="L665" s="21"/>
      <c r="M665" s="21"/>
      <c r="N665" s="21"/>
      <c r="O665" s="21"/>
      <c r="P665" s="7"/>
      <c r="Q665" s="153"/>
      <c r="R665" s="7"/>
      <c r="S665" s="7"/>
      <c r="T665" s="7"/>
      <c r="U665" s="153"/>
      <c r="V665" s="153"/>
      <c r="W665" s="12"/>
      <c r="X665" s="7"/>
      <c r="Y665" s="7"/>
      <c r="Z665" s="7"/>
      <c r="AA665" s="7"/>
      <c r="AB665" s="13"/>
      <c r="AC665" s="13"/>
      <c r="AD665" s="13"/>
    </row>
    <row r="666" ht="14.4">
      <c r="A666" s="21"/>
      <c r="B666" s="21"/>
      <c r="C666" s="21"/>
      <c r="D666" s="21"/>
      <c r="E666" s="21"/>
      <c r="F666" s="21"/>
      <c r="G666" s="21"/>
      <c r="H666" s="21"/>
      <c r="I666" s="154"/>
      <c r="J666" s="21"/>
      <c r="K666" s="21"/>
      <c r="L666" s="21"/>
      <c r="M666" s="21"/>
      <c r="N666" s="21"/>
      <c r="O666" s="21"/>
      <c r="P666" s="7"/>
      <c r="Q666" s="153"/>
      <c r="R666" s="7"/>
      <c r="S666" s="7"/>
      <c r="T666" s="7"/>
      <c r="U666" s="153"/>
      <c r="V666" s="153"/>
      <c r="W666" s="12"/>
      <c r="X666" s="7"/>
      <c r="Y666" s="7"/>
      <c r="Z666" s="7"/>
      <c r="AA666" s="7"/>
      <c r="AB666" s="13"/>
      <c r="AC666" s="13"/>
      <c r="AD666" s="13"/>
    </row>
    <row r="667" ht="14.4">
      <c r="A667" s="21"/>
      <c r="B667" s="21"/>
      <c r="C667" s="21"/>
      <c r="D667" s="21"/>
      <c r="E667" s="21"/>
      <c r="F667" s="21"/>
      <c r="G667" s="21"/>
      <c r="H667" s="21"/>
      <c r="I667" s="154"/>
      <c r="J667" s="21"/>
      <c r="K667" s="21"/>
      <c r="L667" s="21"/>
      <c r="M667" s="21"/>
      <c r="N667" s="21"/>
      <c r="O667" s="21"/>
      <c r="P667" s="7"/>
      <c r="Q667" s="153"/>
      <c r="R667" s="7"/>
      <c r="S667" s="7"/>
      <c r="T667" s="7"/>
      <c r="U667" s="153"/>
      <c r="V667" s="153"/>
      <c r="W667" s="12"/>
      <c r="X667" s="7"/>
      <c r="Y667" s="7"/>
      <c r="Z667" s="7"/>
      <c r="AA667" s="7"/>
      <c r="AB667" s="13"/>
      <c r="AC667" s="13"/>
      <c r="AD667" s="13"/>
    </row>
    <row r="668" ht="14.4">
      <c r="A668" s="21"/>
      <c r="B668" s="21"/>
      <c r="C668" s="21"/>
      <c r="D668" s="21"/>
      <c r="E668" s="21"/>
      <c r="F668" s="21"/>
      <c r="G668" s="21"/>
      <c r="H668" s="21"/>
      <c r="I668" s="154"/>
      <c r="J668" s="21"/>
      <c r="K668" s="21"/>
      <c r="L668" s="21"/>
      <c r="M668" s="21"/>
      <c r="N668" s="21"/>
      <c r="O668" s="21"/>
      <c r="P668" s="7"/>
      <c r="Q668" s="153"/>
      <c r="R668" s="7"/>
      <c r="S668" s="7"/>
      <c r="T668" s="7"/>
      <c r="U668" s="153"/>
      <c r="V668" s="153"/>
      <c r="W668" s="12"/>
      <c r="X668" s="7"/>
      <c r="Y668" s="7"/>
      <c r="Z668" s="7"/>
      <c r="AA668" s="7"/>
      <c r="AB668" s="13"/>
      <c r="AC668" s="13"/>
      <c r="AD668" s="13"/>
    </row>
    <row r="669" ht="14.4">
      <c r="A669" s="21"/>
      <c r="B669" s="21"/>
      <c r="C669" s="21"/>
      <c r="D669" s="21"/>
      <c r="E669" s="21"/>
      <c r="F669" s="21"/>
      <c r="G669" s="21"/>
      <c r="H669" s="21"/>
      <c r="I669" s="154"/>
      <c r="J669" s="21"/>
      <c r="K669" s="21"/>
      <c r="L669" s="21"/>
      <c r="M669" s="21"/>
      <c r="N669" s="21"/>
      <c r="O669" s="21"/>
      <c r="P669" s="7"/>
      <c r="Q669" s="153"/>
      <c r="R669" s="7"/>
      <c r="S669" s="7"/>
      <c r="T669" s="7"/>
      <c r="U669" s="153"/>
      <c r="V669" s="153"/>
      <c r="W669" s="12"/>
      <c r="X669" s="7"/>
      <c r="Y669" s="7"/>
      <c r="Z669" s="7"/>
      <c r="AA669" s="7"/>
      <c r="AB669" s="13"/>
      <c r="AC669" s="13"/>
      <c r="AD669" s="13"/>
    </row>
    <row r="670" ht="14.4">
      <c r="A670" s="21"/>
      <c r="B670" s="21"/>
      <c r="C670" s="21"/>
      <c r="D670" s="21"/>
      <c r="E670" s="21"/>
      <c r="F670" s="21"/>
      <c r="G670" s="21"/>
      <c r="H670" s="21"/>
      <c r="I670" s="154"/>
      <c r="J670" s="21"/>
      <c r="K670" s="21"/>
      <c r="L670" s="21"/>
      <c r="M670" s="21"/>
      <c r="N670" s="21"/>
      <c r="O670" s="21"/>
      <c r="P670" s="7"/>
      <c r="Q670" s="153"/>
      <c r="R670" s="7"/>
      <c r="S670" s="7"/>
      <c r="T670" s="7"/>
      <c r="U670" s="153"/>
      <c r="V670" s="153"/>
      <c r="W670" s="12"/>
      <c r="X670" s="7"/>
      <c r="Y670" s="7"/>
      <c r="Z670" s="7"/>
      <c r="AA670" s="7"/>
      <c r="AB670" s="13"/>
      <c r="AC670" s="13"/>
      <c r="AD670" s="13"/>
    </row>
    <row r="671" ht="14.4">
      <c r="A671" s="21"/>
      <c r="B671" s="21"/>
      <c r="C671" s="21"/>
      <c r="D671" s="21"/>
      <c r="E671" s="21"/>
      <c r="F671" s="21"/>
      <c r="G671" s="21"/>
      <c r="H671" s="21"/>
      <c r="I671" s="154"/>
      <c r="J671" s="21"/>
      <c r="K671" s="21"/>
      <c r="L671" s="21"/>
      <c r="M671" s="21"/>
      <c r="N671" s="21"/>
      <c r="O671" s="21"/>
      <c r="P671" s="7"/>
      <c r="Q671" s="153"/>
      <c r="R671" s="7"/>
      <c r="S671" s="7"/>
      <c r="T671" s="7"/>
      <c r="U671" s="153"/>
      <c r="V671" s="153"/>
      <c r="W671" s="12"/>
      <c r="X671" s="7"/>
      <c r="Y671" s="7"/>
      <c r="Z671" s="7"/>
      <c r="AA671" s="7"/>
      <c r="AB671" s="13"/>
      <c r="AC671" s="13"/>
      <c r="AD671" s="13"/>
    </row>
    <row r="672" ht="14.4">
      <c r="A672" s="21"/>
      <c r="B672" s="21"/>
      <c r="C672" s="21"/>
      <c r="D672" s="21"/>
      <c r="E672" s="21"/>
      <c r="F672" s="21"/>
      <c r="G672" s="21"/>
      <c r="H672" s="21"/>
      <c r="I672" s="154"/>
      <c r="J672" s="21"/>
      <c r="K672" s="21"/>
      <c r="L672" s="21"/>
      <c r="M672" s="21"/>
      <c r="N672" s="21"/>
      <c r="O672" s="21"/>
      <c r="P672" s="7"/>
      <c r="Q672" s="153"/>
      <c r="R672" s="7"/>
      <c r="S672" s="7"/>
      <c r="T672" s="7"/>
      <c r="U672" s="153"/>
      <c r="V672" s="153"/>
      <c r="W672" s="12"/>
      <c r="X672" s="7"/>
      <c r="Y672" s="7"/>
      <c r="Z672" s="7"/>
      <c r="AA672" s="7"/>
      <c r="AB672" s="13"/>
      <c r="AC672" s="13"/>
      <c r="AD672" s="13"/>
    </row>
    <row r="673" ht="14.4">
      <c r="A673" s="21"/>
      <c r="B673" s="21"/>
      <c r="C673" s="21"/>
      <c r="D673" s="21"/>
      <c r="E673" s="21"/>
      <c r="F673" s="21"/>
      <c r="G673" s="21"/>
      <c r="H673" s="21"/>
      <c r="I673" s="154"/>
      <c r="J673" s="21"/>
      <c r="K673" s="21"/>
      <c r="L673" s="21"/>
      <c r="M673" s="21"/>
      <c r="N673" s="21"/>
      <c r="O673" s="21"/>
      <c r="P673" s="7"/>
      <c r="Q673" s="153"/>
      <c r="R673" s="7"/>
      <c r="S673" s="7"/>
      <c r="T673" s="7"/>
      <c r="U673" s="153"/>
      <c r="V673" s="153"/>
      <c r="W673" s="12"/>
      <c r="X673" s="7"/>
      <c r="Y673" s="7"/>
      <c r="Z673" s="7"/>
      <c r="AA673" s="7"/>
      <c r="AB673" s="13"/>
      <c r="AC673" s="13"/>
      <c r="AD673" s="13"/>
    </row>
    <row r="674" ht="14.4">
      <c r="A674" s="21"/>
      <c r="B674" s="21"/>
      <c r="C674" s="21"/>
      <c r="D674" s="21"/>
      <c r="E674" s="21"/>
      <c r="F674" s="21"/>
      <c r="G674" s="21"/>
      <c r="H674" s="21"/>
      <c r="I674" s="154"/>
      <c r="J674" s="21"/>
      <c r="K674" s="21"/>
      <c r="L674" s="21"/>
      <c r="M674" s="21"/>
      <c r="N674" s="21"/>
      <c r="O674" s="21"/>
      <c r="P674" s="7"/>
      <c r="Q674" s="153"/>
      <c r="R674" s="7"/>
      <c r="S674" s="7"/>
      <c r="T674" s="7"/>
      <c r="U674" s="153"/>
      <c r="V674" s="153"/>
      <c r="W674" s="12"/>
      <c r="X674" s="7"/>
      <c r="Y674" s="7"/>
      <c r="Z674" s="7"/>
      <c r="AA674" s="7"/>
      <c r="AB674" s="13"/>
      <c r="AC674" s="13"/>
      <c r="AD674" s="13"/>
    </row>
    <row r="675" ht="14.4">
      <c r="A675" s="21"/>
      <c r="B675" s="21"/>
      <c r="C675" s="21"/>
      <c r="D675" s="21"/>
      <c r="E675" s="21"/>
      <c r="F675" s="21"/>
      <c r="G675" s="21"/>
      <c r="H675" s="21"/>
      <c r="I675" s="154"/>
      <c r="J675" s="21"/>
      <c r="K675" s="21"/>
      <c r="L675" s="21"/>
      <c r="M675" s="21"/>
      <c r="N675" s="21"/>
      <c r="O675" s="21"/>
      <c r="P675" s="7"/>
      <c r="Q675" s="153"/>
      <c r="R675" s="7"/>
      <c r="S675" s="7"/>
      <c r="T675" s="7"/>
      <c r="U675" s="153"/>
      <c r="V675" s="153"/>
      <c r="W675" s="12"/>
      <c r="X675" s="7"/>
      <c r="Y675" s="7"/>
      <c r="Z675" s="7"/>
      <c r="AA675" s="7"/>
      <c r="AB675" s="13"/>
      <c r="AC675" s="13"/>
      <c r="AD675" s="13"/>
    </row>
    <row r="676" ht="14.4">
      <c r="A676" s="21"/>
      <c r="B676" s="21"/>
      <c r="C676" s="21"/>
      <c r="D676" s="21"/>
      <c r="E676" s="21"/>
      <c r="F676" s="21"/>
      <c r="G676" s="21"/>
      <c r="H676" s="21"/>
      <c r="I676" s="154"/>
      <c r="J676" s="21"/>
      <c r="K676" s="21"/>
      <c r="L676" s="21"/>
      <c r="M676" s="21"/>
      <c r="N676" s="21"/>
      <c r="O676" s="21"/>
      <c r="P676" s="7"/>
      <c r="Q676" s="153"/>
      <c r="R676" s="7"/>
      <c r="S676" s="7"/>
      <c r="T676" s="7"/>
      <c r="U676" s="153"/>
      <c r="V676" s="153"/>
      <c r="W676" s="12"/>
      <c r="X676" s="7"/>
      <c r="Y676" s="7"/>
      <c r="Z676" s="7"/>
      <c r="AA676" s="7"/>
      <c r="AB676" s="13"/>
      <c r="AC676" s="13"/>
      <c r="AD676" s="13"/>
    </row>
    <row r="677" ht="14.4">
      <c r="A677" s="21"/>
      <c r="B677" s="21"/>
      <c r="C677" s="21"/>
      <c r="D677" s="21"/>
      <c r="E677" s="21"/>
      <c r="F677" s="21"/>
      <c r="G677" s="21"/>
      <c r="H677" s="21"/>
      <c r="I677" s="154"/>
      <c r="J677" s="21"/>
      <c r="K677" s="21"/>
      <c r="L677" s="21"/>
      <c r="M677" s="21"/>
      <c r="N677" s="21"/>
      <c r="O677" s="21"/>
      <c r="P677" s="7"/>
      <c r="Q677" s="153"/>
      <c r="R677" s="7"/>
      <c r="S677" s="7"/>
      <c r="T677" s="7"/>
      <c r="U677" s="153"/>
      <c r="V677" s="153"/>
      <c r="W677" s="12"/>
      <c r="X677" s="7"/>
      <c r="Y677" s="7"/>
      <c r="Z677" s="7"/>
      <c r="AA677" s="7"/>
      <c r="AB677" s="13"/>
      <c r="AC677" s="13"/>
      <c r="AD677" s="13"/>
    </row>
    <row r="678" ht="14.4">
      <c r="A678" s="21"/>
      <c r="B678" s="21"/>
      <c r="C678" s="21"/>
      <c r="D678" s="21"/>
      <c r="E678" s="21"/>
      <c r="F678" s="21"/>
      <c r="G678" s="21"/>
      <c r="H678" s="21"/>
      <c r="I678" s="154"/>
      <c r="J678" s="21"/>
      <c r="K678" s="21"/>
      <c r="L678" s="21"/>
      <c r="M678" s="21"/>
      <c r="N678" s="21"/>
      <c r="O678" s="21"/>
      <c r="P678" s="7"/>
      <c r="Q678" s="153"/>
      <c r="R678" s="7"/>
      <c r="S678" s="7"/>
      <c r="T678" s="7"/>
      <c r="U678" s="153"/>
      <c r="V678" s="153"/>
      <c r="W678" s="12"/>
      <c r="X678" s="7"/>
      <c r="Y678" s="7"/>
      <c r="Z678" s="7"/>
      <c r="AA678" s="7"/>
      <c r="AB678" s="13"/>
      <c r="AC678" s="13"/>
      <c r="AD678" s="13"/>
    </row>
    <row r="679" ht="14.4">
      <c r="A679" s="21"/>
      <c r="B679" s="21"/>
      <c r="C679" s="21"/>
      <c r="D679" s="21"/>
      <c r="E679" s="21"/>
      <c r="F679" s="21"/>
      <c r="G679" s="21"/>
      <c r="H679" s="21"/>
      <c r="I679" s="154"/>
      <c r="J679" s="21"/>
      <c r="K679" s="21"/>
      <c r="L679" s="21"/>
      <c r="M679" s="21"/>
      <c r="N679" s="21"/>
      <c r="O679" s="21"/>
      <c r="P679" s="7"/>
      <c r="Q679" s="153"/>
      <c r="R679" s="7"/>
      <c r="S679" s="7"/>
      <c r="T679" s="7"/>
      <c r="U679" s="153"/>
      <c r="V679" s="153"/>
      <c r="W679" s="12"/>
      <c r="X679" s="7"/>
      <c r="Y679" s="7"/>
      <c r="Z679" s="7"/>
      <c r="AA679" s="7"/>
      <c r="AB679" s="13"/>
      <c r="AC679" s="13"/>
      <c r="AD679" s="13"/>
    </row>
    <row r="680" ht="14.4">
      <c r="A680" s="21"/>
      <c r="B680" s="21"/>
      <c r="C680" s="21"/>
      <c r="D680" s="21"/>
      <c r="E680" s="21"/>
      <c r="F680" s="21"/>
      <c r="G680" s="21"/>
      <c r="H680" s="21"/>
      <c r="I680" s="154"/>
      <c r="J680" s="21"/>
      <c r="K680" s="21"/>
      <c r="L680" s="21"/>
      <c r="M680" s="21"/>
      <c r="N680" s="21"/>
      <c r="O680" s="21"/>
      <c r="P680" s="7"/>
      <c r="Q680" s="153"/>
      <c r="R680" s="7"/>
      <c r="S680" s="7"/>
      <c r="T680" s="7"/>
      <c r="U680" s="153"/>
      <c r="V680" s="153"/>
      <c r="W680" s="12"/>
      <c r="X680" s="7"/>
      <c r="Y680" s="7"/>
      <c r="Z680" s="7"/>
      <c r="AA680" s="7"/>
      <c r="AB680" s="13"/>
      <c r="AC680" s="13"/>
      <c r="AD680" s="13"/>
    </row>
    <row r="681" ht="14.4">
      <c r="A681" s="21"/>
      <c r="B681" s="21"/>
      <c r="C681" s="21"/>
      <c r="D681" s="21"/>
      <c r="E681" s="21"/>
      <c r="F681" s="21"/>
      <c r="G681" s="21"/>
      <c r="H681" s="21"/>
      <c r="I681" s="154"/>
      <c r="J681" s="21"/>
      <c r="K681" s="21"/>
      <c r="L681" s="21"/>
      <c r="M681" s="21"/>
      <c r="N681" s="21"/>
      <c r="O681" s="21"/>
      <c r="P681" s="7"/>
      <c r="Q681" s="153"/>
      <c r="R681" s="7"/>
      <c r="S681" s="7"/>
      <c r="T681" s="7"/>
      <c r="U681" s="153"/>
      <c r="V681" s="153"/>
      <c r="W681" s="12"/>
      <c r="X681" s="7"/>
      <c r="Y681" s="7"/>
      <c r="Z681" s="7"/>
      <c r="AA681" s="7"/>
      <c r="AB681" s="13"/>
      <c r="AC681" s="13"/>
      <c r="AD681" s="13"/>
    </row>
    <row r="682" ht="14.4">
      <c r="A682" s="21"/>
      <c r="B682" s="21"/>
      <c r="C682" s="21"/>
      <c r="D682" s="21"/>
      <c r="E682" s="21"/>
      <c r="F682" s="21"/>
      <c r="G682" s="21"/>
      <c r="H682" s="21"/>
      <c r="I682" s="154"/>
      <c r="J682" s="21"/>
      <c r="K682" s="21"/>
      <c r="L682" s="21"/>
      <c r="M682" s="21"/>
      <c r="N682" s="21"/>
      <c r="O682" s="21"/>
      <c r="P682" s="7"/>
      <c r="Q682" s="153"/>
      <c r="R682" s="7"/>
      <c r="S682" s="7"/>
      <c r="T682" s="7"/>
      <c r="U682" s="153"/>
      <c r="V682" s="153"/>
      <c r="W682" s="12"/>
      <c r="X682" s="7"/>
      <c r="Y682" s="7"/>
      <c r="Z682" s="7"/>
      <c r="AA682" s="7"/>
      <c r="AB682" s="13"/>
      <c r="AC682" s="13"/>
      <c r="AD682" s="13"/>
    </row>
    <row r="683" ht="14.4">
      <c r="A683" s="21"/>
      <c r="B683" s="21"/>
      <c r="C683" s="21"/>
      <c r="D683" s="21"/>
      <c r="E683" s="21"/>
      <c r="F683" s="21"/>
      <c r="G683" s="21"/>
      <c r="H683" s="21"/>
      <c r="I683" s="154"/>
      <c r="J683" s="21"/>
      <c r="K683" s="21"/>
      <c r="L683" s="21"/>
      <c r="M683" s="21"/>
      <c r="N683" s="21"/>
      <c r="O683" s="21"/>
      <c r="P683" s="7"/>
      <c r="Q683" s="153"/>
      <c r="R683" s="7"/>
      <c r="S683" s="7"/>
      <c r="T683" s="7"/>
      <c r="U683" s="153"/>
      <c r="V683" s="153"/>
      <c r="W683" s="12"/>
      <c r="X683" s="7"/>
      <c r="Y683" s="7"/>
      <c r="Z683" s="7"/>
      <c r="AA683" s="7"/>
      <c r="AB683" s="13"/>
      <c r="AC683" s="13"/>
      <c r="AD683" s="13"/>
    </row>
    <row r="684" ht="14.4">
      <c r="A684" s="21"/>
      <c r="B684" s="21"/>
      <c r="C684" s="21"/>
      <c r="D684" s="21"/>
      <c r="E684" s="21"/>
      <c r="F684" s="21"/>
      <c r="G684" s="21"/>
      <c r="H684" s="21"/>
      <c r="I684" s="154"/>
      <c r="J684" s="21"/>
      <c r="K684" s="21"/>
      <c r="L684" s="21"/>
      <c r="M684" s="21"/>
      <c r="N684" s="21"/>
      <c r="O684" s="21"/>
      <c r="P684" s="7"/>
      <c r="Q684" s="153"/>
      <c r="R684" s="7"/>
      <c r="S684" s="7"/>
      <c r="T684" s="7"/>
      <c r="U684" s="153"/>
      <c r="V684" s="153"/>
      <c r="W684" s="12"/>
      <c r="X684" s="7"/>
      <c r="Y684" s="7"/>
      <c r="Z684" s="7"/>
      <c r="AA684" s="7"/>
      <c r="AB684" s="13"/>
      <c r="AC684" s="13"/>
      <c r="AD684" s="13"/>
    </row>
    <row r="685" ht="14.4">
      <c r="A685" s="21"/>
      <c r="B685" s="21"/>
      <c r="C685" s="21"/>
      <c r="D685" s="21"/>
      <c r="E685" s="21"/>
      <c r="F685" s="21"/>
      <c r="G685" s="21"/>
      <c r="H685" s="21"/>
      <c r="I685" s="154"/>
      <c r="J685" s="21"/>
      <c r="K685" s="21"/>
      <c r="L685" s="21"/>
      <c r="M685" s="21"/>
      <c r="N685" s="21"/>
      <c r="O685" s="21"/>
      <c r="P685" s="7"/>
      <c r="Q685" s="153"/>
      <c r="R685" s="7"/>
      <c r="S685" s="7"/>
      <c r="T685" s="7"/>
      <c r="U685" s="153"/>
      <c r="V685" s="153"/>
      <c r="W685" s="12"/>
      <c r="X685" s="21"/>
      <c r="Y685" s="7"/>
      <c r="Z685" s="7"/>
      <c r="AA685" s="7"/>
      <c r="AB685" s="13"/>
      <c r="AC685" s="13"/>
      <c r="AD685" s="13"/>
    </row>
    <row r="686">
      <c r="A686" s="21"/>
      <c r="B686" s="21"/>
      <c r="C686" s="21"/>
      <c r="D686" s="21"/>
      <c r="E686" s="21"/>
      <c r="F686" s="21"/>
      <c r="G686" s="21"/>
      <c r="H686" s="21"/>
      <c r="I686" s="154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154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154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154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154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154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154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154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154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154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154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154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154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154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154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154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154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154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154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154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154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154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154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154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154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154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154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154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154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154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154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154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154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154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154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154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154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154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154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154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154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154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154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154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154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154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154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154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154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154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154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154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154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154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154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154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154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154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154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154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154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154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154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154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154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154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154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154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154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154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154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154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154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154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154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154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154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154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154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154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154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154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154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154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154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154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154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154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154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154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154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154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154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154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154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154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154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154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154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154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154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154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154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154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154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154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154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154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154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154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154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154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154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154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154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154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154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154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154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154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154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154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154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154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154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154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154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154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154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154"/>
      <c r="J815" s="21"/>
      <c r="K815" s="21"/>
      <c r="L815" s="21"/>
      <c r="M815" s="21"/>
      <c r="N815" s="21"/>
      <c r="O815" s="21"/>
      <c r="P815" s="21"/>
      <c r="Q815" s="154"/>
      <c r="R815" s="21"/>
      <c r="S815" s="21"/>
      <c r="T815" s="21"/>
      <c r="U815" s="154"/>
      <c r="V815" s="154"/>
      <c r="W815" s="154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154"/>
      <c r="J816" s="21"/>
      <c r="K816" s="21"/>
      <c r="L816" s="21"/>
      <c r="M816" s="21"/>
      <c r="N816" s="21"/>
      <c r="O816" s="21"/>
      <c r="P816" s="21"/>
      <c r="Q816" s="154"/>
      <c r="R816" s="21"/>
      <c r="S816" s="21"/>
      <c r="T816" s="21"/>
      <c r="U816" s="154"/>
      <c r="V816" s="154"/>
      <c r="W816" s="154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154"/>
      <c r="J817" s="21"/>
      <c r="K817" s="21"/>
      <c r="L817" s="21"/>
      <c r="M817" s="21"/>
      <c r="N817" s="21"/>
      <c r="O817" s="21"/>
      <c r="P817" s="21"/>
      <c r="Q817" s="154"/>
      <c r="R817" s="21"/>
      <c r="S817" s="21"/>
      <c r="T817" s="21"/>
      <c r="U817" s="154"/>
      <c r="V817" s="154"/>
      <c r="W817" s="154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154"/>
      <c r="J818" s="21"/>
      <c r="K818" s="21"/>
      <c r="L818" s="21"/>
      <c r="M818" s="21"/>
      <c r="N818" s="21"/>
      <c r="O818" s="21"/>
      <c r="P818" s="21"/>
      <c r="Q818" s="154"/>
      <c r="R818" s="21"/>
      <c r="S818" s="21"/>
      <c r="T818" s="21"/>
      <c r="U818" s="154"/>
      <c r="V818" s="154"/>
      <c r="W818" s="154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154"/>
      <c r="J819" s="21"/>
      <c r="K819" s="21"/>
      <c r="L819" s="21"/>
      <c r="M819" s="21"/>
      <c r="N819" s="21"/>
      <c r="O819" s="21"/>
      <c r="P819" s="21"/>
      <c r="Q819" s="154"/>
      <c r="R819" s="21"/>
      <c r="S819" s="21"/>
      <c r="T819" s="21"/>
      <c r="U819" s="154"/>
      <c r="V819" s="154"/>
      <c r="W819" s="154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154"/>
      <c r="J820" s="21"/>
      <c r="K820" s="21"/>
      <c r="L820" s="21"/>
      <c r="M820" s="21"/>
      <c r="N820" s="21"/>
      <c r="O820" s="21"/>
      <c r="P820" s="21"/>
      <c r="Q820" s="154"/>
      <c r="R820" s="21"/>
      <c r="S820" s="21"/>
      <c r="T820" s="21"/>
      <c r="U820" s="154"/>
      <c r="V820" s="154"/>
      <c r="W820" s="154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154"/>
      <c r="J821" s="21"/>
      <c r="K821" s="21"/>
      <c r="L821" s="21"/>
      <c r="M821" s="21"/>
      <c r="N821" s="21"/>
      <c r="O821" s="21"/>
      <c r="P821" s="21"/>
      <c r="Q821" s="154"/>
      <c r="R821" s="21"/>
      <c r="S821" s="21"/>
      <c r="T821" s="21"/>
      <c r="U821" s="154"/>
      <c r="V821" s="154"/>
      <c r="W821" s="154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154"/>
      <c r="J822" s="21"/>
      <c r="K822" s="21"/>
      <c r="L822" s="21"/>
      <c r="M822" s="21"/>
      <c r="N822" s="21"/>
      <c r="O822" s="21"/>
      <c r="P822" s="21"/>
      <c r="Q822" s="154"/>
      <c r="R822" s="21"/>
      <c r="S822" s="21"/>
      <c r="T822" s="21"/>
      <c r="U822" s="154"/>
      <c r="V822" s="154"/>
      <c r="W822" s="154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154"/>
      <c r="J823" s="21"/>
      <c r="K823" s="21"/>
      <c r="L823" s="21"/>
      <c r="M823" s="21"/>
      <c r="N823" s="21"/>
      <c r="O823" s="21"/>
      <c r="P823" s="21"/>
      <c r="Q823" s="154"/>
      <c r="R823" s="21"/>
      <c r="S823" s="21"/>
      <c r="T823" s="21"/>
      <c r="U823" s="154"/>
      <c r="V823" s="154"/>
      <c r="W823" s="154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154"/>
      <c r="J824" s="21"/>
      <c r="K824" s="21"/>
      <c r="L824" s="21"/>
      <c r="M824" s="21"/>
      <c r="N824" s="21"/>
      <c r="O824" s="21"/>
      <c r="P824" s="21"/>
      <c r="Q824" s="154"/>
      <c r="R824" s="21"/>
      <c r="S824" s="21"/>
      <c r="T824" s="21"/>
      <c r="U824" s="154"/>
      <c r="V824" s="154"/>
      <c r="W824" s="154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154"/>
      <c r="J825" s="21"/>
      <c r="K825" s="21"/>
      <c r="L825" s="21"/>
      <c r="M825" s="21"/>
      <c r="N825" s="21"/>
      <c r="O825" s="21"/>
      <c r="P825" s="21"/>
      <c r="Q825" s="154"/>
      <c r="R825" s="21"/>
      <c r="S825" s="21"/>
      <c r="T825" s="21"/>
      <c r="U825" s="154"/>
      <c r="V825" s="154"/>
      <c r="W825" s="154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154"/>
      <c r="J826" s="21"/>
      <c r="K826" s="21"/>
      <c r="L826" s="21"/>
      <c r="M826" s="21"/>
      <c r="N826" s="21"/>
      <c r="O826" s="21"/>
      <c r="P826" s="21"/>
      <c r="Q826" s="154"/>
      <c r="R826" s="21"/>
      <c r="S826" s="21"/>
      <c r="T826" s="21"/>
      <c r="U826" s="154"/>
      <c r="V826" s="154"/>
      <c r="W826" s="154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154"/>
      <c r="J827" s="21"/>
      <c r="K827" s="21"/>
      <c r="L827" s="21"/>
      <c r="M827" s="21"/>
      <c r="N827" s="21"/>
      <c r="O827" s="21"/>
      <c r="P827" s="21"/>
      <c r="Q827" s="154"/>
      <c r="R827" s="21"/>
      <c r="S827" s="21"/>
      <c r="T827" s="21"/>
      <c r="U827" s="154"/>
      <c r="V827" s="154"/>
      <c r="W827" s="154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154"/>
      <c r="J828" s="21"/>
      <c r="K828" s="21"/>
      <c r="L828" s="21"/>
      <c r="M828" s="21"/>
      <c r="N828" s="21"/>
      <c r="O828" s="21"/>
      <c r="P828" s="21"/>
      <c r="Q828" s="154"/>
      <c r="R828" s="21"/>
      <c r="S828" s="21"/>
      <c r="T828" s="21"/>
      <c r="U828" s="154"/>
      <c r="V828" s="154"/>
      <c r="W828" s="154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154"/>
      <c r="J829" s="21"/>
      <c r="K829" s="21"/>
      <c r="L829" s="21"/>
      <c r="M829" s="21"/>
      <c r="N829" s="21"/>
      <c r="O829" s="21"/>
      <c r="P829" s="21"/>
      <c r="Q829" s="154"/>
      <c r="R829" s="21"/>
      <c r="S829" s="21"/>
      <c r="T829" s="21"/>
      <c r="U829" s="154"/>
      <c r="V829" s="154"/>
      <c r="W829" s="154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154"/>
      <c r="J830" s="21"/>
      <c r="K830" s="21"/>
      <c r="L830" s="21"/>
      <c r="M830" s="21"/>
      <c r="N830" s="21"/>
      <c r="O830" s="21"/>
      <c r="P830" s="21"/>
      <c r="Q830" s="154"/>
      <c r="R830" s="21"/>
      <c r="S830" s="21"/>
      <c r="T830" s="21"/>
      <c r="U830" s="154"/>
      <c r="V830" s="154"/>
      <c r="W830" s="154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154"/>
      <c r="J831" s="21"/>
      <c r="K831" s="21"/>
      <c r="L831" s="21"/>
      <c r="M831" s="21"/>
      <c r="N831" s="21"/>
      <c r="O831" s="21"/>
      <c r="P831" s="21"/>
      <c r="Q831" s="154"/>
      <c r="R831" s="21"/>
      <c r="S831" s="21"/>
      <c r="T831" s="21"/>
      <c r="U831" s="154"/>
      <c r="V831" s="154"/>
      <c r="W831" s="154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154"/>
      <c r="J832" s="21"/>
      <c r="K832" s="21"/>
      <c r="L832" s="21"/>
      <c r="M832" s="21"/>
      <c r="N832" s="21"/>
      <c r="O832" s="21"/>
      <c r="P832" s="21"/>
      <c r="Q832" s="154"/>
      <c r="R832" s="21"/>
      <c r="S832" s="21"/>
      <c r="T832" s="21"/>
      <c r="U832" s="154"/>
      <c r="V832" s="154"/>
      <c r="W832" s="154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154"/>
      <c r="J833" s="21"/>
      <c r="K833" s="21"/>
      <c r="L833" s="21"/>
      <c r="M833" s="21"/>
      <c r="N833" s="21"/>
      <c r="O833" s="21"/>
      <c r="P833" s="21"/>
      <c r="Q833" s="154"/>
      <c r="R833" s="21"/>
      <c r="S833" s="21"/>
      <c r="T833" s="21"/>
      <c r="U833" s="154"/>
      <c r="V833" s="154"/>
      <c r="W833" s="154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154"/>
      <c r="J834" s="21"/>
      <c r="K834" s="21"/>
      <c r="L834" s="21"/>
      <c r="M834" s="21"/>
      <c r="N834" s="21"/>
      <c r="O834" s="21"/>
      <c r="P834" s="21"/>
      <c r="Q834" s="154"/>
      <c r="R834" s="21"/>
      <c r="S834" s="21"/>
      <c r="T834" s="21"/>
      <c r="U834" s="154"/>
      <c r="V834" s="154"/>
      <c r="W834" s="154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154"/>
      <c r="J835" s="21"/>
      <c r="K835" s="21"/>
      <c r="L835" s="21"/>
      <c r="M835" s="21"/>
      <c r="N835" s="21"/>
      <c r="O835" s="21"/>
      <c r="P835" s="21"/>
      <c r="Q835" s="154"/>
      <c r="R835" s="21"/>
      <c r="S835" s="21"/>
      <c r="T835" s="21"/>
      <c r="U835" s="154"/>
      <c r="V835" s="154"/>
      <c r="W835" s="154"/>
      <c r="X835" s="21"/>
      <c r="Y835" s="21"/>
      <c r="Z835" s="21"/>
      <c r="AA835" s="21"/>
      <c r="AB835" s="21"/>
      <c r="AC835" s="21"/>
      <c r="AD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154"/>
      <c r="J836" s="21"/>
      <c r="K836" s="21"/>
      <c r="L836" s="21"/>
      <c r="M836" s="21"/>
      <c r="N836" s="21"/>
      <c r="O836" s="21"/>
      <c r="P836" s="21"/>
      <c r="Q836" s="154"/>
      <c r="R836" s="21"/>
      <c r="S836" s="21"/>
      <c r="T836" s="21"/>
      <c r="U836" s="154"/>
      <c r="V836" s="154"/>
      <c r="W836" s="154"/>
      <c r="X836" s="21"/>
      <c r="Y836" s="21"/>
      <c r="Z836" s="21"/>
      <c r="AA836" s="21"/>
      <c r="AB836" s="21"/>
      <c r="AC836" s="21"/>
      <c r="AD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154"/>
      <c r="J837" s="21"/>
      <c r="K837" s="21"/>
      <c r="L837" s="21"/>
      <c r="M837" s="21"/>
      <c r="N837" s="21"/>
      <c r="O837" s="21"/>
      <c r="P837" s="21"/>
      <c r="Q837" s="154"/>
      <c r="R837" s="21"/>
      <c r="S837" s="21"/>
      <c r="T837" s="21"/>
      <c r="U837" s="154"/>
      <c r="V837" s="154"/>
      <c r="W837" s="154"/>
      <c r="X837" s="21"/>
      <c r="Y837" s="21"/>
      <c r="Z837" s="21"/>
      <c r="AA837" s="21"/>
      <c r="AB837" s="21"/>
      <c r="AC837" s="21"/>
      <c r="AD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154"/>
      <c r="J838" s="21"/>
      <c r="K838" s="21"/>
      <c r="L838" s="21"/>
      <c r="M838" s="21"/>
      <c r="N838" s="21"/>
      <c r="O838" s="21"/>
      <c r="P838" s="21"/>
      <c r="Q838" s="154"/>
      <c r="R838" s="21"/>
      <c r="S838" s="21"/>
      <c r="T838" s="21"/>
      <c r="U838" s="154"/>
      <c r="V838" s="154"/>
      <c r="W838" s="154"/>
      <c r="X838" s="21"/>
      <c r="Y838" s="21"/>
      <c r="Z838" s="21"/>
      <c r="AA838" s="21"/>
      <c r="AB838" s="21"/>
      <c r="AC838" s="21"/>
      <c r="AD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154"/>
      <c r="J839" s="21"/>
      <c r="K839" s="21"/>
      <c r="L839" s="21"/>
      <c r="M839" s="21"/>
      <c r="N839" s="21"/>
      <c r="O839" s="21"/>
      <c r="P839" s="21"/>
      <c r="Q839" s="154"/>
      <c r="R839" s="21"/>
      <c r="S839" s="21"/>
      <c r="T839" s="21"/>
      <c r="U839" s="154"/>
      <c r="V839" s="154"/>
      <c r="W839" s="154"/>
      <c r="X839" s="21"/>
      <c r="Y839" s="21"/>
      <c r="Z839" s="21"/>
      <c r="AA839" s="21"/>
      <c r="AB839" s="21"/>
      <c r="AC839" s="21"/>
      <c r="AD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154"/>
      <c r="J840" s="21"/>
      <c r="K840" s="21"/>
      <c r="L840" s="21"/>
      <c r="M840" s="21"/>
      <c r="N840" s="21"/>
      <c r="O840" s="21"/>
      <c r="P840" s="21"/>
      <c r="Q840" s="154"/>
      <c r="R840" s="21"/>
      <c r="S840" s="21"/>
      <c r="T840" s="21"/>
      <c r="U840" s="154"/>
      <c r="V840" s="154"/>
      <c r="W840" s="154"/>
      <c r="X840" s="21"/>
      <c r="Y840" s="21"/>
      <c r="Z840" s="21"/>
      <c r="AA840" s="21"/>
      <c r="AB840" s="21"/>
      <c r="AC840" s="21"/>
      <c r="AD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154"/>
      <c r="J841" s="21"/>
      <c r="K841" s="21"/>
      <c r="L841" s="21"/>
      <c r="M841" s="21"/>
      <c r="N841" s="21"/>
      <c r="O841" s="21"/>
      <c r="P841" s="21"/>
      <c r="Q841" s="154"/>
      <c r="R841" s="21"/>
      <c r="S841" s="21"/>
      <c r="T841" s="21"/>
      <c r="U841" s="154"/>
      <c r="V841" s="154"/>
      <c r="W841" s="154"/>
      <c r="X841" s="21"/>
      <c r="Y841" s="21"/>
      <c r="Z841" s="21"/>
      <c r="AA841" s="21"/>
      <c r="AB841" s="21"/>
      <c r="AC841" s="21"/>
      <c r="AD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154"/>
      <c r="J842" s="21"/>
      <c r="K842" s="21"/>
      <c r="L842" s="21"/>
      <c r="M842" s="21"/>
      <c r="N842" s="21"/>
      <c r="O842" s="21"/>
      <c r="P842" s="21"/>
      <c r="Q842" s="154"/>
      <c r="R842" s="21"/>
      <c r="S842" s="21"/>
      <c r="T842" s="21"/>
      <c r="U842" s="154"/>
      <c r="V842" s="154"/>
      <c r="W842" s="154"/>
      <c r="X842" s="21"/>
      <c r="Y842" s="21"/>
      <c r="Z842" s="21"/>
      <c r="AA842" s="21"/>
      <c r="AB842" s="21"/>
      <c r="AC842" s="21"/>
      <c r="AD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154"/>
      <c r="J843" s="21"/>
      <c r="K843" s="21"/>
      <c r="L843" s="21"/>
      <c r="M843" s="21"/>
      <c r="N843" s="21"/>
      <c r="O843" s="21"/>
      <c r="P843" s="21"/>
      <c r="Q843" s="154"/>
      <c r="R843" s="21"/>
      <c r="S843" s="21"/>
      <c r="T843" s="21"/>
      <c r="U843" s="154"/>
      <c r="V843" s="154"/>
      <c r="W843" s="154"/>
      <c r="X843" s="21"/>
      <c r="Y843" s="21"/>
      <c r="Z843" s="21"/>
      <c r="AA843" s="21"/>
      <c r="AB843" s="21"/>
      <c r="AC843" s="21"/>
      <c r="AD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154"/>
      <c r="J844" s="21"/>
      <c r="K844" s="21"/>
      <c r="L844" s="21"/>
      <c r="M844" s="21"/>
      <c r="N844" s="21"/>
      <c r="O844" s="21"/>
      <c r="P844" s="21"/>
      <c r="Q844" s="154"/>
      <c r="R844" s="21"/>
      <c r="S844" s="21"/>
      <c r="T844" s="21"/>
      <c r="U844" s="154"/>
      <c r="V844" s="154"/>
      <c r="W844" s="154"/>
      <c r="X844" s="21"/>
      <c r="Y844" s="21"/>
      <c r="Z844" s="21"/>
      <c r="AA844" s="21"/>
      <c r="AB844" s="21"/>
      <c r="AC844" s="21"/>
      <c r="AD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154"/>
      <c r="J845" s="21"/>
      <c r="K845" s="21"/>
      <c r="L845" s="21"/>
      <c r="M845" s="21"/>
      <c r="N845" s="21"/>
      <c r="O845" s="21"/>
      <c r="P845" s="21"/>
      <c r="Q845" s="154"/>
      <c r="R845" s="21"/>
      <c r="S845" s="21"/>
      <c r="T845" s="21"/>
      <c r="U845" s="154"/>
      <c r="V845" s="154"/>
      <c r="W845" s="154"/>
      <c r="X845" s="21"/>
      <c r="Y845" s="21"/>
      <c r="Z845" s="21"/>
      <c r="AA845" s="21"/>
      <c r="AB845" s="21"/>
      <c r="AC845" s="21"/>
      <c r="AD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154"/>
      <c r="J846" s="21"/>
      <c r="K846" s="21"/>
      <c r="L846" s="21"/>
      <c r="M846" s="21"/>
      <c r="N846" s="21"/>
      <c r="O846" s="21"/>
      <c r="P846" s="21"/>
      <c r="Q846" s="154"/>
      <c r="R846" s="21"/>
      <c r="S846" s="21"/>
      <c r="T846" s="21"/>
      <c r="U846" s="154"/>
      <c r="V846" s="154"/>
      <c r="W846" s="154"/>
      <c r="X846" s="21"/>
      <c r="Y846" s="21"/>
      <c r="Z846" s="21"/>
      <c r="AA846" s="21"/>
      <c r="AB846" s="21"/>
      <c r="AC846" s="21"/>
      <c r="AD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154"/>
      <c r="J847" s="21"/>
      <c r="K847" s="21"/>
      <c r="L847" s="21"/>
      <c r="M847" s="21"/>
      <c r="N847" s="21"/>
      <c r="O847" s="21"/>
      <c r="P847" s="21"/>
      <c r="Q847" s="154"/>
      <c r="R847" s="21"/>
      <c r="S847" s="21"/>
      <c r="T847" s="21"/>
      <c r="U847" s="154"/>
      <c r="V847" s="154"/>
      <c r="W847" s="154"/>
      <c r="X847" s="21"/>
      <c r="Y847" s="21"/>
      <c r="Z847" s="21"/>
      <c r="AA847" s="21"/>
      <c r="AB847" s="21"/>
      <c r="AC847" s="21"/>
      <c r="AD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154"/>
      <c r="J848" s="21"/>
      <c r="K848" s="21"/>
      <c r="L848" s="21"/>
      <c r="M848" s="21"/>
      <c r="N848" s="21"/>
      <c r="O848" s="21"/>
      <c r="P848" s="21"/>
      <c r="Q848" s="154"/>
      <c r="R848" s="21"/>
      <c r="S848" s="21"/>
      <c r="T848" s="21"/>
      <c r="U848" s="154"/>
      <c r="V848" s="154"/>
      <c r="W848" s="154"/>
      <c r="X848" s="21"/>
      <c r="Y848" s="21"/>
      <c r="Z848" s="21"/>
      <c r="AA848" s="21"/>
      <c r="AB848" s="21"/>
      <c r="AC848" s="21"/>
      <c r="AD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154"/>
      <c r="J849" s="21"/>
      <c r="K849" s="21"/>
      <c r="L849" s="21"/>
      <c r="M849" s="21"/>
      <c r="N849" s="21"/>
      <c r="O849" s="21"/>
      <c r="P849" s="21"/>
      <c r="Q849" s="154"/>
      <c r="R849" s="21"/>
      <c r="S849" s="21"/>
      <c r="T849" s="21"/>
      <c r="U849" s="154"/>
      <c r="V849" s="154"/>
      <c r="W849" s="154"/>
      <c r="X849" s="21"/>
      <c r="Y849" s="21"/>
      <c r="Z849" s="21"/>
      <c r="AA849" s="21"/>
      <c r="AB849" s="21"/>
      <c r="AC849" s="21"/>
      <c r="AD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154"/>
      <c r="J850" s="21"/>
      <c r="K850" s="21"/>
      <c r="L850" s="21"/>
      <c r="M850" s="21"/>
      <c r="N850" s="21"/>
      <c r="O850" s="21"/>
      <c r="P850" s="21"/>
      <c r="Q850" s="154"/>
      <c r="R850" s="21"/>
      <c r="S850" s="21"/>
      <c r="T850" s="21"/>
      <c r="U850" s="154"/>
      <c r="V850" s="154"/>
      <c r="W850" s="154"/>
      <c r="X850" s="21"/>
      <c r="Y850" s="21"/>
      <c r="Z850" s="21"/>
      <c r="AA850" s="21"/>
      <c r="AB850" s="21"/>
      <c r="AC850" s="21"/>
      <c r="AD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154"/>
      <c r="J851" s="21"/>
      <c r="K851" s="21"/>
      <c r="L851" s="21"/>
      <c r="M851" s="21"/>
      <c r="N851" s="21"/>
      <c r="O851" s="21"/>
      <c r="P851" s="21"/>
      <c r="Q851" s="154"/>
      <c r="R851" s="21"/>
      <c r="S851" s="21"/>
      <c r="T851" s="21"/>
      <c r="U851" s="154"/>
      <c r="V851" s="154"/>
      <c r="W851" s="154"/>
      <c r="X851" s="21"/>
      <c r="Y851" s="21"/>
      <c r="Z851" s="21"/>
      <c r="AA851" s="21"/>
      <c r="AB851" s="21"/>
      <c r="AC851" s="21"/>
      <c r="AD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154"/>
      <c r="J852" s="21"/>
      <c r="K852" s="21"/>
      <c r="L852" s="21"/>
      <c r="M852" s="21"/>
      <c r="N852" s="21"/>
      <c r="O852" s="21"/>
      <c r="P852" s="21"/>
      <c r="Q852" s="154"/>
      <c r="R852" s="21"/>
      <c r="S852" s="21"/>
      <c r="T852" s="21"/>
      <c r="U852" s="154"/>
      <c r="V852" s="154"/>
      <c r="W852" s="154"/>
      <c r="X852" s="21"/>
      <c r="Y852" s="21"/>
      <c r="Z852" s="21"/>
      <c r="AA852" s="21"/>
      <c r="AB852" s="21"/>
      <c r="AC852" s="21"/>
      <c r="AD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154"/>
      <c r="J853" s="21"/>
      <c r="K853" s="21"/>
      <c r="L853" s="21"/>
      <c r="M853" s="21"/>
      <c r="N853" s="21"/>
      <c r="O853" s="21"/>
      <c r="P853" s="21"/>
      <c r="Q853" s="154"/>
      <c r="R853" s="21"/>
      <c r="S853" s="21"/>
      <c r="T853" s="21"/>
      <c r="U853" s="154"/>
      <c r="V853" s="154"/>
      <c r="W853" s="154"/>
      <c r="X853" s="21"/>
      <c r="Y853" s="21"/>
      <c r="Z853" s="21"/>
      <c r="AA853" s="21"/>
      <c r="AB853" s="21"/>
      <c r="AC853" s="21"/>
      <c r="AD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154"/>
      <c r="J854" s="21"/>
      <c r="K854" s="21"/>
      <c r="L854" s="21"/>
      <c r="M854" s="21"/>
      <c r="N854" s="21"/>
      <c r="O854" s="21"/>
      <c r="P854" s="21"/>
      <c r="Q854" s="154"/>
      <c r="R854" s="21"/>
      <c r="S854" s="21"/>
      <c r="T854" s="21"/>
      <c r="U854" s="154"/>
      <c r="V854" s="154"/>
      <c r="W854" s="154"/>
      <c r="X854" s="21"/>
      <c r="Y854" s="21"/>
      <c r="Z854" s="21"/>
      <c r="AA854" s="21"/>
      <c r="AB854" s="21"/>
      <c r="AC854" s="21"/>
      <c r="AD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154"/>
      <c r="J855" s="21"/>
      <c r="K855" s="21"/>
      <c r="L855" s="21"/>
      <c r="M855" s="21"/>
      <c r="N855" s="21"/>
      <c r="O855" s="21"/>
      <c r="P855" s="21"/>
      <c r="Q855" s="154"/>
      <c r="R855" s="21"/>
      <c r="S855" s="21"/>
      <c r="T855" s="21"/>
      <c r="U855" s="154"/>
      <c r="V855" s="154"/>
      <c r="W855" s="154"/>
      <c r="X855" s="21"/>
      <c r="Y855" s="21"/>
      <c r="Z855" s="21"/>
      <c r="AA855" s="21"/>
      <c r="AB855" s="21"/>
      <c r="AC855" s="21"/>
      <c r="AD855" s="21"/>
    </row>
  </sheetData>
  <mergeCells count="15">
    <mergeCell ref="F1:J1"/>
    <mergeCell ref="L1:N5"/>
    <mergeCell ref="F2:K5"/>
    <mergeCell ref="N6:P7"/>
    <mergeCell ref="F7:J7"/>
    <mergeCell ref="A9:Q9"/>
    <mergeCell ref="U9:V9"/>
    <mergeCell ref="P10:Q10"/>
    <mergeCell ref="U10:V10"/>
    <mergeCell ref="A29:Q29"/>
    <mergeCell ref="P30:Q30"/>
    <mergeCell ref="A49:Q49"/>
    <mergeCell ref="P50:Q50"/>
    <mergeCell ref="P70:Q70"/>
    <mergeCell ref="P90:Q90"/>
  </mergeCells>
  <printOptions headings="0" gridLines="0"/>
  <pageMargins left="0.70078740157480324" right="0.70078740157480324" top="0.75196850393700787" bottom="0.75196850393700787" header="0.29999999999999999" footer="0.29999999999999999"/>
  <pageSetup paperSize="58" scale="44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92" zoomScale="100" workbookViewId="0">
      <selection activeCell="B83" activeCellId="0" sqref="B83:C83"/>
    </sheetView>
  </sheetViews>
  <sheetFormatPr defaultRowHeight="13.5"/>
  <cols>
    <col customWidth="1" min="1" max="1" width="14.6640625"/>
    <col customWidth="1" min="2" max="2" width="12.88671875"/>
    <col customWidth="1" min="3" max="3" width="5.109375"/>
    <col customWidth="1" min="4" max="4" width="12.6640625"/>
    <col customWidth="1" min="5" max="5" width="5"/>
    <col customWidth="1" min="6" max="6" width="13.109375"/>
    <col customWidth="1" min="7" max="7" width="5.5546875"/>
    <col customWidth="1" min="8" max="8" width="11.88671875"/>
    <col customWidth="1" min="9" max="9" width="5.109375"/>
    <col customWidth="1" min="10" max="10" width="12.33203125"/>
    <col customWidth="1" min="11" max="11" width="5.33203125"/>
    <col customWidth="1" min="12" max="12" width="12.44140625"/>
    <col customWidth="1" min="13" max="13" width="5.44140625"/>
    <col customWidth="1" min="14" max="14" width="12.6640625"/>
    <col customWidth="1" min="15" max="15" width="5.109375"/>
    <col customWidth="1" min="16" max="16" width="7.33203125"/>
    <col bestFit="1" customWidth="1" min="17" max="17" width="9.88671875"/>
    <col customWidth="1" min="18" max="18" width="12"/>
    <col customWidth="1" min="21" max="21" width="6.44140625"/>
    <col customWidth="1" min="22" max="22" width="6.6640625"/>
    <col min="24" max="24" style="518" width="9.140625"/>
  </cols>
  <sheetData>
    <row r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</row>
    <row r="2" ht="14.25">
      <c r="A2" s="14"/>
      <c r="B2" s="15" t="s">
        <v>3</v>
      </c>
      <c r="C2" s="15" t="s">
        <v>4</v>
      </c>
      <c r="D2" s="16" t="s">
        <v>5</v>
      </c>
      <c r="E2" s="16" t="s">
        <v>4</v>
      </c>
      <c r="F2" s="6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</row>
    <row r="3" ht="14.25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</row>
    <row r="4" ht="14.25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</row>
    <row r="5" ht="14.25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</row>
    <row r="6" ht="14.25">
      <c r="A6" s="6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</row>
    <row r="7" ht="14.25">
      <c r="A7" s="7"/>
      <c r="B7" s="7"/>
      <c r="C7" s="7"/>
      <c r="D7" s="519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</row>
    <row r="8" ht="17.25">
      <c r="A8" s="30"/>
      <c r="B8" s="30"/>
      <c r="C8" s="520"/>
      <c r="D8" s="521"/>
      <c r="E8" s="522"/>
      <c r="F8" s="523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</row>
    <row r="10" ht="14.25">
      <c r="A10" s="143"/>
      <c r="B10" s="214" t="s">
        <v>17</v>
      </c>
      <c r="C10" s="481"/>
      <c r="D10" s="214" t="s">
        <v>18</v>
      </c>
      <c r="E10" s="481"/>
      <c r="F10" s="214" t="s">
        <v>19</v>
      </c>
      <c r="G10" s="214"/>
      <c r="H10" s="214" t="s">
        <v>20</v>
      </c>
      <c r="I10" s="481"/>
      <c r="J10" s="482" t="s">
        <v>21</v>
      </c>
      <c r="K10" s="482"/>
      <c r="L10" s="214" t="s">
        <v>22</v>
      </c>
      <c r="M10" s="214"/>
      <c r="N10" s="214" t="s">
        <v>23</v>
      </c>
      <c r="O10" s="43"/>
      <c r="P10" s="208" t="s">
        <v>24</v>
      </c>
      <c r="Q10" s="209"/>
      <c r="R10" s="143">
        <v>168</v>
      </c>
      <c r="S10" s="143"/>
      <c r="T10" s="143"/>
      <c r="U10" s="286">
        <v>168</v>
      </c>
      <c r="V10" s="90"/>
      <c r="W10" s="62"/>
      <c r="X10" s="51"/>
    </row>
    <row r="11" ht="14.25">
      <c r="A11" s="143"/>
      <c r="B11" s="515">
        <v>46076</v>
      </c>
      <c r="C11" s="517"/>
      <c r="D11" s="515">
        <v>46077</v>
      </c>
      <c r="E11" s="517"/>
      <c r="F11" s="515">
        <v>46078</v>
      </c>
      <c r="G11" s="517"/>
      <c r="H11" s="515">
        <v>46079</v>
      </c>
      <c r="I11" s="517"/>
      <c r="J11" s="515">
        <v>46080</v>
      </c>
      <c r="K11" s="517"/>
      <c r="L11" s="515">
        <v>46081</v>
      </c>
      <c r="M11" s="517"/>
      <c r="N11" s="515">
        <v>46082</v>
      </c>
      <c r="O11" s="157"/>
      <c r="P11" s="213" t="s">
        <v>25</v>
      </c>
      <c r="Q11" s="214" t="s">
        <v>26</v>
      </c>
      <c r="R11" s="524"/>
      <c r="S11" s="147"/>
      <c r="T11" s="147"/>
      <c r="U11" s="60" t="s">
        <v>27</v>
      </c>
      <c r="V11" s="61" t="s">
        <v>28</v>
      </c>
      <c r="W11" s="62" t="s">
        <v>29</v>
      </c>
      <c r="X11" s="63" t="s">
        <v>30</v>
      </c>
    </row>
    <row r="12" ht="14.25">
      <c r="A12" s="525" t="s">
        <v>35</v>
      </c>
      <c r="B12" s="526"/>
      <c r="C12" s="526"/>
      <c r="D12" s="527"/>
      <c r="E12" s="527"/>
      <c r="F12" s="527"/>
      <c r="G12" s="527"/>
      <c r="H12" s="527"/>
      <c r="I12" s="527"/>
      <c r="J12" s="527"/>
      <c r="K12" s="527"/>
      <c r="L12" s="528"/>
      <c r="M12" s="528"/>
      <c r="N12" s="528"/>
      <c r="O12" s="528"/>
      <c r="P12" s="253">
        <f t="shared" ref="P12:P75" si="122">C12+E12+G12+I12+K12+M12+O12</f>
        <v>0</v>
      </c>
      <c r="Q12" s="62">
        <f>R10-P12</f>
        <v>168</v>
      </c>
      <c r="R12" s="219" t="str">
        <f t="shared" ref="R12:R75" si="123">A12</f>
        <v>Рычков</v>
      </c>
      <c r="S12" s="76" t="s">
        <v>10</v>
      </c>
      <c r="T12" s="77" t="s">
        <v>9</v>
      </c>
      <c r="U12" s="73">
        <f t="shared" ref="U12:U34" si="124">COUNTIF(T12,B12)+COUNTIF(T12,D12)+COUNTIF(T12,F12)+COUNTIF(T12,H12)+COUNTIF(T12,J12)+COUNTIF(T12,L12)+COUNTIF(T12,N12)</f>
        <v>0</v>
      </c>
      <c r="V12" s="62">
        <f t="shared" ref="V12:V34" si="125">COUNTIF(S12,B12)+COUNTIF(S12,D12)+COUNTIF(S12,F12)+COUNTIF(S12,H12)+COUNTIF(S12,J12)+COUNTIF(S12,L12)+COUNTIF(S12,N12)</f>
        <v>0</v>
      </c>
      <c r="W12" s="62"/>
      <c r="X12" s="74" t="s">
        <v>34</v>
      </c>
    </row>
    <row r="13" ht="14.25">
      <c r="A13" s="415" t="s">
        <v>39</v>
      </c>
      <c r="B13" s="526"/>
      <c r="C13" s="526"/>
      <c r="D13" s="527"/>
      <c r="E13" s="527"/>
      <c r="F13" s="527"/>
      <c r="G13" s="527"/>
      <c r="H13" s="527"/>
      <c r="I13" s="527"/>
      <c r="J13" s="527"/>
      <c r="K13" s="527"/>
      <c r="L13" s="528"/>
      <c r="M13" s="528"/>
      <c r="N13" s="528"/>
      <c r="O13" s="528"/>
      <c r="P13" s="253">
        <f t="shared" si="122"/>
        <v>0</v>
      </c>
      <c r="Q13" s="62">
        <f>R10-P13</f>
        <v>168</v>
      </c>
      <c r="R13" s="219" t="str">
        <f t="shared" si="123"/>
        <v>Игумнов</v>
      </c>
      <c r="S13" s="76" t="s">
        <v>10</v>
      </c>
      <c r="T13" s="77" t="s">
        <v>9</v>
      </c>
      <c r="U13" s="73">
        <f t="shared" si="124"/>
        <v>0</v>
      </c>
      <c r="V13" s="62">
        <f t="shared" si="125"/>
        <v>0</v>
      </c>
      <c r="W13" s="62"/>
      <c r="X13" s="79" t="s">
        <v>34</v>
      </c>
    </row>
    <row r="14" ht="14.25">
      <c r="A14" s="415" t="s">
        <v>40</v>
      </c>
      <c r="B14" s="526"/>
      <c r="C14" s="526"/>
      <c r="D14" s="527"/>
      <c r="E14" s="527"/>
      <c r="F14" s="527"/>
      <c r="G14" s="527"/>
      <c r="H14" s="527"/>
      <c r="I14" s="527"/>
      <c r="J14" s="527"/>
      <c r="K14" s="527"/>
      <c r="L14" s="528"/>
      <c r="M14" s="528"/>
      <c r="N14" s="528"/>
      <c r="O14" s="528"/>
      <c r="P14" s="253">
        <f t="shared" si="122"/>
        <v>0</v>
      </c>
      <c r="Q14" s="62">
        <f>R10-P14</f>
        <v>168</v>
      </c>
      <c r="R14" s="219" t="str">
        <f t="shared" si="123"/>
        <v>Душин</v>
      </c>
      <c r="S14" s="76" t="s">
        <v>10</v>
      </c>
      <c r="T14" s="77" t="s">
        <v>9</v>
      </c>
      <c r="U14" s="73">
        <f t="shared" si="124"/>
        <v>0</v>
      </c>
      <c r="V14" s="62">
        <f t="shared" si="125"/>
        <v>0</v>
      </c>
      <c r="W14" s="62"/>
      <c r="X14" s="74" t="s">
        <v>38</v>
      </c>
    </row>
    <row r="15" ht="14.25">
      <c r="A15" s="415" t="s">
        <v>31</v>
      </c>
      <c r="B15" s="526"/>
      <c r="C15" s="526"/>
      <c r="D15" s="527"/>
      <c r="E15" s="527"/>
      <c r="F15" s="527"/>
      <c r="G15" s="527"/>
      <c r="H15" s="527"/>
      <c r="I15" s="527"/>
      <c r="J15" s="527"/>
      <c r="K15" s="527"/>
      <c r="L15" s="528"/>
      <c r="M15" s="528"/>
      <c r="N15" s="528"/>
      <c r="O15" s="528"/>
      <c r="P15" s="253">
        <f t="shared" si="122"/>
        <v>0</v>
      </c>
      <c r="Q15" s="62">
        <f>R10-P15</f>
        <v>168</v>
      </c>
      <c r="R15" s="219" t="str">
        <f t="shared" si="123"/>
        <v>Нетронин</v>
      </c>
      <c r="S15" s="76" t="s">
        <v>58</v>
      </c>
      <c r="T15" s="77" t="s">
        <v>59</v>
      </c>
      <c r="U15" s="73"/>
      <c r="V15" s="62"/>
      <c r="W15" s="62"/>
      <c r="X15" s="74" t="s">
        <v>34</v>
      </c>
    </row>
    <row r="16" ht="14.25">
      <c r="A16" s="415" t="s">
        <v>62</v>
      </c>
      <c r="B16" s="529"/>
      <c r="C16" s="529"/>
      <c r="D16" s="530"/>
      <c r="E16" s="530"/>
      <c r="F16" s="527"/>
      <c r="G16" s="530"/>
      <c r="H16" s="530"/>
      <c r="I16" s="530"/>
      <c r="J16" s="530"/>
      <c r="K16" s="530"/>
      <c r="L16" s="531"/>
      <c r="M16" s="531"/>
      <c r="N16" s="443"/>
      <c r="O16" s="443"/>
      <c r="P16" s="253">
        <f t="shared" si="122"/>
        <v>0</v>
      </c>
      <c r="Q16" s="221">
        <f>R10-P16</f>
        <v>168</v>
      </c>
      <c r="R16" s="219" t="str">
        <f t="shared" si="123"/>
        <v>Раимова</v>
      </c>
      <c r="S16" s="532" t="s">
        <v>10</v>
      </c>
      <c r="T16" s="77" t="s">
        <v>9</v>
      </c>
      <c r="U16" s="240"/>
      <c r="V16" s="62"/>
      <c r="W16" s="62"/>
      <c r="X16" s="74" t="s">
        <v>38</v>
      </c>
    </row>
    <row r="17" ht="14.25">
      <c r="A17" s="205" t="s">
        <v>43</v>
      </c>
      <c r="B17" s="72"/>
      <c r="C17" s="533"/>
      <c r="D17" s="446"/>
      <c r="E17" s="534"/>
      <c r="F17" s="535"/>
      <c r="G17" s="536"/>
      <c r="H17" s="87"/>
      <c r="I17" s="537"/>
      <c r="J17" s="71"/>
      <c r="K17" s="538"/>
      <c r="L17" s="71"/>
      <c r="M17" s="539"/>
      <c r="N17" s="67"/>
      <c r="O17" s="67"/>
      <c r="P17" s="218">
        <f t="shared" si="122"/>
        <v>0</v>
      </c>
      <c r="Q17" s="229">
        <f>R10-P17</f>
        <v>168</v>
      </c>
      <c r="R17" s="219" t="str">
        <f t="shared" si="123"/>
        <v>Дащенко</v>
      </c>
      <c r="S17" s="540" t="s">
        <v>12</v>
      </c>
      <c r="T17" s="72" t="s">
        <v>11</v>
      </c>
      <c r="U17" s="244">
        <f t="shared" si="124"/>
        <v>0</v>
      </c>
      <c r="V17" s="62">
        <f t="shared" si="125"/>
        <v>0</v>
      </c>
      <c r="W17" s="62"/>
      <c r="X17" s="63" t="s">
        <v>44</v>
      </c>
    </row>
    <row r="18" ht="14.25">
      <c r="A18" s="205" t="s">
        <v>45</v>
      </c>
      <c r="B18" s="77"/>
      <c r="C18" s="541"/>
      <c r="D18" s="77"/>
      <c r="E18" s="542"/>
      <c r="F18" s="87"/>
      <c r="G18" s="87"/>
      <c r="H18" s="77"/>
      <c r="I18" s="543"/>
      <c r="J18" s="77"/>
      <c r="K18" s="544"/>
      <c r="L18" s="545"/>
      <c r="M18" s="546"/>
      <c r="N18" s="547"/>
      <c r="O18" s="548"/>
      <c r="P18" s="253">
        <f t="shared" si="122"/>
        <v>0</v>
      </c>
      <c r="Q18" s="62">
        <f>R10-P18</f>
        <v>168</v>
      </c>
      <c r="R18" s="219" t="str">
        <f t="shared" si="123"/>
        <v>Пузырь</v>
      </c>
      <c r="S18" s="76" t="s">
        <v>10</v>
      </c>
      <c r="T18" s="77" t="s">
        <v>9</v>
      </c>
      <c r="U18" s="73">
        <f t="shared" si="124"/>
        <v>0</v>
      </c>
      <c r="V18" s="62">
        <f t="shared" si="125"/>
        <v>0</v>
      </c>
      <c r="W18" s="62"/>
      <c r="X18" s="74" t="s">
        <v>34</v>
      </c>
    </row>
    <row r="19" ht="14.25">
      <c r="A19" s="205" t="s">
        <v>46</v>
      </c>
      <c r="B19" s="549"/>
      <c r="C19" s="362"/>
      <c r="D19" s="549"/>
      <c r="E19" s="550"/>
      <c r="F19" s="76"/>
      <c r="G19" s="551"/>
      <c r="H19" s="76"/>
      <c r="I19" s="552"/>
      <c r="J19" s="545"/>
      <c r="K19" s="546"/>
      <c r="L19" s="553"/>
      <c r="M19" s="554"/>
      <c r="N19" s="76"/>
      <c r="O19" s="361">
        <v>11</v>
      </c>
      <c r="P19" s="218">
        <f t="shared" si="122"/>
        <v>11</v>
      </c>
      <c r="Q19" s="62">
        <f>R10-P19</f>
        <v>157</v>
      </c>
      <c r="R19" s="219" t="str">
        <f t="shared" si="123"/>
        <v>Голышев</v>
      </c>
      <c r="S19" s="76" t="s">
        <v>10</v>
      </c>
      <c r="T19" s="77" t="s">
        <v>9</v>
      </c>
      <c r="U19" s="73">
        <f t="shared" si="124"/>
        <v>0</v>
      </c>
      <c r="V19" s="62">
        <f t="shared" si="125"/>
        <v>0</v>
      </c>
      <c r="W19" s="62"/>
      <c r="X19" s="74" t="s">
        <v>34</v>
      </c>
    </row>
    <row r="20" ht="14.25">
      <c r="A20" s="205" t="s">
        <v>47</v>
      </c>
      <c r="B20" s="549"/>
      <c r="C20" s="362"/>
      <c r="D20" s="87"/>
      <c r="E20" s="87"/>
      <c r="F20" s="77"/>
      <c r="G20" s="555"/>
      <c r="H20" s="77"/>
      <c r="I20" s="359"/>
      <c r="J20" s="556"/>
      <c r="K20" s="554"/>
      <c r="L20" s="77"/>
      <c r="M20" s="555"/>
      <c r="N20" s="77"/>
      <c r="O20" s="543">
        <v>11</v>
      </c>
      <c r="P20" s="218">
        <f t="shared" si="122"/>
        <v>11</v>
      </c>
      <c r="Q20" s="62">
        <f>R10-P20</f>
        <v>157</v>
      </c>
      <c r="R20" s="219" t="str">
        <f t="shared" si="123"/>
        <v>Торубара</v>
      </c>
      <c r="S20" s="76" t="s">
        <v>10</v>
      </c>
      <c r="T20" s="77" t="s">
        <v>9</v>
      </c>
      <c r="U20" s="73">
        <f t="shared" si="124"/>
        <v>0</v>
      </c>
      <c r="V20" s="62">
        <f t="shared" si="125"/>
        <v>0</v>
      </c>
      <c r="W20" s="62"/>
      <c r="X20" s="74" t="s">
        <v>34</v>
      </c>
    </row>
    <row r="21" ht="14.25">
      <c r="A21" s="205" t="s">
        <v>48</v>
      </c>
      <c r="B21" s="71"/>
      <c r="C21" s="361"/>
      <c r="D21" s="71"/>
      <c r="E21" s="361"/>
      <c r="F21" s="557"/>
      <c r="G21" s="546"/>
      <c r="H21" s="545"/>
      <c r="I21" s="558"/>
      <c r="J21" s="72"/>
      <c r="K21" s="555"/>
      <c r="L21" s="72"/>
      <c r="M21" s="555"/>
      <c r="N21" s="67"/>
      <c r="O21" s="559"/>
      <c r="P21" s="218">
        <f t="shared" si="122"/>
        <v>0</v>
      </c>
      <c r="Q21" s="62">
        <f>R10-P21</f>
        <v>168</v>
      </c>
      <c r="R21" s="219" t="str">
        <f t="shared" si="123"/>
        <v>Стрыгин</v>
      </c>
      <c r="S21" s="71" t="s">
        <v>8</v>
      </c>
      <c r="T21" s="72" t="s">
        <v>7</v>
      </c>
      <c r="U21" s="73">
        <f t="shared" si="124"/>
        <v>0</v>
      </c>
      <c r="V21" s="62">
        <f t="shared" si="125"/>
        <v>0</v>
      </c>
      <c r="W21" s="62"/>
      <c r="X21" s="74" t="s">
        <v>49</v>
      </c>
    </row>
    <row r="22" ht="14.25">
      <c r="A22" s="205" t="s">
        <v>50</v>
      </c>
      <c r="B22" s="87"/>
      <c r="C22" s="87"/>
      <c r="D22" s="87"/>
      <c r="E22" s="87"/>
      <c r="F22" s="72"/>
      <c r="G22" s="544"/>
      <c r="H22" s="553"/>
      <c r="I22" s="554"/>
      <c r="J22" s="71"/>
      <c r="K22" s="560"/>
      <c r="L22" s="71"/>
      <c r="M22" s="561"/>
      <c r="N22" s="547"/>
      <c r="O22" s="562"/>
      <c r="P22" s="253">
        <f t="shared" si="122"/>
        <v>0</v>
      </c>
      <c r="Q22" s="62">
        <f>R10-P22</f>
        <v>168</v>
      </c>
      <c r="R22" s="219" t="str">
        <f t="shared" si="123"/>
        <v>Фрик</v>
      </c>
      <c r="S22" s="71" t="s">
        <v>12</v>
      </c>
      <c r="T22" s="72" t="s">
        <v>11</v>
      </c>
      <c r="U22" s="73">
        <f t="shared" si="124"/>
        <v>0</v>
      </c>
      <c r="V22" s="62">
        <f t="shared" si="125"/>
        <v>0</v>
      </c>
      <c r="W22" s="62"/>
      <c r="X22" s="74" t="s">
        <v>44</v>
      </c>
    </row>
    <row r="23" ht="14.25">
      <c r="A23" s="563" t="s">
        <v>51</v>
      </c>
      <c r="B23" s="545"/>
      <c r="C23" s="558"/>
      <c r="D23" s="87"/>
      <c r="E23" s="87"/>
      <c r="F23" s="76"/>
      <c r="G23" s="560"/>
      <c r="H23" s="76"/>
      <c r="I23" s="561"/>
      <c r="J23" s="545"/>
      <c r="K23" s="546"/>
      <c r="L23" s="545"/>
      <c r="M23" s="554"/>
      <c r="N23" s="77"/>
      <c r="O23" s="543">
        <v>11</v>
      </c>
      <c r="P23" s="218">
        <f t="shared" si="122"/>
        <v>11</v>
      </c>
      <c r="Q23" s="62">
        <f>R10-P23</f>
        <v>157</v>
      </c>
      <c r="R23" s="219" t="str">
        <f t="shared" si="123"/>
        <v>Истрашкин</v>
      </c>
      <c r="S23" s="71" t="s">
        <v>10</v>
      </c>
      <c r="T23" s="72" t="s">
        <v>9</v>
      </c>
      <c r="U23" s="73">
        <f t="shared" si="124"/>
        <v>0</v>
      </c>
      <c r="V23" s="62">
        <f t="shared" si="125"/>
        <v>0</v>
      </c>
      <c r="W23" s="62"/>
      <c r="X23" s="74" t="s">
        <v>34</v>
      </c>
    </row>
    <row r="24" ht="14.25">
      <c r="A24" s="207"/>
      <c r="B24" s="515">
        <v>46076</v>
      </c>
      <c r="C24" s="517"/>
      <c r="D24" s="488">
        <v>46077</v>
      </c>
      <c r="E24" s="157"/>
      <c r="F24" s="488">
        <v>46078</v>
      </c>
      <c r="G24" s="517"/>
      <c r="H24" s="488">
        <v>46079</v>
      </c>
      <c r="I24" s="517"/>
      <c r="J24" s="515">
        <v>46080</v>
      </c>
      <c r="K24" s="517"/>
      <c r="L24" s="515">
        <v>46081</v>
      </c>
      <c r="M24" s="517"/>
      <c r="N24" s="488">
        <v>46082</v>
      </c>
      <c r="O24" s="517"/>
      <c r="P24" s="232"/>
      <c r="Q24" s="233"/>
      <c r="R24" s="49"/>
      <c r="S24" s="161"/>
      <c r="T24" s="161"/>
      <c r="U24" s="60" t="s">
        <v>27</v>
      </c>
      <c r="V24" s="61" t="s">
        <v>28</v>
      </c>
      <c r="W24" s="62" t="s">
        <v>29</v>
      </c>
      <c r="X24" s="564"/>
    </row>
    <row r="25" ht="14.25">
      <c r="A25" s="162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4"/>
      <c r="R25" s="165"/>
      <c r="S25" s="165"/>
      <c r="T25" s="165"/>
      <c r="U25" s="100"/>
      <c r="V25" s="100"/>
      <c r="W25" s="100"/>
      <c r="X25" s="7"/>
    </row>
    <row r="26" ht="14.25">
      <c r="A26" s="165"/>
      <c r="B26" s="237" t="s">
        <v>17</v>
      </c>
      <c r="C26" s="237"/>
      <c r="D26" s="237" t="s">
        <v>18</v>
      </c>
      <c r="E26" s="237"/>
      <c r="F26" s="237" t="s">
        <v>19</v>
      </c>
      <c r="G26" s="237"/>
      <c r="H26" s="237" t="s">
        <v>20</v>
      </c>
      <c r="I26" s="237"/>
      <c r="J26" s="565" t="s">
        <v>21</v>
      </c>
      <c r="K26" s="565"/>
      <c r="L26" s="237" t="s">
        <v>22</v>
      </c>
      <c r="M26" s="237"/>
      <c r="N26" s="237" t="s">
        <v>23</v>
      </c>
      <c r="O26" s="237"/>
      <c r="P26" s="234" t="s">
        <v>24</v>
      </c>
      <c r="Q26" s="235"/>
      <c r="R26" s="165"/>
      <c r="S26" s="165"/>
      <c r="T26" s="165"/>
      <c r="U26" s="100"/>
      <c r="V26" s="100"/>
      <c r="W26" s="100"/>
      <c r="X26" s="51"/>
    </row>
    <row r="27" ht="14.25">
      <c r="A27" s="165"/>
      <c r="B27" s="438">
        <v>46083</v>
      </c>
      <c r="C27" s="438"/>
      <c r="D27" s="438">
        <v>46084</v>
      </c>
      <c r="E27" s="438"/>
      <c r="F27" s="438">
        <v>46085</v>
      </c>
      <c r="G27" s="438"/>
      <c r="H27" s="438">
        <v>46086</v>
      </c>
      <c r="I27" s="438"/>
      <c r="J27" s="438">
        <v>46087</v>
      </c>
      <c r="K27" s="438"/>
      <c r="L27" s="438">
        <v>46088</v>
      </c>
      <c r="M27" s="438"/>
      <c r="N27" s="438">
        <v>46089</v>
      </c>
      <c r="O27" s="440"/>
      <c r="P27" s="236" t="s">
        <v>25</v>
      </c>
      <c r="Q27" s="237" t="s">
        <v>26</v>
      </c>
      <c r="R27" s="566"/>
      <c r="S27" s="239"/>
      <c r="T27" s="239"/>
      <c r="U27" s="15" t="s">
        <v>27</v>
      </c>
      <c r="V27" s="106" t="s">
        <v>28</v>
      </c>
      <c r="W27" s="100" t="s">
        <v>29</v>
      </c>
      <c r="X27" s="63" t="s">
        <v>30</v>
      </c>
    </row>
    <row r="28" ht="14.25">
      <c r="A28" s="217" t="s">
        <v>35</v>
      </c>
      <c r="B28" s="65" t="s">
        <v>32</v>
      </c>
      <c r="C28" s="567" t="s">
        <v>33</v>
      </c>
      <c r="D28" s="65" t="s">
        <v>32</v>
      </c>
      <c r="E28" s="567" t="s">
        <v>33</v>
      </c>
      <c r="F28" s="65" t="s">
        <v>32</v>
      </c>
      <c r="G28" s="567" t="s">
        <v>33</v>
      </c>
      <c r="H28" s="65" t="s">
        <v>32</v>
      </c>
      <c r="I28" s="567" t="s">
        <v>33</v>
      </c>
      <c r="J28" s="65" t="s">
        <v>32</v>
      </c>
      <c r="K28" s="567" t="s">
        <v>33</v>
      </c>
      <c r="L28" s="66"/>
      <c r="M28" s="568"/>
      <c r="N28" s="66"/>
      <c r="O28" s="568"/>
      <c r="P28" s="218">
        <f t="shared" si="122"/>
        <v>40</v>
      </c>
      <c r="Q28" s="221">
        <f t="shared" ref="Q28:Q91" si="126">Q12-P28</f>
        <v>128</v>
      </c>
      <c r="R28" s="219" t="str">
        <f t="shared" si="123"/>
        <v>Рычков</v>
      </c>
      <c r="S28" s="76" t="s">
        <v>10</v>
      </c>
      <c r="T28" s="77" t="s">
        <v>9</v>
      </c>
      <c r="U28" s="73">
        <f t="shared" si="124"/>
        <v>0</v>
      </c>
      <c r="V28" s="221">
        <f t="shared" si="125"/>
        <v>0</v>
      </c>
      <c r="W28" s="62"/>
      <c r="X28" s="74" t="s">
        <v>34</v>
      </c>
    </row>
    <row r="29" ht="14.25">
      <c r="A29" s="203" t="s">
        <v>39</v>
      </c>
      <c r="B29" s="65" t="s">
        <v>32</v>
      </c>
      <c r="C29" s="569" t="s">
        <v>33</v>
      </c>
      <c r="D29" s="65" t="s">
        <v>32</v>
      </c>
      <c r="E29" s="569" t="s">
        <v>33</v>
      </c>
      <c r="F29" s="65" t="s">
        <v>32</v>
      </c>
      <c r="G29" s="569" t="s">
        <v>33</v>
      </c>
      <c r="H29" s="65" t="s">
        <v>32</v>
      </c>
      <c r="I29" s="569" t="s">
        <v>33</v>
      </c>
      <c r="J29" s="65" t="s">
        <v>32</v>
      </c>
      <c r="K29" s="569" t="s">
        <v>33</v>
      </c>
      <c r="L29" s="66"/>
      <c r="M29" s="570"/>
      <c r="N29" s="66"/>
      <c r="O29" s="570"/>
      <c r="P29" s="218">
        <f t="shared" si="122"/>
        <v>40</v>
      </c>
      <c r="Q29" s="229">
        <f t="shared" si="126"/>
        <v>128</v>
      </c>
      <c r="R29" s="219" t="str">
        <f t="shared" si="123"/>
        <v>Игумнов</v>
      </c>
      <c r="S29" s="76" t="s">
        <v>10</v>
      </c>
      <c r="T29" s="77" t="s">
        <v>9</v>
      </c>
      <c r="U29" s="73">
        <f t="shared" si="124"/>
        <v>0</v>
      </c>
      <c r="V29" s="229">
        <f t="shared" si="125"/>
        <v>0</v>
      </c>
      <c r="W29" s="62"/>
      <c r="X29" s="79" t="s">
        <v>34</v>
      </c>
    </row>
    <row r="30" ht="14.25">
      <c r="A30" s="203" t="s">
        <v>40</v>
      </c>
      <c r="B30" s="65" t="s">
        <v>32</v>
      </c>
      <c r="C30" s="65" t="s">
        <v>33</v>
      </c>
      <c r="D30" s="65" t="s">
        <v>32</v>
      </c>
      <c r="E30" s="65" t="s">
        <v>33</v>
      </c>
      <c r="F30" s="65" t="s">
        <v>32</v>
      </c>
      <c r="G30" s="65" t="s">
        <v>33</v>
      </c>
      <c r="H30" s="65" t="s">
        <v>32</v>
      </c>
      <c r="I30" s="65" t="s">
        <v>33</v>
      </c>
      <c r="J30" s="65" t="s">
        <v>32</v>
      </c>
      <c r="K30" s="65" t="s">
        <v>33</v>
      </c>
      <c r="L30" s="66"/>
      <c r="M30" s="66"/>
      <c r="N30" s="66"/>
      <c r="O30" s="66"/>
      <c r="P30" s="218">
        <f t="shared" si="122"/>
        <v>40</v>
      </c>
      <c r="Q30" s="62">
        <f t="shared" si="126"/>
        <v>128</v>
      </c>
      <c r="R30" s="219" t="str">
        <f t="shared" si="123"/>
        <v>Душин</v>
      </c>
      <c r="S30" s="76" t="s">
        <v>10</v>
      </c>
      <c r="T30" s="77" t="s">
        <v>9</v>
      </c>
      <c r="U30" s="73">
        <f t="shared" si="124"/>
        <v>0</v>
      </c>
      <c r="V30" s="62">
        <f t="shared" si="125"/>
        <v>0</v>
      </c>
      <c r="W30" s="62"/>
      <c r="X30" s="74" t="s">
        <v>38</v>
      </c>
    </row>
    <row r="31" ht="14.25">
      <c r="A31" s="203" t="s">
        <v>31</v>
      </c>
      <c r="B31" s="65" t="s">
        <v>32</v>
      </c>
      <c r="C31" s="65" t="s">
        <v>33</v>
      </c>
      <c r="D31" s="65" t="s">
        <v>32</v>
      </c>
      <c r="E31" s="65" t="s">
        <v>33</v>
      </c>
      <c r="F31" s="65" t="s">
        <v>32</v>
      </c>
      <c r="G31" s="65" t="s">
        <v>33</v>
      </c>
      <c r="H31" s="65" t="s">
        <v>32</v>
      </c>
      <c r="I31" s="65" t="s">
        <v>33</v>
      </c>
      <c r="J31" s="65" t="s">
        <v>32</v>
      </c>
      <c r="K31" s="65" t="s">
        <v>33</v>
      </c>
      <c r="L31" s="66"/>
      <c r="M31" s="66"/>
      <c r="N31" s="66"/>
      <c r="O31" s="66"/>
      <c r="P31" s="218">
        <f t="shared" si="122"/>
        <v>40</v>
      </c>
      <c r="Q31" s="62">
        <f t="shared" si="126"/>
        <v>128</v>
      </c>
      <c r="R31" s="219" t="str">
        <f t="shared" si="123"/>
        <v>Нетронин</v>
      </c>
      <c r="S31" s="76" t="s">
        <v>58</v>
      </c>
      <c r="T31" s="77" t="s">
        <v>59</v>
      </c>
      <c r="U31" s="73">
        <f t="shared" si="124"/>
        <v>0</v>
      </c>
      <c r="V31" s="62">
        <f t="shared" si="125"/>
        <v>0</v>
      </c>
      <c r="W31" s="62"/>
      <c r="X31" s="74" t="s">
        <v>38</v>
      </c>
    </row>
    <row r="32" ht="14.25">
      <c r="A32" s="203" t="s">
        <v>62</v>
      </c>
      <c r="B32" s="65" t="s">
        <v>32</v>
      </c>
      <c r="C32" s="65" t="s">
        <v>33</v>
      </c>
      <c r="D32" s="65" t="s">
        <v>32</v>
      </c>
      <c r="E32" s="65" t="s">
        <v>33</v>
      </c>
      <c r="F32" s="65" t="s">
        <v>32</v>
      </c>
      <c r="G32" s="65" t="s">
        <v>33</v>
      </c>
      <c r="H32" s="65" t="s">
        <v>32</v>
      </c>
      <c r="I32" s="65" t="s">
        <v>33</v>
      </c>
      <c r="J32" s="65" t="s">
        <v>32</v>
      </c>
      <c r="K32" s="65" t="s">
        <v>33</v>
      </c>
      <c r="L32" s="66"/>
      <c r="M32" s="66"/>
      <c r="N32" s="66"/>
      <c r="O32" s="66"/>
      <c r="P32" s="218">
        <f t="shared" si="122"/>
        <v>40</v>
      </c>
      <c r="Q32" s="62">
        <f t="shared" si="126"/>
        <v>128</v>
      </c>
      <c r="R32" s="219" t="str">
        <f t="shared" si="123"/>
        <v>Раимова</v>
      </c>
      <c r="S32" s="76" t="s">
        <v>10</v>
      </c>
      <c r="T32" s="77" t="s">
        <v>9</v>
      </c>
      <c r="U32" s="73">
        <f t="shared" si="124"/>
        <v>0</v>
      </c>
      <c r="V32" s="62">
        <f t="shared" si="125"/>
        <v>0</v>
      </c>
      <c r="W32" s="62"/>
      <c r="X32" s="91" t="s">
        <v>44</v>
      </c>
    </row>
    <row r="33" ht="14.25">
      <c r="A33" s="205" t="s">
        <v>43</v>
      </c>
      <c r="B33" s="76"/>
      <c r="C33" s="361">
        <v>11</v>
      </c>
      <c r="D33" s="76"/>
      <c r="E33" s="361">
        <v>11</v>
      </c>
      <c r="F33" s="67"/>
      <c r="G33" s="362"/>
      <c r="H33" s="66"/>
      <c r="I33" s="66"/>
      <c r="J33" s="77" t="s">
        <v>71</v>
      </c>
      <c r="K33" s="359">
        <v>9</v>
      </c>
      <c r="L33" s="77"/>
      <c r="M33" s="359">
        <v>11</v>
      </c>
      <c r="N33" s="67"/>
      <c r="O33" s="67"/>
      <c r="P33" s="218">
        <f t="shared" si="122"/>
        <v>42</v>
      </c>
      <c r="Q33" s="62">
        <f t="shared" si="126"/>
        <v>126</v>
      </c>
      <c r="R33" s="219" t="str">
        <f t="shared" si="123"/>
        <v>Дащенко</v>
      </c>
      <c r="S33" s="71" t="s">
        <v>12</v>
      </c>
      <c r="T33" s="72" t="s">
        <v>11</v>
      </c>
      <c r="U33" s="73">
        <f t="shared" si="124"/>
        <v>0</v>
      </c>
      <c r="V33" s="62">
        <f t="shared" si="125"/>
        <v>0</v>
      </c>
      <c r="W33" s="62"/>
      <c r="X33" s="63" t="s">
        <v>44</v>
      </c>
    </row>
    <row r="34" ht="14.25">
      <c r="A34" s="205" t="s">
        <v>45</v>
      </c>
      <c r="B34" s="77"/>
      <c r="C34" s="543">
        <v>11</v>
      </c>
      <c r="D34" s="77"/>
      <c r="E34" s="543">
        <v>11</v>
      </c>
      <c r="F34" s="67"/>
      <c r="G34" s="571"/>
      <c r="H34" s="77"/>
      <c r="I34" s="359">
        <v>11</v>
      </c>
      <c r="J34" s="67"/>
      <c r="K34" s="362"/>
      <c r="L34" s="67"/>
      <c r="M34" s="362"/>
      <c r="N34" s="76"/>
      <c r="O34" s="361">
        <v>11</v>
      </c>
      <c r="P34" s="218">
        <f t="shared" si="122"/>
        <v>44</v>
      </c>
      <c r="Q34" s="62">
        <f t="shared" si="126"/>
        <v>124</v>
      </c>
      <c r="R34" s="219" t="str">
        <f t="shared" si="123"/>
        <v>Пузырь</v>
      </c>
      <c r="S34" s="76" t="s">
        <v>10</v>
      </c>
      <c r="T34" s="77" t="s">
        <v>9</v>
      </c>
      <c r="U34" s="73">
        <f t="shared" si="124"/>
        <v>0</v>
      </c>
      <c r="V34" s="62">
        <f t="shared" si="125"/>
        <v>0</v>
      </c>
      <c r="W34" s="62"/>
      <c r="X34" s="74" t="s">
        <v>34</v>
      </c>
    </row>
    <row r="35" ht="14.25">
      <c r="A35" s="205" t="s">
        <v>46</v>
      </c>
      <c r="B35" s="76"/>
      <c r="C35" s="572">
        <v>11</v>
      </c>
      <c r="D35" s="66"/>
      <c r="E35" s="573"/>
      <c r="F35" s="66"/>
      <c r="G35" s="573"/>
      <c r="H35" s="77"/>
      <c r="I35" s="543">
        <v>11</v>
      </c>
      <c r="J35" s="77"/>
      <c r="K35" s="543">
        <v>11</v>
      </c>
      <c r="L35" s="67"/>
      <c r="M35" s="67"/>
      <c r="N35" s="77"/>
      <c r="O35" s="543">
        <v>11</v>
      </c>
      <c r="P35" s="218">
        <f t="shared" si="122"/>
        <v>44</v>
      </c>
      <c r="Q35" s="221">
        <f t="shared" si="126"/>
        <v>113</v>
      </c>
      <c r="R35" s="219" t="str">
        <f t="shared" si="123"/>
        <v>Голышев</v>
      </c>
      <c r="S35" s="532" t="s">
        <v>10</v>
      </c>
      <c r="T35" s="77" t="s">
        <v>9</v>
      </c>
      <c r="U35" s="240">
        <f>COUNTIF(T35,B35)+COUNTIF(T35,D35)+COUNTIF(T35,#REF!)+COUNTIF(T35,H35)+COUNTIF(T35,F35)+COUNTIF(T35,L35)+COUNTIF(T35,N35)</f>
        <v>0</v>
      </c>
      <c r="V35" s="62">
        <f>COUNTIF(S35,B35)+COUNTIF(S35,D35)+COUNTIF(S35,#REF!)+COUNTIF(S35,H35)+COUNTIF(S35,F35)+COUNTIF(S35,L35)+COUNTIF(S35,N35)</f>
        <v>0</v>
      </c>
      <c r="W35" s="221"/>
      <c r="X35" s="74" t="s">
        <v>34</v>
      </c>
    </row>
    <row r="36" ht="14.25">
      <c r="A36" s="205" t="s">
        <v>47</v>
      </c>
      <c r="B36" s="67"/>
      <c r="C36" s="571"/>
      <c r="D36" s="67"/>
      <c r="E36" s="362"/>
      <c r="F36" s="76"/>
      <c r="G36" s="361">
        <v>11</v>
      </c>
      <c r="H36" s="76"/>
      <c r="I36" s="572">
        <v>11</v>
      </c>
      <c r="J36" s="87"/>
      <c r="K36" s="574"/>
      <c r="L36" s="67"/>
      <c r="M36" s="571"/>
      <c r="N36" s="66"/>
      <c r="O36" s="573"/>
      <c r="P36" s="218">
        <f t="shared" si="122"/>
        <v>22</v>
      </c>
      <c r="Q36" s="229">
        <f t="shared" si="126"/>
        <v>135</v>
      </c>
      <c r="R36" s="219" t="str">
        <f t="shared" si="123"/>
        <v>Торубара</v>
      </c>
      <c r="S36" s="466" t="s">
        <v>10</v>
      </c>
      <c r="T36" s="77" t="s">
        <v>9</v>
      </c>
      <c r="U36" s="244">
        <f t="shared" ref="U36:U86" si="127">COUNTIF(T36,B36)+COUNTIF(T36,D36)+COUNTIF(T36,F36)+COUNTIF(T36,H36)+COUNTIF(T36,J36)+COUNTIF(T36,L36)+COUNTIF(T36,N36)</f>
        <v>0</v>
      </c>
      <c r="V36" s="62">
        <f t="shared" ref="V36:V61" si="128">COUNTIF(S36,B36)+COUNTIF(S36,D36)+COUNTIF(S36,F36)+COUNTIF(S36,H36)+COUNTIF(S36,J36)+COUNTIF(S36,L36)+COUNTIF(S36,N36)</f>
        <v>0</v>
      </c>
      <c r="W36" s="229"/>
      <c r="X36" s="74" t="s">
        <v>34</v>
      </c>
    </row>
    <row r="37" ht="14.25">
      <c r="A37" s="205" t="s">
        <v>48</v>
      </c>
      <c r="B37" s="82"/>
      <c r="C37" s="401"/>
      <c r="D37" s="76"/>
      <c r="E37" s="361">
        <v>11</v>
      </c>
      <c r="F37" s="76"/>
      <c r="G37" s="361">
        <v>11</v>
      </c>
      <c r="H37" s="67"/>
      <c r="I37" s="362"/>
      <c r="J37" s="67"/>
      <c r="K37" s="362"/>
      <c r="L37" s="77"/>
      <c r="M37" s="541">
        <v>11</v>
      </c>
      <c r="N37" s="77"/>
      <c r="O37" s="359">
        <v>11</v>
      </c>
      <c r="P37" s="218">
        <f t="shared" si="122"/>
        <v>44</v>
      </c>
      <c r="Q37" s="62">
        <f t="shared" si="126"/>
        <v>124</v>
      </c>
      <c r="R37" s="219" t="str">
        <f t="shared" si="123"/>
        <v>Стрыгин</v>
      </c>
      <c r="S37" s="71" t="s">
        <v>8</v>
      </c>
      <c r="T37" s="72" t="s">
        <v>7</v>
      </c>
      <c r="U37" s="73">
        <f t="shared" si="127"/>
        <v>0</v>
      </c>
      <c r="V37" s="62">
        <f t="shared" si="128"/>
        <v>0</v>
      </c>
      <c r="W37" s="62"/>
      <c r="X37" s="74" t="s">
        <v>49</v>
      </c>
    </row>
    <row r="38" ht="14.25">
      <c r="A38" s="205" t="s">
        <v>50</v>
      </c>
      <c r="B38" s="67"/>
      <c r="C38" s="67"/>
      <c r="D38" s="77"/>
      <c r="E38" s="543">
        <v>11</v>
      </c>
      <c r="F38" s="77"/>
      <c r="G38" s="543">
        <v>11</v>
      </c>
      <c r="H38" s="66"/>
      <c r="I38" s="66"/>
      <c r="J38" s="76"/>
      <c r="K38" s="361">
        <v>11</v>
      </c>
      <c r="L38" s="76"/>
      <c r="M38" s="361">
        <v>11</v>
      </c>
      <c r="N38" s="67"/>
      <c r="O38" s="362"/>
      <c r="P38" s="218">
        <f t="shared" si="122"/>
        <v>44</v>
      </c>
      <c r="Q38" s="62">
        <f t="shared" si="126"/>
        <v>124</v>
      </c>
      <c r="R38" s="219" t="str">
        <f t="shared" si="123"/>
        <v>Фрик</v>
      </c>
      <c r="S38" s="71" t="s">
        <v>12</v>
      </c>
      <c r="T38" s="72" t="s">
        <v>11</v>
      </c>
      <c r="U38" s="73">
        <f t="shared" si="127"/>
        <v>0</v>
      </c>
      <c r="V38" s="62">
        <f t="shared" si="128"/>
        <v>0</v>
      </c>
      <c r="W38" s="62"/>
      <c r="X38" s="74" t="s">
        <v>44</v>
      </c>
    </row>
    <row r="39" ht="14.25">
      <c r="A39" s="206" t="s">
        <v>51</v>
      </c>
      <c r="B39" s="77"/>
      <c r="C39" s="543">
        <v>11</v>
      </c>
      <c r="D39" s="66"/>
      <c r="E39" s="573"/>
      <c r="F39" s="82"/>
      <c r="G39" s="401"/>
      <c r="H39" s="76"/>
      <c r="I39" s="361">
        <v>11</v>
      </c>
      <c r="J39" s="76"/>
      <c r="K39" s="361">
        <v>11</v>
      </c>
      <c r="L39" s="67"/>
      <c r="M39" s="362"/>
      <c r="N39" s="82"/>
      <c r="O39" s="82"/>
      <c r="P39" s="220">
        <f t="shared" si="122"/>
        <v>33</v>
      </c>
      <c r="Q39" s="62">
        <f t="shared" si="126"/>
        <v>124</v>
      </c>
      <c r="R39" s="222" t="str">
        <f t="shared" si="123"/>
        <v>Истрашкин</v>
      </c>
      <c r="S39" s="71" t="s">
        <v>10</v>
      </c>
      <c r="T39" s="575" t="s">
        <v>9</v>
      </c>
      <c r="U39" s="73">
        <f t="shared" si="127"/>
        <v>0</v>
      </c>
      <c r="V39" s="221">
        <f t="shared" si="128"/>
        <v>0</v>
      </c>
      <c r="W39" s="62"/>
      <c r="X39" s="74" t="s">
        <v>34</v>
      </c>
    </row>
    <row r="40" ht="14.25">
      <c r="A40" s="245"/>
      <c r="B40" s="488">
        <v>46083</v>
      </c>
      <c r="C40" s="515"/>
      <c r="D40" s="488">
        <v>46084</v>
      </c>
      <c r="E40" s="488"/>
      <c r="F40" s="488">
        <v>46085</v>
      </c>
      <c r="G40" s="488"/>
      <c r="H40" s="488">
        <v>46086</v>
      </c>
      <c r="I40" s="488"/>
      <c r="J40" s="488">
        <v>46087</v>
      </c>
      <c r="K40" s="488"/>
      <c r="L40" s="488">
        <v>46088</v>
      </c>
      <c r="M40" s="488"/>
      <c r="N40" s="488">
        <v>46089</v>
      </c>
      <c r="O40" s="157"/>
      <c r="P40" s="176"/>
      <c r="Q40" s="247"/>
      <c r="R40" s="175"/>
      <c r="S40" s="178"/>
      <c r="T40" s="576"/>
      <c r="U40" s="100"/>
      <c r="V40" s="577"/>
      <c r="W40" s="100"/>
      <c r="X40" s="7"/>
    </row>
    <row r="41" ht="14.25">
      <c r="A41" s="162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4"/>
      <c r="R41" s="165"/>
      <c r="S41" s="165"/>
      <c r="T41" s="165"/>
      <c r="U41" s="100"/>
      <c r="V41" s="100"/>
      <c r="W41" s="100"/>
      <c r="X41" s="51"/>
    </row>
    <row r="42" ht="14.25">
      <c r="A42" s="143"/>
      <c r="B42" s="214" t="s">
        <v>17</v>
      </c>
      <c r="C42" s="481"/>
      <c r="D42" s="214" t="s">
        <v>18</v>
      </c>
      <c r="E42" s="481"/>
      <c r="F42" s="214" t="s">
        <v>19</v>
      </c>
      <c r="G42" s="214"/>
      <c r="H42" s="214" t="s">
        <v>20</v>
      </c>
      <c r="I42" s="481"/>
      <c r="J42" s="214" t="s">
        <v>21</v>
      </c>
      <c r="K42" s="214"/>
      <c r="L42" s="214" t="s">
        <v>22</v>
      </c>
      <c r="M42" s="214"/>
      <c r="N42" s="214" t="s">
        <v>23</v>
      </c>
      <c r="O42" s="214"/>
      <c r="P42" s="208" t="s">
        <v>24</v>
      </c>
      <c r="Q42" s="209"/>
      <c r="R42" s="143"/>
      <c r="S42" s="143"/>
      <c r="T42" s="143"/>
      <c r="U42" s="62"/>
      <c r="V42" s="62"/>
      <c r="W42" s="62"/>
      <c r="X42" s="63"/>
    </row>
    <row r="43" ht="14.25">
      <c r="A43" s="143"/>
      <c r="B43" s="439">
        <v>46090</v>
      </c>
      <c r="C43" s="439"/>
      <c r="D43" s="438">
        <v>46091</v>
      </c>
      <c r="E43" s="438"/>
      <c r="F43" s="438">
        <v>46092</v>
      </c>
      <c r="G43" s="438"/>
      <c r="H43" s="438">
        <v>46093</v>
      </c>
      <c r="I43" s="438"/>
      <c r="J43" s="438">
        <v>46094</v>
      </c>
      <c r="K43" s="438"/>
      <c r="L43" s="438">
        <v>46095</v>
      </c>
      <c r="M43" s="438"/>
      <c r="N43" s="438">
        <v>46096</v>
      </c>
      <c r="O43" s="440"/>
      <c r="P43" s="213" t="s">
        <v>25</v>
      </c>
      <c r="Q43" s="214" t="s">
        <v>26</v>
      </c>
      <c r="R43" s="524"/>
      <c r="S43" s="147"/>
      <c r="T43" s="147"/>
      <c r="U43" s="60" t="s">
        <v>27</v>
      </c>
      <c r="V43" s="61" t="s">
        <v>28</v>
      </c>
      <c r="W43" s="62" t="s">
        <v>29</v>
      </c>
      <c r="X43" s="63" t="s">
        <v>30</v>
      </c>
    </row>
    <row r="44" ht="14.25">
      <c r="A44" s="217" t="s">
        <v>35</v>
      </c>
      <c r="B44" s="354"/>
      <c r="C44" s="426"/>
      <c r="D44" s="578" t="s">
        <v>32</v>
      </c>
      <c r="E44" s="579" t="s">
        <v>33</v>
      </c>
      <c r="F44" s="578" t="s">
        <v>32</v>
      </c>
      <c r="G44" s="579" t="s">
        <v>33</v>
      </c>
      <c r="H44" s="578" t="s">
        <v>32</v>
      </c>
      <c r="I44" s="580" t="s">
        <v>33</v>
      </c>
      <c r="J44" s="578" t="s">
        <v>32</v>
      </c>
      <c r="K44" s="579" t="s">
        <v>33</v>
      </c>
      <c r="L44" s="66"/>
      <c r="M44" s="568"/>
      <c r="N44" s="66"/>
      <c r="O44" s="568"/>
      <c r="P44" s="218">
        <f t="shared" si="122"/>
        <v>32</v>
      </c>
      <c r="Q44" s="221">
        <f t="shared" si="126"/>
        <v>96</v>
      </c>
      <c r="R44" s="219" t="str">
        <f t="shared" si="123"/>
        <v>Рычков</v>
      </c>
      <c r="S44" s="76" t="s">
        <v>10</v>
      </c>
      <c r="T44" s="77" t="s">
        <v>9</v>
      </c>
      <c r="U44" s="73">
        <f t="shared" si="127"/>
        <v>0</v>
      </c>
      <c r="V44" s="221">
        <f t="shared" si="128"/>
        <v>0</v>
      </c>
      <c r="W44" s="62"/>
      <c r="X44" s="74" t="s">
        <v>34</v>
      </c>
    </row>
    <row r="45" ht="14.25">
      <c r="A45" s="203" t="s">
        <v>39</v>
      </c>
      <c r="B45" s="578"/>
      <c r="C45" s="581"/>
      <c r="D45" s="578" t="s">
        <v>32</v>
      </c>
      <c r="E45" s="582" t="s">
        <v>33</v>
      </c>
      <c r="F45" s="578" t="s">
        <v>32</v>
      </c>
      <c r="G45" s="581" t="s">
        <v>33</v>
      </c>
      <c r="H45" s="578" t="s">
        <v>32</v>
      </c>
      <c r="I45" s="581" t="s">
        <v>33</v>
      </c>
      <c r="J45" s="578" t="s">
        <v>32</v>
      </c>
      <c r="K45" s="581" t="s">
        <v>33</v>
      </c>
      <c r="L45" s="66"/>
      <c r="M45" s="570"/>
      <c r="N45" s="66"/>
      <c r="O45" s="570"/>
      <c r="P45" s="218">
        <f t="shared" si="122"/>
        <v>32</v>
      </c>
      <c r="Q45" s="229">
        <f t="shared" si="126"/>
        <v>96</v>
      </c>
      <c r="R45" s="219" t="str">
        <f t="shared" si="123"/>
        <v>Игумнов</v>
      </c>
      <c r="S45" s="76" t="s">
        <v>10</v>
      </c>
      <c r="T45" s="77" t="s">
        <v>9</v>
      </c>
      <c r="U45" s="73">
        <f t="shared" si="127"/>
        <v>0</v>
      </c>
      <c r="V45" s="229">
        <f t="shared" si="128"/>
        <v>0</v>
      </c>
      <c r="W45" s="62"/>
      <c r="X45" s="79" t="s">
        <v>34</v>
      </c>
    </row>
    <row r="46" ht="14.25">
      <c r="A46" s="203" t="s">
        <v>40</v>
      </c>
      <c r="B46" s="578"/>
      <c r="C46" s="578"/>
      <c r="D46" s="578" t="s">
        <v>32</v>
      </c>
      <c r="E46" s="578" t="s">
        <v>33</v>
      </c>
      <c r="F46" s="578" t="s">
        <v>32</v>
      </c>
      <c r="G46" s="578" t="s">
        <v>33</v>
      </c>
      <c r="H46" s="578" t="s">
        <v>32</v>
      </c>
      <c r="I46" s="578" t="s">
        <v>33</v>
      </c>
      <c r="J46" s="578" t="s">
        <v>32</v>
      </c>
      <c r="K46" s="583" t="s">
        <v>33</v>
      </c>
      <c r="L46" s="66"/>
      <c r="M46" s="66"/>
      <c r="N46" s="66"/>
      <c r="O46" s="66"/>
      <c r="P46" s="218">
        <f t="shared" si="122"/>
        <v>32</v>
      </c>
      <c r="Q46" s="62">
        <f t="shared" si="126"/>
        <v>96</v>
      </c>
      <c r="R46" s="219" t="str">
        <f t="shared" si="123"/>
        <v>Душин</v>
      </c>
      <c r="S46" s="76" t="s">
        <v>10</v>
      </c>
      <c r="T46" s="77" t="s">
        <v>9</v>
      </c>
      <c r="U46" s="73">
        <f t="shared" si="127"/>
        <v>0</v>
      </c>
      <c r="V46" s="62">
        <f t="shared" si="128"/>
        <v>0</v>
      </c>
      <c r="W46" s="62"/>
      <c r="X46" s="74" t="s">
        <v>38</v>
      </c>
    </row>
    <row r="47" ht="14.25">
      <c r="A47" s="203" t="s">
        <v>31</v>
      </c>
      <c r="B47" s="578"/>
      <c r="C47" s="578"/>
      <c r="D47" s="578" t="s">
        <v>32</v>
      </c>
      <c r="E47" s="583" t="s">
        <v>33</v>
      </c>
      <c r="F47" s="578" t="s">
        <v>32</v>
      </c>
      <c r="G47" s="578" t="s">
        <v>33</v>
      </c>
      <c r="H47" s="578" t="s">
        <v>32</v>
      </c>
      <c r="I47" s="578" t="s">
        <v>33</v>
      </c>
      <c r="J47" s="578" t="s">
        <v>32</v>
      </c>
      <c r="K47" s="578" t="s">
        <v>33</v>
      </c>
      <c r="L47" s="66"/>
      <c r="M47" s="66"/>
      <c r="N47" s="66"/>
      <c r="O47" s="66"/>
      <c r="P47" s="218">
        <f t="shared" si="122"/>
        <v>32</v>
      </c>
      <c r="Q47" s="62">
        <f t="shared" si="126"/>
        <v>96</v>
      </c>
      <c r="R47" s="219" t="str">
        <f t="shared" si="123"/>
        <v>Нетронин</v>
      </c>
      <c r="S47" s="76" t="s">
        <v>58</v>
      </c>
      <c r="T47" s="77" t="s">
        <v>59</v>
      </c>
      <c r="U47" s="73"/>
      <c r="V47" s="62"/>
      <c r="W47" s="62"/>
      <c r="X47" s="74" t="s">
        <v>38</v>
      </c>
    </row>
    <row r="48" ht="14.25">
      <c r="A48" s="203" t="s">
        <v>62</v>
      </c>
      <c r="B48" s="578"/>
      <c r="C48" s="583"/>
      <c r="D48" s="584" t="s">
        <v>32</v>
      </c>
      <c r="E48" s="578" t="s">
        <v>33</v>
      </c>
      <c r="F48" s="584" t="s">
        <v>32</v>
      </c>
      <c r="G48" s="578" t="s">
        <v>33</v>
      </c>
      <c r="H48" s="584" t="s">
        <v>32</v>
      </c>
      <c r="I48" s="578" t="s">
        <v>33</v>
      </c>
      <c r="J48" s="584" t="s">
        <v>32</v>
      </c>
      <c r="K48" s="578" t="s">
        <v>33</v>
      </c>
      <c r="L48" s="120"/>
      <c r="M48" s="120"/>
      <c r="N48" s="120"/>
      <c r="O48" s="120"/>
      <c r="P48" s="218">
        <f t="shared" si="122"/>
        <v>32</v>
      </c>
      <c r="Q48" s="62">
        <f t="shared" si="126"/>
        <v>96</v>
      </c>
      <c r="R48" s="219" t="str">
        <f t="shared" si="123"/>
        <v>Раимова</v>
      </c>
      <c r="S48" s="76" t="s">
        <v>10</v>
      </c>
      <c r="T48" s="77" t="s">
        <v>9</v>
      </c>
      <c r="U48" s="73"/>
      <c r="V48" s="62"/>
      <c r="W48" s="62"/>
      <c r="X48" s="74" t="s">
        <v>44</v>
      </c>
    </row>
    <row r="49" ht="14.25">
      <c r="A49" s="205" t="s">
        <v>43</v>
      </c>
      <c r="B49" s="66"/>
      <c r="C49" s="66"/>
      <c r="D49" s="76"/>
      <c r="E49" s="361">
        <v>11</v>
      </c>
      <c r="F49" s="76"/>
      <c r="G49" s="361">
        <v>11</v>
      </c>
      <c r="H49" s="66"/>
      <c r="I49" s="66"/>
      <c r="J49" s="66"/>
      <c r="K49" s="66"/>
      <c r="L49" s="77"/>
      <c r="M49" s="359">
        <v>11</v>
      </c>
      <c r="N49" s="77"/>
      <c r="O49" s="359">
        <v>11</v>
      </c>
      <c r="P49" s="218">
        <f t="shared" si="122"/>
        <v>44</v>
      </c>
      <c r="Q49" s="62">
        <f t="shared" si="126"/>
        <v>82</v>
      </c>
      <c r="R49" s="219" t="str">
        <f t="shared" si="123"/>
        <v>Дащенко</v>
      </c>
      <c r="S49" s="71" t="s">
        <v>12</v>
      </c>
      <c r="T49" s="72" t="s">
        <v>11</v>
      </c>
      <c r="U49" s="73">
        <f t="shared" si="127"/>
        <v>0</v>
      </c>
      <c r="V49" s="62">
        <f t="shared" si="128"/>
        <v>0</v>
      </c>
      <c r="W49" s="62"/>
      <c r="X49" s="74" t="s">
        <v>44</v>
      </c>
    </row>
    <row r="50" ht="14.25">
      <c r="A50" s="250" t="s">
        <v>45</v>
      </c>
      <c r="B50" s="76"/>
      <c r="C50" s="361">
        <v>11</v>
      </c>
      <c r="D50" s="66"/>
      <c r="E50" s="66"/>
      <c r="F50" s="66"/>
      <c r="G50" s="66"/>
      <c r="H50" s="67"/>
      <c r="I50" s="362"/>
      <c r="J50" s="77"/>
      <c r="K50" s="359">
        <v>11</v>
      </c>
      <c r="L50" s="66"/>
      <c r="M50" s="66"/>
      <c r="N50" s="66"/>
      <c r="O50" s="66"/>
      <c r="P50" s="218">
        <f t="shared" si="122"/>
        <v>22</v>
      </c>
      <c r="Q50" s="62">
        <f t="shared" si="126"/>
        <v>102</v>
      </c>
      <c r="R50" s="219" t="str">
        <f t="shared" si="123"/>
        <v>Пузырь</v>
      </c>
      <c r="S50" s="76" t="s">
        <v>10</v>
      </c>
      <c r="T50" s="77" t="s">
        <v>9</v>
      </c>
      <c r="U50" s="73">
        <f t="shared" si="127"/>
        <v>0</v>
      </c>
      <c r="V50" s="62">
        <f t="shared" si="128"/>
        <v>0</v>
      </c>
      <c r="W50" s="62"/>
      <c r="X50" s="74" t="s">
        <v>34</v>
      </c>
    </row>
    <row r="51" ht="14.25">
      <c r="A51" s="250" t="s">
        <v>46</v>
      </c>
      <c r="B51" s="77"/>
      <c r="C51" s="359">
        <v>11</v>
      </c>
      <c r="D51" s="77"/>
      <c r="E51" s="359">
        <v>11</v>
      </c>
      <c r="F51" s="66"/>
      <c r="G51" s="66"/>
      <c r="H51" s="67"/>
      <c r="I51" s="362"/>
      <c r="J51" s="76"/>
      <c r="K51" s="361">
        <v>11</v>
      </c>
      <c r="L51" s="76"/>
      <c r="M51" s="361">
        <v>11</v>
      </c>
      <c r="N51" s="67"/>
      <c r="O51" s="67"/>
      <c r="P51" s="218">
        <f t="shared" si="122"/>
        <v>44</v>
      </c>
      <c r="Q51" s="221">
        <f t="shared" si="126"/>
        <v>69</v>
      </c>
      <c r="R51" s="219" t="str">
        <f t="shared" si="123"/>
        <v>Голышев</v>
      </c>
      <c r="S51" s="532" t="s">
        <v>10</v>
      </c>
      <c r="T51" s="77" t="s">
        <v>9</v>
      </c>
      <c r="U51" s="240">
        <f t="shared" si="127"/>
        <v>0</v>
      </c>
      <c r="V51" s="62">
        <f t="shared" si="128"/>
        <v>0</v>
      </c>
      <c r="W51" s="221"/>
      <c r="X51" s="74" t="s">
        <v>34</v>
      </c>
    </row>
    <row r="52" ht="14.25">
      <c r="A52" s="250" t="s">
        <v>47</v>
      </c>
      <c r="B52" s="77" t="s">
        <v>73</v>
      </c>
      <c r="C52" s="543">
        <v>7</v>
      </c>
      <c r="D52" s="107"/>
      <c r="E52" s="107" t="s">
        <v>33</v>
      </c>
      <c r="F52" s="108"/>
      <c r="G52" s="108" t="s">
        <v>33</v>
      </c>
      <c r="H52" s="108"/>
      <c r="I52" s="108" t="s">
        <v>33</v>
      </c>
      <c r="J52" s="110"/>
      <c r="K52" s="110" t="s">
        <v>33</v>
      </c>
      <c r="L52" s="110"/>
      <c r="M52" s="110"/>
      <c r="N52" s="108"/>
      <c r="O52" s="108"/>
      <c r="P52" s="218">
        <f t="shared" si="122"/>
        <v>39</v>
      </c>
      <c r="Q52" s="229">
        <f t="shared" si="126"/>
        <v>96</v>
      </c>
      <c r="R52" s="219" t="str">
        <f t="shared" si="123"/>
        <v>Торубара</v>
      </c>
      <c r="S52" s="466" t="s">
        <v>10</v>
      </c>
      <c r="T52" s="77" t="s">
        <v>9</v>
      </c>
      <c r="U52" s="244">
        <f t="shared" si="127"/>
        <v>0</v>
      </c>
      <c r="V52" s="62">
        <f t="shared" si="128"/>
        <v>0</v>
      </c>
      <c r="W52" s="229"/>
      <c r="X52" s="74" t="s">
        <v>34</v>
      </c>
    </row>
    <row r="53" ht="13.5" customHeight="1">
      <c r="A53" s="250" t="s">
        <v>48</v>
      </c>
      <c r="B53" s="82"/>
      <c r="C53" s="401"/>
      <c r="D53" s="82"/>
      <c r="E53" s="82"/>
      <c r="F53" s="76"/>
      <c r="G53" s="361">
        <v>11</v>
      </c>
      <c r="H53" s="76"/>
      <c r="I53" s="361">
        <v>11</v>
      </c>
      <c r="J53" s="82"/>
      <c r="K53" s="82"/>
      <c r="L53" s="82"/>
      <c r="M53" s="82"/>
      <c r="N53" s="77"/>
      <c r="O53" s="359">
        <v>11</v>
      </c>
      <c r="P53" s="218">
        <f t="shared" si="122"/>
        <v>33</v>
      </c>
      <c r="Q53" s="62">
        <f t="shared" si="126"/>
        <v>91</v>
      </c>
      <c r="R53" s="219" t="str">
        <f t="shared" si="123"/>
        <v>Стрыгин</v>
      </c>
      <c r="S53" s="71" t="s">
        <v>8</v>
      </c>
      <c r="T53" s="72" t="s">
        <v>7</v>
      </c>
      <c r="U53" s="73">
        <f t="shared" si="127"/>
        <v>0</v>
      </c>
      <c r="V53" s="62">
        <f t="shared" si="128"/>
        <v>0</v>
      </c>
      <c r="W53" s="62"/>
      <c r="X53" s="74" t="s">
        <v>49</v>
      </c>
    </row>
    <row r="54" ht="14.25">
      <c r="A54" s="250" t="s">
        <v>50</v>
      </c>
      <c r="B54" s="66"/>
      <c r="C54" s="66"/>
      <c r="D54" s="77"/>
      <c r="E54" s="359">
        <v>11</v>
      </c>
      <c r="F54" s="77"/>
      <c r="G54" s="359">
        <v>11</v>
      </c>
      <c r="H54" s="251"/>
      <c r="I54" s="359">
        <v>11</v>
      </c>
      <c r="J54" s="66"/>
      <c r="K54" s="66"/>
      <c r="L54" s="67"/>
      <c r="M54" s="362"/>
      <c r="N54" s="76"/>
      <c r="O54" s="361">
        <v>11</v>
      </c>
      <c r="P54" s="218">
        <f t="shared" si="122"/>
        <v>44</v>
      </c>
      <c r="Q54" s="62">
        <f t="shared" si="126"/>
        <v>80</v>
      </c>
      <c r="R54" s="219" t="str">
        <f t="shared" si="123"/>
        <v>Фрик</v>
      </c>
      <c r="S54" s="71" t="s">
        <v>12</v>
      </c>
      <c r="T54" s="72" t="s">
        <v>11</v>
      </c>
      <c r="U54" s="73">
        <f t="shared" si="127"/>
        <v>0</v>
      </c>
      <c r="V54" s="62">
        <f t="shared" si="128"/>
        <v>0</v>
      </c>
      <c r="W54" s="62"/>
      <c r="X54" s="74" t="s">
        <v>44</v>
      </c>
    </row>
    <row r="55" ht="14.25">
      <c r="A55" s="252" t="s">
        <v>51</v>
      </c>
      <c r="B55" s="76"/>
      <c r="C55" s="361">
        <v>11</v>
      </c>
      <c r="D55" s="76"/>
      <c r="E55" s="361">
        <v>11</v>
      </c>
      <c r="F55" s="67"/>
      <c r="G55" s="67"/>
      <c r="H55" s="66"/>
      <c r="I55" s="66"/>
      <c r="J55" s="77" t="s">
        <v>32</v>
      </c>
      <c r="K55" s="359">
        <v>8</v>
      </c>
      <c r="L55" s="77"/>
      <c r="M55" s="359">
        <v>11</v>
      </c>
      <c r="N55" s="67"/>
      <c r="O55" s="67"/>
      <c r="P55" s="218">
        <f t="shared" si="122"/>
        <v>41</v>
      </c>
      <c r="Q55" s="62">
        <f t="shared" si="126"/>
        <v>83</v>
      </c>
      <c r="R55" s="219" t="str">
        <f t="shared" si="123"/>
        <v>Истрашкин</v>
      </c>
      <c r="S55" s="71" t="s">
        <v>10</v>
      </c>
      <c r="T55" s="72" t="s">
        <v>9</v>
      </c>
      <c r="U55" s="73">
        <f t="shared" si="127"/>
        <v>0</v>
      </c>
      <c r="V55" s="62">
        <f t="shared" si="128"/>
        <v>0</v>
      </c>
      <c r="W55" s="62"/>
      <c r="X55" s="74" t="s">
        <v>34</v>
      </c>
    </row>
    <row r="56" ht="14.25">
      <c r="A56" s="207"/>
      <c r="B56" s="454">
        <v>46090</v>
      </c>
      <c r="C56" s="454"/>
      <c r="D56" s="210">
        <v>46091</v>
      </c>
      <c r="E56" s="210"/>
      <c r="F56" s="210">
        <v>46092</v>
      </c>
      <c r="G56" s="210"/>
      <c r="H56" s="210">
        <v>46093</v>
      </c>
      <c r="I56" s="210"/>
      <c r="J56" s="210">
        <v>46094</v>
      </c>
      <c r="K56" s="210"/>
      <c r="L56" s="210">
        <v>46095</v>
      </c>
      <c r="M56" s="210"/>
      <c r="N56" s="210">
        <v>46096</v>
      </c>
      <c r="O56" s="506"/>
      <c r="P56" s="218"/>
      <c r="Q56" s="254"/>
      <c r="R56" s="207"/>
      <c r="S56" s="138"/>
      <c r="T56" s="138"/>
      <c r="U56" s="60" t="s">
        <v>27</v>
      </c>
      <c r="V56" s="61" t="s">
        <v>28</v>
      </c>
      <c r="W56" s="62" t="s">
        <v>29</v>
      </c>
      <c r="X56" s="7"/>
    </row>
    <row r="57" ht="14.4" hidden="1">
      <c r="A57" s="165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65"/>
      <c r="Q57" s="165"/>
      <c r="R57" s="193"/>
      <c r="S57" s="127"/>
      <c r="T57" s="127"/>
      <c r="U57" s="127"/>
      <c r="V57" s="127"/>
      <c r="W57" s="128"/>
      <c r="X57" s="7"/>
    </row>
    <row r="58" ht="14.25">
      <c r="A58" s="143"/>
      <c r="B58" s="214" t="s">
        <v>17</v>
      </c>
      <c r="C58" s="481"/>
      <c r="D58" s="214" t="s">
        <v>18</v>
      </c>
      <c r="E58" s="481"/>
      <c r="F58" s="214" t="s">
        <v>19</v>
      </c>
      <c r="G58" s="214"/>
      <c r="H58" s="214" t="s">
        <v>20</v>
      </c>
      <c r="I58" s="481"/>
      <c r="J58" s="482" t="s">
        <v>21</v>
      </c>
      <c r="K58" s="482"/>
      <c r="L58" s="214" t="s">
        <v>22</v>
      </c>
      <c r="M58" s="214"/>
      <c r="N58" s="214" t="s">
        <v>23</v>
      </c>
      <c r="O58" s="214"/>
      <c r="P58" s="208" t="s">
        <v>24</v>
      </c>
      <c r="Q58" s="209"/>
      <c r="R58" s="143"/>
      <c r="S58" s="143"/>
      <c r="T58" s="143"/>
      <c r="U58" s="62"/>
      <c r="V58" s="62"/>
      <c r="W58" s="62"/>
      <c r="X58" s="51"/>
    </row>
    <row r="59" ht="14.25">
      <c r="A59" s="143"/>
      <c r="B59" s="438">
        <v>46097</v>
      </c>
      <c r="C59" s="438"/>
      <c r="D59" s="438">
        <v>46098</v>
      </c>
      <c r="E59" s="438"/>
      <c r="F59" s="438">
        <v>46099</v>
      </c>
      <c r="G59" s="438"/>
      <c r="H59" s="438">
        <v>46100</v>
      </c>
      <c r="I59" s="438"/>
      <c r="J59" s="438">
        <v>46101</v>
      </c>
      <c r="K59" s="438"/>
      <c r="L59" s="438">
        <v>46102</v>
      </c>
      <c r="M59" s="438"/>
      <c r="N59" s="438">
        <v>46103</v>
      </c>
      <c r="O59" s="440"/>
      <c r="P59" s="213" t="s">
        <v>25</v>
      </c>
      <c r="Q59" s="214" t="s">
        <v>26</v>
      </c>
      <c r="R59" s="524"/>
      <c r="S59" s="147"/>
      <c r="T59" s="147"/>
      <c r="U59" s="60" t="s">
        <v>27</v>
      </c>
      <c r="V59" s="61" t="s">
        <v>28</v>
      </c>
      <c r="W59" s="62" t="s">
        <v>29</v>
      </c>
      <c r="X59" s="63" t="s">
        <v>30</v>
      </c>
    </row>
    <row r="60" ht="14.25">
      <c r="A60" s="217" t="s">
        <v>35</v>
      </c>
      <c r="B60" s="354" t="s">
        <v>32</v>
      </c>
      <c r="C60" s="354" t="s">
        <v>33</v>
      </c>
      <c r="D60" s="579" t="s">
        <v>32</v>
      </c>
      <c r="E60" s="578" t="s">
        <v>33</v>
      </c>
      <c r="F60" s="579" t="s">
        <v>32</v>
      </c>
      <c r="G60" s="578" t="s">
        <v>72</v>
      </c>
      <c r="H60" s="579" t="s">
        <v>32</v>
      </c>
      <c r="I60" s="583" t="s">
        <v>72</v>
      </c>
      <c r="J60" s="579" t="s">
        <v>32</v>
      </c>
      <c r="K60" s="578" t="s">
        <v>33</v>
      </c>
      <c r="L60" s="568"/>
      <c r="M60" s="66"/>
      <c r="N60" s="568"/>
      <c r="O60" s="66"/>
      <c r="P60" s="220">
        <f t="shared" si="122"/>
        <v>41</v>
      </c>
      <c r="Q60" s="62">
        <f t="shared" si="126"/>
        <v>55</v>
      </c>
      <c r="R60" s="222" t="str">
        <f t="shared" si="123"/>
        <v>Рычков</v>
      </c>
      <c r="S60" s="76" t="s">
        <v>10</v>
      </c>
      <c r="T60" s="77" t="s">
        <v>9</v>
      </c>
      <c r="U60" s="73">
        <f t="shared" si="127"/>
        <v>0</v>
      </c>
      <c r="V60" s="62">
        <f t="shared" si="128"/>
        <v>0</v>
      </c>
      <c r="W60" s="221"/>
      <c r="X60" s="74" t="s">
        <v>34</v>
      </c>
    </row>
    <row r="61" ht="14.25">
      <c r="A61" s="203" t="s">
        <v>39</v>
      </c>
      <c r="B61" s="578" t="s">
        <v>32</v>
      </c>
      <c r="C61" s="578" t="s">
        <v>33</v>
      </c>
      <c r="D61" s="581" t="s">
        <v>32</v>
      </c>
      <c r="E61" s="583" t="s">
        <v>33</v>
      </c>
      <c r="F61" s="581" t="s">
        <v>32</v>
      </c>
      <c r="G61" s="578" t="s">
        <v>33</v>
      </c>
      <c r="H61" s="581" t="s">
        <v>32</v>
      </c>
      <c r="I61" s="578" t="s">
        <v>33</v>
      </c>
      <c r="J61" s="581" t="s">
        <v>32</v>
      </c>
      <c r="K61" s="578" t="s">
        <v>33</v>
      </c>
      <c r="L61" s="570"/>
      <c r="M61" s="66"/>
      <c r="N61" s="570"/>
      <c r="O61" s="66"/>
      <c r="P61" s="228">
        <f t="shared" si="122"/>
        <v>40</v>
      </c>
      <c r="Q61" s="62">
        <f t="shared" si="126"/>
        <v>56</v>
      </c>
      <c r="R61" s="230" t="str">
        <f t="shared" si="123"/>
        <v>Игумнов</v>
      </c>
      <c r="S61" s="76" t="s">
        <v>10</v>
      </c>
      <c r="T61" s="77" t="s">
        <v>9</v>
      </c>
      <c r="U61" s="73">
        <f t="shared" si="127"/>
        <v>0</v>
      </c>
      <c r="V61" s="62">
        <f t="shared" si="128"/>
        <v>0</v>
      </c>
      <c r="W61" s="229"/>
      <c r="X61" s="79" t="s">
        <v>34</v>
      </c>
    </row>
    <row r="62" ht="14.25">
      <c r="A62" s="203" t="s">
        <v>40</v>
      </c>
      <c r="B62" s="578" t="s">
        <v>32</v>
      </c>
      <c r="C62" s="578" t="s">
        <v>33</v>
      </c>
      <c r="D62" s="578" t="s">
        <v>32</v>
      </c>
      <c r="E62" s="578" t="s">
        <v>33</v>
      </c>
      <c r="F62" s="578" t="s">
        <v>32</v>
      </c>
      <c r="G62" s="578" t="s">
        <v>33</v>
      </c>
      <c r="H62" s="578" t="s">
        <v>32</v>
      </c>
      <c r="I62" s="578" t="s">
        <v>33</v>
      </c>
      <c r="J62" s="578" t="s">
        <v>32</v>
      </c>
      <c r="K62" s="583" t="s">
        <v>33</v>
      </c>
      <c r="L62" s="66"/>
      <c r="M62" s="66"/>
      <c r="N62" s="66"/>
      <c r="O62" s="66"/>
      <c r="P62" s="218">
        <f t="shared" si="122"/>
        <v>40</v>
      </c>
      <c r="Q62" s="62">
        <f t="shared" si="126"/>
        <v>56</v>
      </c>
      <c r="R62" s="219" t="str">
        <f t="shared" si="123"/>
        <v>Душин</v>
      </c>
      <c r="S62" s="76" t="s">
        <v>10</v>
      </c>
      <c r="T62" s="77" t="s">
        <v>9</v>
      </c>
      <c r="U62" s="73">
        <f t="shared" si="127"/>
        <v>0</v>
      </c>
      <c r="V62" s="62">
        <f>COUNTIF(U62,C62)+COUNTIF(U62,E62)+COUNTIF(U62,G62)+COUNTIF(U62,I62)+COUNTIF(U62,K62)+COUNTIF(U62,M62)+COUNTIF(U62,O62)</f>
        <v>0</v>
      </c>
      <c r="W62" s="62"/>
      <c r="X62" s="74" t="s">
        <v>38</v>
      </c>
    </row>
    <row r="63" ht="14.25">
      <c r="A63" s="203" t="s">
        <v>31</v>
      </c>
      <c r="B63" s="578" t="s">
        <v>32</v>
      </c>
      <c r="C63" s="578" t="s">
        <v>33</v>
      </c>
      <c r="D63" s="578" t="s">
        <v>32</v>
      </c>
      <c r="E63" s="583" t="s">
        <v>33</v>
      </c>
      <c r="F63" s="578" t="s">
        <v>32</v>
      </c>
      <c r="G63" s="578" t="s">
        <v>33</v>
      </c>
      <c r="H63" s="578" t="s">
        <v>32</v>
      </c>
      <c r="I63" s="578" t="s">
        <v>33</v>
      </c>
      <c r="J63" s="578" t="s">
        <v>32</v>
      </c>
      <c r="K63" s="578" t="s">
        <v>33</v>
      </c>
      <c r="L63" s="66"/>
      <c r="M63" s="66"/>
      <c r="N63" s="66"/>
      <c r="O63" s="66"/>
      <c r="P63" s="218">
        <f t="shared" si="122"/>
        <v>40</v>
      </c>
      <c r="Q63" s="62">
        <f t="shared" si="126"/>
        <v>56</v>
      </c>
      <c r="R63" s="219" t="str">
        <f t="shared" si="123"/>
        <v>Нетронин</v>
      </c>
      <c r="S63" s="76" t="s">
        <v>58</v>
      </c>
      <c r="T63" s="77" t="s">
        <v>59</v>
      </c>
      <c r="U63" s="73"/>
      <c r="V63" s="62"/>
      <c r="W63" s="62"/>
      <c r="X63" s="74" t="s">
        <v>38</v>
      </c>
    </row>
    <row r="64" ht="14.25">
      <c r="A64" s="203" t="s">
        <v>62</v>
      </c>
      <c r="B64" s="585"/>
      <c r="C64" s="123" t="s">
        <v>33</v>
      </c>
      <c r="D64" s="585"/>
      <c r="E64" s="585" t="s">
        <v>33</v>
      </c>
      <c r="F64" s="123"/>
      <c r="G64" s="123" t="s">
        <v>33</v>
      </c>
      <c r="H64" s="123"/>
      <c r="I64" s="123" t="s">
        <v>33</v>
      </c>
      <c r="J64" s="123"/>
      <c r="K64" s="123" t="s">
        <v>33</v>
      </c>
      <c r="L64" s="586"/>
      <c r="M64" s="586"/>
      <c r="N64" s="586"/>
      <c r="O64" s="122"/>
      <c r="P64" s="218">
        <f t="shared" si="122"/>
        <v>40</v>
      </c>
      <c r="Q64" s="62">
        <f t="shared" si="126"/>
        <v>56</v>
      </c>
      <c r="R64" s="219" t="str">
        <f t="shared" si="123"/>
        <v>Раимова</v>
      </c>
      <c r="S64" s="76" t="s">
        <v>10</v>
      </c>
      <c r="T64" s="77" t="s">
        <v>9</v>
      </c>
      <c r="U64" s="73"/>
      <c r="V64" s="62"/>
      <c r="W64" s="62"/>
      <c r="X64" s="587" t="s">
        <v>44</v>
      </c>
    </row>
    <row r="65" ht="14.25">
      <c r="A65" s="388" t="s">
        <v>43</v>
      </c>
      <c r="B65" s="588" t="s">
        <v>71</v>
      </c>
      <c r="C65" s="359">
        <v>8</v>
      </c>
      <c r="D65" s="512"/>
      <c r="E65" s="589"/>
      <c r="F65" s="67"/>
      <c r="G65" s="362"/>
      <c r="H65" s="76"/>
      <c r="I65" s="361">
        <v>11</v>
      </c>
      <c r="J65" s="590"/>
      <c r="K65" s="361">
        <v>11</v>
      </c>
      <c r="L65" s="512"/>
      <c r="M65" s="367"/>
      <c r="N65" s="591"/>
      <c r="O65" s="362"/>
      <c r="P65" s="218">
        <f t="shared" si="122"/>
        <v>30</v>
      </c>
      <c r="Q65" s="62">
        <f t="shared" si="126"/>
        <v>52</v>
      </c>
      <c r="R65" s="219" t="str">
        <f t="shared" si="123"/>
        <v>Дащенко</v>
      </c>
      <c r="S65" s="71" t="s">
        <v>12</v>
      </c>
      <c r="T65" s="72" t="s">
        <v>11</v>
      </c>
      <c r="U65" s="73">
        <f t="shared" si="127"/>
        <v>0</v>
      </c>
      <c r="V65" s="62">
        <f t="shared" ref="V65:V86" si="129">COUNTIF(S65,B65)+COUNTIF(S65,D65)+COUNTIF(S65,F65)+COUNTIF(S65,H65)+COUNTIF(S65,J65)+COUNTIF(S65,L65)+COUNTIF(S65,N65)</f>
        <v>0</v>
      </c>
      <c r="W65" s="62"/>
      <c r="X65" s="63" t="s">
        <v>44</v>
      </c>
    </row>
    <row r="66" ht="14.25">
      <c r="A66" s="205" t="s">
        <v>45</v>
      </c>
      <c r="B66" s="76"/>
      <c r="C66" s="361">
        <v>11</v>
      </c>
      <c r="D66" s="76"/>
      <c r="E66" s="361">
        <v>11</v>
      </c>
      <c r="F66" s="67"/>
      <c r="G66" s="362"/>
      <c r="H66" s="82"/>
      <c r="I66" s="82"/>
      <c r="J66" s="592"/>
      <c r="K66" s="359">
        <v>11</v>
      </c>
      <c r="L66" s="77" t="s">
        <v>32</v>
      </c>
      <c r="M66" s="359">
        <v>8</v>
      </c>
      <c r="N66" s="77"/>
      <c r="O66" s="451">
        <v>11</v>
      </c>
      <c r="P66" s="218">
        <f t="shared" si="122"/>
        <v>52</v>
      </c>
      <c r="Q66" s="62">
        <f t="shared" si="126"/>
        <v>50</v>
      </c>
      <c r="R66" s="219" t="str">
        <f t="shared" si="123"/>
        <v>Пузырь</v>
      </c>
      <c r="S66" s="76" t="s">
        <v>10</v>
      </c>
      <c r="T66" s="77" t="s">
        <v>9</v>
      </c>
      <c r="U66" s="73">
        <f t="shared" si="127"/>
        <v>0</v>
      </c>
      <c r="V66" s="62">
        <f t="shared" si="129"/>
        <v>0</v>
      </c>
      <c r="W66" s="62"/>
      <c r="X66" s="74" t="s">
        <v>34</v>
      </c>
    </row>
    <row r="67" ht="14.25">
      <c r="A67" s="205" t="s">
        <v>46</v>
      </c>
      <c r="B67" s="67"/>
      <c r="C67" s="362"/>
      <c r="D67" s="67"/>
      <c r="E67" s="362"/>
      <c r="F67" s="77"/>
      <c r="G67" s="359">
        <v>11</v>
      </c>
      <c r="H67" s="77"/>
      <c r="I67" s="359">
        <v>11</v>
      </c>
      <c r="J67" s="67"/>
      <c r="K67" s="362"/>
      <c r="L67" s="77" t="s">
        <v>74</v>
      </c>
      <c r="M67" s="359">
        <v>8</v>
      </c>
      <c r="N67" s="77" t="s">
        <v>32</v>
      </c>
      <c r="O67" s="359">
        <v>8</v>
      </c>
      <c r="P67" s="218">
        <f t="shared" si="122"/>
        <v>38</v>
      </c>
      <c r="Q67" s="62">
        <f t="shared" si="126"/>
        <v>31</v>
      </c>
      <c r="R67" s="219" t="str">
        <f t="shared" si="123"/>
        <v>Голышев</v>
      </c>
      <c r="S67" s="76" t="s">
        <v>10</v>
      </c>
      <c r="T67" s="77" t="s">
        <v>9</v>
      </c>
      <c r="U67" s="73">
        <f t="shared" si="127"/>
        <v>0</v>
      </c>
      <c r="V67" s="62">
        <f t="shared" si="129"/>
        <v>0</v>
      </c>
      <c r="W67" s="62"/>
      <c r="X67" s="74" t="s">
        <v>34</v>
      </c>
    </row>
    <row r="68" ht="14.25">
      <c r="A68" s="205" t="s">
        <v>47</v>
      </c>
      <c r="B68" s="108"/>
      <c r="C68" s="108" t="s">
        <v>33</v>
      </c>
      <c r="D68" s="76"/>
      <c r="E68" s="361">
        <v>11</v>
      </c>
      <c r="F68" s="76"/>
      <c r="G68" s="361">
        <v>11</v>
      </c>
      <c r="H68" s="67"/>
      <c r="I68" s="362"/>
      <c r="J68" s="66"/>
      <c r="K68" s="66"/>
      <c r="L68" s="67"/>
      <c r="M68" s="362"/>
      <c r="N68" s="76"/>
      <c r="O68" s="361">
        <v>11</v>
      </c>
      <c r="P68" s="218">
        <f t="shared" si="122"/>
        <v>41</v>
      </c>
      <c r="Q68" s="62">
        <f t="shared" si="126"/>
        <v>55</v>
      </c>
      <c r="R68" s="219" t="str">
        <f t="shared" si="123"/>
        <v>Торубара</v>
      </c>
      <c r="S68" s="76" t="s">
        <v>10</v>
      </c>
      <c r="T68" s="77" t="s">
        <v>9</v>
      </c>
      <c r="U68" s="73">
        <f t="shared" si="127"/>
        <v>0</v>
      </c>
      <c r="V68" s="62">
        <f t="shared" si="129"/>
        <v>0</v>
      </c>
      <c r="W68" s="62"/>
      <c r="X68" s="74" t="s">
        <v>34</v>
      </c>
    </row>
    <row r="69" ht="14.25">
      <c r="A69" s="205" t="s">
        <v>48</v>
      </c>
      <c r="B69" s="110"/>
      <c r="C69" s="110" t="s">
        <v>33</v>
      </c>
      <c r="D69" s="109"/>
      <c r="E69" s="109" t="s">
        <v>33</v>
      </c>
      <c r="F69" s="108"/>
      <c r="G69" s="108" t="s">
        <v>33</v>
      </c>
      <c r="H69" s="333"/>
      <c r="I69" s="333" t="s">
        <v>33</v>
      </c>
      <c r="J69" s="333"/>
      <c r="K69" s="333" t="s">
        <v>33</v>
      </c>
      <c r="L69" s="108"/>
      <c r="M69" s="108"/>
      <c r="N69" s="108"/>
      <c r="O69" s="108"/>
      <c r="P69" s="218">
        <f t="shared" si="122"/>
        <v>40</v>
      </c>
      <c r="Q69" s="62">
        <f t="shared" si="126"/>
        <v>51</v>
      </c>
      <c r="R69" s="219" t="str">
        <f t="shared" si="123"/>
        <v>Стрыгин</v>
      </c>
      <c r="S69" s="71" t="s">
        <v>8</v>
      </c>
      <c r="T69" s="72" t="s">
        <v>7</v>
      </c>
      <c r="U69" s="73">
        <f t="shared" si="127"/>
        <v>0</v>
      </c>
      <c r="V69" s="62">
        <f t="shared" si="129"/>
        <v>0</v>
      </c>
      <c r="W69" s="62"/>
      <c r="X69" s="74" t="s">
        <v>49</v>
      </c>
    </row>
    <row r="70" ht="14.25">
      <c r="A70" s="205" t="s">
        <v>50</v>
      </c>
      <c r="B70" s="76"/>
      <c r="C70" s="361">
        <v>11</v>
      </c>
      <c r="D70" s="66"/>
      <c r="E70" s="66"/>
      <c r="F70" s="76"/>
      <c r="G70" s="361">
        <v>11</v>
      </c>
      <c r="H70" s="76"/>
      <c r="I70" s="361">
        <v>11</v>
      </c>
      <c r="J70" s="67"/>
      <c r="K70" s="362"/>
      <c r="L70" s="82"/>
      <c r="M70" s="82"/>
      <c r="N70" s="67"/>
      <c r="O70" s="362"/>
      <c r="P70" s="218">
        <f t="shared" si="122"/>
        <v>33</v>
      </c>
      <c r="Q70" s="62">
        <f t="shared" si="126"/>
        <v>47</v>
      </c>
      <c r="R70" s="219" t="str">
        <f t="shared" si="123"/>
        <v>Фрик</v>
      </c>
      <c r="S70" s="71" t="s">
        <v>12</v>
      </c>
      <c r="T70" s="72" t="s">
        <v>11</v>
      </c>
      <c r="U70" s="73">
        <f t="shared" si="127"/>
        <v>0</v>
      </c>
      <c r="V70" s="62">
        <f t="shared" si="129"/>
        <v>0</v>
      </c>
      <c r="W70" s="62"/>
      <c r="X70" s="74" t="s">
        <v>44</v>
      </c>
    </row>
    <row r="71" ht="14.25">
      <c r="A71" s="206" t="s">
        <v>51</v>
      </c>
      <c r="B71" s="77" t="s">
        <v>75</v>
      </c>
      <c r="C71" s="359">
        <v>9</v>
      </c>
      <c r="D71" s="77" t="s">
        <v>74</v>
      </c>
      <c r="E71" s="543">
        <v>8</v>
      </c>
      <c r="F71" s="67"/>
      <c r="G71" s="66"/>
      <c r="H71" s="67"/>
      <c r="I71" s="362"/>
      <c r="J71" s="76"/>
      <c r="K71" s="361">
        <v>11</v>
      </c>
      <c r="L71" s="76"/>
      <c r="M71" s="361">
        <v>11</v>
      </c>
      <c r="N71" s="67"/>
      <c r="O71" s="362"/>
      <c r="P71" s="218">
        <f t="shared" si="122"/>
        <v>39</v>
      </c>
      <c r="Q71" s="62">
        <f t="shared" si="126"/>
        <v>44</v>
      </c>
      <c r="R71" s="219" t="str">
        <f t="shared" si="123"/>
        <v>Истрашкин</v>
      </c>
      <c r="S71" s="71" t="s">
        <v>10</v>
      </c>
      <c r="T71" s="72" t="s">
        <v>9</v>
      </c>
      <c r="U71" s="73">
        <f t="shared" si="127"/>
        <v>0</v>
      </c>
      <c r="V71" s="62">
        <f t="shared" si="129"/>
        <v>0</v>
      </c>
      <c r="W71" s="62"/>
      <c r="X71" s="74" t="s">
        <v>34</v>
      </c>
    </row>
    <row r="72" ht="14.25">
      <c r="A72" s="207"/>
      <c r="B72" s="210">
        <v>46097</v>
      </c>
      <c r="C72" s="210"/>
      <c r="D72" s="210">
        <v>46098</v>
      </c>
      <c r="E72" s="438"/>
      <c r="F72" s="210">
        <v>46099</v>
      </c>
      <c r="G72" s="210"/>
      <c r="H72" s="210">
        <v>46100</v>
      </c>
      <c r="I72" s="210"/>
      <c r="J72" s="210">
        <v>46101</v>
      </c>
      <c r="K72" s="210"/>
      <c r="L72" s="210">
        <v>46102</v>
      </c>
      <c r="M72" s="210"/>
      <c r="N72" s="210">
        <v>46103</v>
      </c>
      <c r="O72" s="506"/>
      <c r="P72" s="218"/>
      <c r="Q72" s="254"/>
      <c r="R72" s="207"/>
      <c r="S72" s="138"/>
      <c r="T72" s="138"/>
      <c r="U72" s="60" t="s">
        <v>27</v>
      </c>
      <c r="V72" s="61" t="s">
        <v>28</v>
      </c>
      <c r="W72" s="62" t="s">
        <v>29</v>
      </c>
      <c r="X72" s="7"/>
    </row>
    <row r="73" ht="14.25">
      <c r="A73" s="139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39"/>
      <c r="Q73" s="127"/>
      <c r="R73" s="139"/>
      <c r="S73" s="139"/>
      <c r="T73" s="139"/>
      <c r="U73" s="127"/>
      <c r="V73" s="127"/>
      <c r="W73" s="128"/>
      <c r="X73" s="7"/>
    </row>
    <row r="74" ht="14.25">
      <c r="A74" s="143"/>
      <c r="B74" s="214" t="s">
        <v>17</v>
      </c>
      <c r="C74" s="481"/>
      <c r="D74" s="214" t="s">
        <v>18</v>
      </c>
      <c r="E74" s="481"/>
      <c r="F74" s="214" t="s">
        <v>19</v>
      </c>
      <c r="G74" s="214"/>
      <c r="H74" s="214" t="s">
        <v>20</v>
      </c>
      <c r="I74" s="481"/>
      <c r="J74" s="482" t="s">
        <v>21</v>
      </c>
      <c r="K74" s="482"/>
      <c r="L74" s="214" t="s">
        <v>22</v>
      </c>
      <c r="M74" s="214"/>
      <c r="N74" s="214" t="s">
        <v>23</v>
      </c>
      <c r="O74" s="214"/>
      <c r="P74" s="208" t="s">
        <v>24</v>
      </c>
      <c r="Q74" s="209"/>
      <c r="R74" s="143"/>
      <c r="S74" s="143"/>
      <c r="T74" s="143"/>
      <c r="U74" s="62"/>
      <c r="V74" s="62"/>
      <c r="W74" s="62"/>
      <c r="X74" s="51"/>
    </row>
    <row r="75" ht="14.25">
      <c r="A75" s="143"/>
      <c r="B75" s="438">
        <v>46104</v>
      </c>
      <c r="C75" s="438"/>
      <c r="D75" s="438">
        <v>46105</v>
      </c>
      <c r="E75" s="438"/>
      <c r="F75" s="438">
        <v>46106</v>
      </c>
      <c r="G75" s="438"/>
      <c r="H75" s="438">
        <v>46107</v>
      </c>
      <c r="I75" s="438"/>
      <c r="J75" s="438">
        <v>46108</v>
      </c>
      <c r="K75" s="438"/>
      <c r="L75" s="438">
        <v>46109</v>
      </c>
      <c r="M75" s="438"/>
      <c r="N75" s="438">
        <v>46110</v>
      </c>
      <c r="O75" s="440"/>
      <c r="P75" s="213" t="s">
        <v>25</v>
      </c>
      <c r="Q75" s="214" t="s">
        <v>26</v>
      </c>
      <c r="R75" s="524"/>
      <c r="S75" s="147"/>
      <c r="T75" s="147"/>
      <c r="U75" s="60" t="s">
        <v>27</v>
      </c>
      <c r="V75" s="61" t="s">
        <v>28</v>
      </c>
      <c r="W75" s="62" t="s">
        <v>29</v>
      </c>
      <c r="X75" s="63" t="s">
        <v>30</v>
      </c>
    </row>
    <row r="76" ht="14.25">
      <c r="A76" s="217" t="s">
        <v>35</v>
      </c>
      <c r="B76" s="354" t="s">
        <v>32</v>
      </c>
      <c r="C76" s="426" t="s">
        <v>33</v>
      </c>
      <c r="D76" s="578" t="s">
        <v>32</v>
      </c>
      <c r="E76" s="579" t="s">
        <v>33</v>
      </c>
      <c r="F76" s="578" t="s">
        <v>32</v>
      </c>
      <c r="G76" s="579" t="s">
        <v>33</v>
      </c>
      <c r="H76" s="578" t="s">
        <v>32</v>
      </c>
      <c r="I76" s="580" t="s">
        <v>33</v>
      </c>
      <c r="J76" s="578" t="s">
        <v>32</v>
      </c>
      <c r="K76" s="579" t="s">
        <v>33</v>
      </c>
      <c r="L76" s="66"/>
      <c r="M76" s="66"/>
      <c r="N76" s="66"/>
      <c r="O76" s="568"/>
      <c r="P76" s="218">
        <f t="shared" ref="P76:P99" si="130">C76+E76+G76+I76+K76+M76+O76</f>
        <v>40</v>
      </c>
      <c r="Q76" s="221">
        <f t="shared" si="126"/>
        <v>15</v>
      </c>
      <c r="R76" s="219" t="str">
        <f t="shared" ref="R76:R99" si="131">A76</f>
        <v>Рычков</v>
      </c>
      <c r="S76" s="532" t="s">
        <v>10</v>
      </c>
      <c r="T76" s="77" t="s">
        <v>9</v>
      </c>
      <c r="U76" s="73">
        <f t="shared" si="127"/>
        <v>0</v>
      </c>
      <c r="V76" s="62">
        <f t="shared" si="129"/>
        <v>0</v>
      </c>
      <c r="W76" s="62"/>
      <c r="X76" s="74" t="s">
        <v>34</v>
      </c>
    </row>
    <row r="77" ht="14.25">
      <c r="A77" s="203" t="s">
        <v>39</v>
      </c>
      <c r="B77" s="578" t="s">
        <v>32</v>
      </c>
      <c r="C77" s="581" t="s">
        <v>33</v>
      </c>
      <c r="D77" s="578" t="s">
        <v>32</v>
      </c>
      <c r="E77" s="582" t="s">
        <v>33</v>
      </c>
      <c r="F77" s="578" t="s">
        <v>32</v>
      </c>
      <c r="G77" s="581" t="s">
        <v>33</v>
      </c>
      <c r="H77" s="578" t="s">
        <v>32</v>
      </c>
      <c r="I77" s="581" t="s">
        <v>33</v>
      </c>
      <c r="J77" s="578" t="s">
        <v>32</v>
      </c>
      <c r="K77" s="581" t="s">
        <v>33</v>
      </c>
      <c r="L77" s="66"/>
      <c r="M77" s="66"/>
      <c r="N77" s="66"/>
      <c r="O77" s="570"/>
      <c r="P77" s="218">
        <f t="shared" si="130"/>
        <v>40</v>
      </c>
      <c r="Q77" s="229">
        <f t="shared" si="126"/>
        <v>16</v>
      </c>
      <c r="R77" s="219" t="str">
        <f t="shared" si="131"/>
        <v>Игумнов</v>
      </c>
      <c r="S77" s="466" t="s">
        <v>10</v>
      </c>
      <c r="T77" s="77" t="s">
        <v>9</v>
      </c>
      <c r="U77" s="73">
        <f t="shared" si="127"/>
        <v>0</v>
      </c>
      <c r="V77" s="62">
        <f t="shared" si="129"/>
        <v>0</v>
      </c>
      <c r="W77" s="62"/>
      <c r="X77" s="79" t="s">
        <v>34</v>
      </c>
    </row>
    <row r="78" ht="14.25">
      <c r="A78" s="203" t="s">
        <v>40</v>
      </c>
      <c r="B78" s="578" t="s">
        <v>32</v>
      </c>
      <c r="C78" s="578" t="s">
        <v>33</v>
      </c>
      <c r="D78" s="578" t="s">
        <v>32</v>
      </c>
      <c r="E78" s="578" t="s">
        <v>33</v>
      </c>
      <c r="F78" s="578" t="s">
        <v>32</v>
      </c>
      <c r="G78" s="578" t="s">
        <v>33</v>
      </c>
      <c r="H78" s="578" t="s">
        <v>32</v>
      </c>
      <c r="I78" s="578" t="s">
        <v>33</v>
      </c>
      <c r="J78" s="578" t="s">
        <v>32</v>
      </c>
      <c r="K78" s="583" t="s">
        <v>33</v>
      </c>
      <c r="L78" s="66"/>
      <c r="M78" s="66"/>
      <c r="N78" s="66"/>
      <c r="O78" s="66"/>
      <c r="P78" s="218">
        <f t="shared" si="130"/>
        <v>40</v>
      </c>
      <c r="Q78" s="62">
        <f t="shared" si="126"/>
        <v>16</v>
      </c>
      <c r="R78" s="219" t="str">
        <f t="shared" si="131"/>
        <v>Душин</v>
      </c>
      <c r="S78" s="76" t="s">
        <v>10</v>
      </c>
      <c r="T78" s="77" t="s">
        <v>9</v>
      </c>
      <c r="U78" s="73">
        <f t="shared" si="127"/>
        <v>0</v>
      </c>
      <c r="V78" s="62">
        <f t="shared" si="129"/>
        <v>0</v>
      </c>
      <c r="W78" s="62"/>
      <c r="X78" s="74" t="s">
        <v>38</v>
      </c>
    </row>
    <row r="79" ht="14.25">
      <c r="A79" s="203" t="s">
        <v>31</v>
      </c>
      <c r="B79" s="578" t="s">
        <v>32</v>
      </c>
      <c r="C79" s="578" t="s">
        <v>33</v>
      </c>
      <c r="D79" s="578" t="s">
        <v>32</v>
      </c>
      <c r="E79" s="583" t="s">
        <v>33</v>
      </c>
      <c r="F79" s="578" t="s">
        <v>32</v>
      </c>
      <c r="G79" s="578" t="s">
        <v>33</v>
      </c>
      <c r="H79" s="578" t="s">
        <v>32</v>
      </c>
      <c r="I79" s="578" t="s">
        <v>33</v>
      </c>
      <c r="J79" s="578" t="s">
        <v>32</v>
      </c>
      <c r="K79" s="578" t="s">
        <v>33</v>
      </c>
      <c r="L79" s="66"/>
      <c r="M79" s="66"/>
      <c r="N79" s="66"/>
      <c r="O79" s="66"/>
      <c r="P79" s="218">
        <f t="shared" si="130"/>
        <v>40</v>
      </c>
      <c r="Q79" s="62">
        <f t="shared" si="126"/>
        <v>16</v>
      </c>
      <c r="R79" s="219" t="str">
        <f t="shared" si="131"/>
        <v>Нетронин</v>
      </c>
      <c r="S79" s="76" t="s">
        <v>58</v>
      </c>
      <c r="T79" s="77" t="s">
        <v>59</v>
      </c>
      <c r="U79" s="73"/>
      <c r="V79" s="62"/>
      <c r="W79" s="62"/>
      <c r="X79" s="74" t="s">
        <v>38</v>
      </c>
    </row>
    <row r="80" ht="14.25">
      <c r="A80" s="203" t="s">
        <v>62</v>
      </c>
      <c r="B80" s="593" t="s">
        <v>32</v>
      </c>
      <c r="C80" s="583" t="s">
        <v>33</v>
      </c>
      <c r="D80" s="578" t="s">
        <v>32</v>
      </c>
      <c r="E80" s="578" t="s">
        <v>33</v>
      </c>
      <c r="F80" s="593" t="s">
        <v>32</v>
      </c>
      <c r="G80" s="593" t="s">
        <v>33</v>
      </c>
      <c r="H80" s="578" t="s">
        <v>32</v>
      </c>
      <c r="I80" s="578" t="s">
        <v>33</v>
      </c>
      <c r="J80" s="578" t="s">
        <v>32</v>
      </c>
      <c r="K80" s="578" t="s">
        <v>33</v>
      </c>
      <c r="L80" s="66"/>
      <c r="M80" s="66"/>
      <c r="N80" s="66"/>
      <c r="O80" s="498"/>
      <c r="P80" s="218">
        <f t="shared" si="130"/>
        <v>40</v>
      </c>
      <c r="Q80" s="62">
        <f t="shared" si="126"/>
        <v>16</v>
      </c>
      <c r="R80" s="219" t="str">
        <f t="shared" si="131"/>
        <v>Раимова</v>
      </c>
      <c r="S80" s="76" t="s">
        <v>10</v>
      </c>
      <c r="T80" s="77" t="s">
        <v>9</v>
      </c>
      <c r="U80" s="73"/>
      <c r="V80" s="62"/>
      <c r="W80" s="62"/>
      <c r="X80" s="91" t="s">
        <v>44</v>
      </c>
    </row>
    <row r="81" ht="14.25">
      <c r="A81" s="205" t="s">
        <v>43</v>
      </c>
      <c r="B81" s="592"/>
      <c r="C81" s="359">
        <v>11</v>
      </c>
      <c r="D81" s="72" t="s">
        <v>71</v>
      </c>
      <c r="E81" s="359">
        <v>8</v>
      </c>
      <c r="F81" s="594"/>
      <c r="G81" s="595"/>
      <c r="H81" s="67"/>
      <c r="I81" s="362"/>
      <c r="J81" s="76"/>
      <c r="K81" s="361">
        <v>11</v>
      </c>
      <c r="L81" s="76"/>
      <c r="M81" s="361">
        <v>11</v>
      </c>
      <c r="N81" s="596"/>
      <c r="O81" s="367"/>
      <c r="P81" s="253">
        <f t="shared" si="130"/>
        <v>41</v>
      </c>
      <c r="Q81" s="62">
        <f t="shared" si="126"/>
        <v>11</v>
      </c>
      <c r="R81" s="219" t="str">
        <f t="shared" si="131"/>
        <v>Дащенко</v>
      </c>
      <c r="S81" s="71" t="s">
        <v>12</v>
      </c>
      <c r="T81" s="72" t="s">
        <v>11</v>
      </c>
      <c r="U81" s="73">
        <f t="shared" si="127"/>
        <v>0</v>
      </c>
      <c r="V81" s="62">
        <f t="shared" si="129"/>
        <v>0</v>
      </c>
      <c r="W81" s="62"/>
      <c r="X81" s="63" t="s">
        <v>44</v>
      </c>
    </row>
    <row r="82" ht="14.25">
      <c r="A82" s="205" t="s">
        <v>45</v>
      </c>
      <c r="B82" s="66"/>
      <c r="C82" s="66"/>
      <c r="D82" s="76"/>
      <c r="E82" s="361">
        <v>11</v>
      </c>
      <c r="F82" s="76"/>
      <c r="G82" s="361">
        <v>11</v>
      </c>
      <c r="H82" s="67"/>
      <c r="I82" s="362"/>
      <c r="J82" s="82"/>
      <c r="K82" s="82"/>
      <c r="L82" s="77" t="s">
        <v>76</v>
      </c>
      <c r="M82" s="359">
        <v>6</v>
      </c>
      <c r="N82" s="77" t="s">
        <v>9</v>
      </c>
      <c r="O82" s="359">
        <v>11</v>
      </c>
      <c r="P82" s="218">
        <f t="shared" si="130"/>
        <v>39</v>
      </c>
      <c r="Q82" s="62">
        <f t="shared" si="126"/>
        <v>11</v>
      </c>
      <c r="R82" s="219" t="str">
        <f t="shared" si="131"/>
        <v>Пузырь</v>
      </c>
      <c r="S82" s="76" t="s">
        <v>10</v>
      </c>
      <c r="T82" s="77" t="s">
        <v>9</v>
      </c>
      <c r="U82" s="73">
        <f t="shared" si="127"/>
        <v>0</v>
      </c>
      <c r="V82" s="62">
        <f t="shared" si="129"/>
        <v>0</v>
      </c>
      <c r="W82" s="62"/>
      <c r="X82" s="74" t="s">
        <v>34</v>
      </c>
    </row>
    <row r="83" ht="14.25">
      <c r="A83" s="205" t="s">
        <v>46</v>
      </c>
      <c r="B83" s="67"/>
      <c r="C83" s="67"/>
      <c r="D83" s="67"/>
      <c r="E83" s="362"/>
      <c r="F83" s="76"/>
      <c r="G83" s="361">
        <v>11</v>
      </c>
      <c r="H83" s="76"/>
      <c r="I83" s="361">
        <v>11</v>
      </c>
      <c r="J83" s="66"/>
      <c r="K83" s="66"/>
      <c r="L83" s="67"/>
      <c r="M83" s="362"/>
      <c r="N83" s="77" t="s">
        <v>77</v>
      </c>
      <c r="O83" s="359">
        <v>9</v>
      </c>
      <c r="P83" s="218">
        <f t="shared" si="130"/>
        <v>31</v>
      </c>
      <c r="Q83" s="62">
        <f t="shared" si="126"/>
        <v>0</v>
      </c>
      <c r="R83" s="219" t="str">
        <f t="shared" si="131"/>
        <v>Голышев</v>
      </c>
      <c r="S83" s="76" t="s">
        <v>10</v>
      </c>
      <c r="T83" s="77" t="s">
        <v>9</v>
      </c>
      <c r="U83" s="73">
        <f t="shared" si="127"/>
        <v>0</v>
      </c>
      <c r="V83" s="62">
        <f t="shared" si="129"/>
        <v>0</v>
      </c>
      <c r="W83" s="62"/>
      <c r="X83" s="74" t="s">
        <v>34</v>
      </c>
    </row>
    <row r="84" ht="14.25">
      <c r="A84" s="205" t="s">
        <v>47</v>
      </c>
      <c r="B84" s="76"/>
      <c r="C84" s="361">
        <v>11</v>
      </c>
      <c r="D84" s="66"/>
      <c r="E84" s="66"/>
      <c r="F84" s="67"/>
      <c r="G84" s="362"/>
      <c r="H84" s="77"/>
      <c r="I84" s="359">
        <v>11</v>
      </c>
      <c r="J84" s="77"/>
      <c r="K84" s="359">
        <v>11</v>
      </c>
      <c r="L84" s="66"/>
      <c r="M84" s="66"/>
      <c r="N84" s="66"/>
      <c r="O84" s="66"/>
      <c r="P84" s="218">
        <f t="shared" si="130"/>
        <v>33</v>
      </c>
      <c r="Q84" s="62">
        <f t="shared" si="126"/>
        <v>22</v>
      </c>
      <c r="R84" s="219" t="str">
        <f t="shared" si="131"/>
        <v>Торубара</v>
      </c>
      <c r="S84" s="76" t="s">
        <v>10</v>
      </c>
      <c r="T84" s="77" t="s">
        <v>9</v>
      </c>
      <c r="U84" s="73">
        <f t="shared" si="127"/>
        <v>0</v>
      </c>
      <c r="V84" s="62">
        <f t="shared" si="129"/>
        <v>0</v>
      </c>
      <c r="W84" s="62"/>
      <c r="X84" s="74" t="s">
        <v>34</v>
      </c>
    </row>
    <row r="85" ht="14.25">
      <c r="A85" s="205" t="s">
        <v>48</v>
      </c>
      <c r="B85" s="76"/>
      <c r="C85" s="361">
        <v>11</v>
      </c>
      <c r="D85" s="76"/>
      <c r="E85" s="361">
        <v>11</v>
      </c>
      <c r="F85" s="66"/>
      <c r="G85" s="66"/>
      <c r="H85" s="67"/>
      <c r="I85" s="66"/>
      <c r="J85" s="77"/>
      <c r="K85" s="359">
        <v>11</v>
      </c>
      <c r="L85" s="77" t="s">
        <v>78</v>
      </c>
      <c r="M85" s="359">
        <v>7</v>
      </c>
      <c r="N85" s="66"/>
      <c r="O85" s="66"/>
      <c r="P85" s="218">
        <f t="shared" si="130"/>
        <v>40</v>
      </c>
      <c r="Q85" s="62">
        <f t="shared" si="126"/>
        <v>11</v>
      </c>
      <c r="R85" s="219" t="str">
        <f t="shared" si="131"/>
        <v>Стрыгин</v>
      </c>
      <c r="S85" s="71" t="s">
        <v>8</v>
      </c>
      <c r="T85" s="72" t="s">
        <v>7</v>
      </c>
      <c r="U85" s="73">
        <f t="shared" si="127"/>
        <v>0</v>
      </c>
      <c r="V85" s="62">
        <f t="shared" si="129"/>
        <v>0</v>
      </c>
      <c r="W85" s="62"/>
      <c r="X85" s="74" t="s">
        <v>49</v>
      </c>
    </row>
    <row r="86" ht="14.25">
      <c r="A86" s="205" t="s">
        <v>50</v>
      </c>
      <c r="B86" s="77" t="s">
        <v>71</v>
      </c>
      <c r="C86" s="359">
        <v>8</v>
      </c>
      <c r="D86" s="82"/>
      <c r="E86" s="82"/>
      <c r="F86" s="597"/>
      <c r="G86" s="362"/>
      <c r="H86" s="76"/>
      <c r="I86" s="361">
        <v>11</v>
      </c>
      <c r="J86" s="76"/>
      <c r="K86" s="361">
        <v>11</v>
      </c>
      <c r="L86" s="66"/>
      <c r="M86" s="66"/>
      <c r="N86" s="67"/>
      <c r="O86" s="362"/>
      <c r="P86" s="218">
        <f t="shared" si="130"/>
        <v>30</v>
      </c>
      <c r="Q86" s="62">
        <f t="shared" si="126"/>
        <v>17</v>
      </c>
      <c r="R86" s="219" t="str">
        <f t="shared" si="131"/>
        <v>Фрик</v>
      </c>
      <c r="S86" s="71" t="s">
        <v>12</v>
      </c>
      <c r="T86" s="72" t="s">
        <v>11</v>
      </c>
      <c r="U86" s="73">
        <f t="shared" si="127"/>
        <v>0</v>
      </c>
      <c r="V86" s="62">
        <f t="shared" si="129"/>
        <v>0</v>
      </c>
      <c r="W86" s="62"/>
      <c r="X86" s="74" t="s">
        <v>44</v>
      </c>
    </row>
    <row r="87" ht="14.25">
      <c r="A87" s="206" t="s">
        <v>51</v>
      </c>
      <c r="B87" s="498"/>
      <c r="C87" s="498"/>
      <c r="D87" s="77"/>
      <c r="E87" s="359">
        <v>11</v>
      </c>
      <c r="F87" s="592"/>
      <c r="G87" s="359">
        <v>11</v>
      </c>
      <c r="H87" s="498"/>
      <c r="I87" s="498"/>
      <c r="J87" s="598"/>
      <c r="K87" s="598"/>
      <c r="L87" s="76"/>
      <c r="M87" s="361">
        <v>11</v>
      </c>
      <c r="N87" s="76"/>
      <c r="O87" s="361">
        <v>11</v>
      </c>
      <c r="P87" s="218">
        <f t="shared" si="130"/>
        <v>44</v>
      </c>
      <c r="Q87" s="62">
        <f t="shared" si="126"/>
        <v>0</v>
      </c>
      <c r="R87" s="219" t="str">
        <f t="shared" si="131"/>
        <v>Истрашкин</v>
      </c>
      <c r="S87" s="71" t="s">
        <v>10</v>
      </c>
      <c r="T87" s="72" t="s">
        <v>9</v>
      </c>
      <c r="U87" s="73">
        <f>COUNTIF(T87,B87)+COUNTIF(T87,D87)+COUNTIF(T87,J87)+COUNTIF(T87,H87)+COUNTIF(T87,#REF!)+COUNTIF(T87,L87)+COUNTIF(T87,N87)</f>
        <v>0</v>
      </c>
      <c r="V87" s="62">
        <f>COUNTIF(S87,B87)+COUNTIF(S87,D87)+COUNTIF(S87,J87)+COUNTIF(S87,H87)+COUNTIF(S87,#REF!)+COUNTIF(S87,L87)+COUNTIF(S87,N87)</f>
        <v>0</v>
      </c>
      <c r="W87" s="62"/>
      <c r="X87" s="74" t="s">
        <v>34</v>
      </c>
    </row>
    <row r="88" ht="14.25">
      <c r="A88" s="207"/>
      <c r="B88" s="438">
        <v>46104</v>
      </c>
      <c r="C88" s="438"/>
      <c r="D88" s="210">
        <v>46105</v>
      </c>
      <c r="E88" s="210"/>
      <c r="F88" s="210">
        <v>46106</v>
      </c>
      <c r="G88" s="210"/>
      <c r="H88" s="438">
        <v>46107</v>
      </c>
      <c r="I88" s="438"/>
      <c r="J88" s="438">
        <v>46108</v>
      </c>
      <c r="K88" s="438"/>
      <c r="L88" s="210">
        <v>46109</v>
      </c>
      <c r="M88" s="210"/>
      <c r="N88" s="210">
        <v>46110</v>
      </c>
      <c r="O88" s="506"/>
      <c r="P88" s="218"/>
      <c r="Q88" s="254"/>
      <c r="R88" s="207"/>
      <c r="S88" s="138"/>
      <c r="T88" s="138"/>
      <c r="U88" s="60" t="s">
        <v>27</v>
      </c>
      <c r="V88" s="61" t="s">
        <v>28</v>
      </c>
      <c r="W88" s="62" t="s">
        <v>29</v>
      </c>
      <c r="X88" s="7"/>
    </row>
    <row r="89" ht="14.25">
      <c r="A89" s="139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39"/>
      <c r="Q89" s="127"/>
      <c r="R89" s="139"/>
      <c r="S89" s="139"/>
      <c r="T89" s="139"/>
      <c r="U89" s="127"/>
      <c r="V89" s="127"/>
      <c r="W89" s="128"/>
      <c r="X89" s="7"/>
    </row>
    <row r="90" ht="14.25">
      <c r="A90" s="143"/>
      <c r="B90" s="214" t="s">
        <v>17</v>
      </c>
      <c r="C90" s="481"/>
      <c r="D90" s="214" t="s">
        <v>18</v>
      </c>
      <c r="E90" s="481"/>
      <c r="F90" s="214" t="s">
        <v>19</v>
      </c>
      <c r="G90" s="214"/>
      <c r="H90" s="214" t="s">
        <v>20</v>
      </c>
      <c r="I90" s="481"/>
      <c r="J90" s="482" t="s">
        <v>21</v>
      </c>
      <c r="K90" s="482"/>
      <c r="L90" s="214" t="s">
        <v>22</v>
      </c>
      <c r="M90" s="214"/>
      <c r="N90" s="214" t="s">
        <v>23</v>
      </c>
      <c r="O90" s="214"/>
      <c r="P90" s="208" t="s">
        <v>24</v>
      </c>
      <c r="Q90" s="209"/>
      <c r="R90" s="143"/>
      <c r="S90" s="143"/>
      <c r="T90" s="143"/>
      <c r="U90" s="62"/>
      <c r="V90" s="62"/>
      <c r="W90" s="62"/>
      <c r="X90" s="51"/>
    </row>
    <row r="91" ht="14.25">
      <c r="A91" s="143"/>
      <c r="B91" s="438">
        <v>46111</v>
      </c>
      <c r="C91" s="438"/>
      <c r="D91" s="438">
        <v>46112</v>
      </c>
      <c r="E91" s="438"/>
      <c r="F91" s="438">
        <v>46113</v>
      </c>
      <c r="G91" s="438"/>
      <c r="H91" s="438">
        <v>46114</v>
      </c>
      <c r="I91" s="438"/>
      <c r="J91" s="438">
        <v>46115</v>
      </c>
      <c r="K91" s="438"/>
      <c r="L91" s="438">
        <v>46116</v>
      </c>
      <c r="M91" s="438"/>
      <c r="N91" s="438">
        <v>46117</v>
      </c>
      <c r="O91" s="440"/>
      <c r="P91" s="213" t="s">
        <v>25</v>
      </c>
      <c r="Q91" s="214" t="s">
        <v>26</v>
      </c>
      <c r="R91" s="524"/>
      <c r="S91" s="147"/>
      <c r="T91" s="147"/>
      <c r="U91" s="60" t="s">
        <v>27</v>
      </c>
      <c r="V91" s="61" t="s">
        <v>28</v>
      </c>
      <c r="W91" s="62" t="s">
        <v>29</v>
      </c>
      <c r="X91" s="63" t="s">
        <v>30</v>
      </c>
    </row>
    <row r="92" ht="14.25">
      <c r="A92" s="217" t="s">
        <v>35</v>
      </c>
      <c r="B92" s="65" t="s">
        <v>32</v>
      </c>
      <c r="C92" s="65" t="s">
        <v>33</v>
      </c>
      <c r="D92" s="65" t="s">
        <v>32</v>
      </c>
      <c r="E92" s="65" t="s">
        <v>33</v>
      </c>
      <c r="F92" s="65"/>
      <c r="G92" s="65"/>
      <c r="H92" s="65"/>
      <c r="I92" s="65"/>
      <c r="J92" s="65"/>
      <c r="K92" s="65"/>
      <c r="L92" s="66"/>
      <c r="M92" s="66"/>
      <c r="N92" s="66"/>
      <c r="O92" s="66"/>
      <c r="P92" s="218">
        <f t="shared" si="130"/>
        <v>16</v>
      </c>
      <c r="Q92" s="221">
        <f t="shared" ref="Q92:Q99" si="132">Q76-P92</f>
        <v>-1</v>
      </c>
      <c r="R92" s="219" t="str">
        <f t="shared" si="131"/>
        <v>Рычков</v>
      </c>
      <c r="S92" s="76" t="s">
        <v>10</v>
      </c>
      <c r="T92" s="77" t="s">
        <v>9</v>
      </c>
      <c r="U92" s="73">
        <f t="shared" ref="U92:U99" si="133">COUNTIF(T92,B92)+COUNTIF(T92,D92)+COUNTIF(T92,F92)+COUNTIF(T92,H92)+COUNTIF(T92,J92)+COUNTIF(T92,L92)+COUNTIF(T92,N92)</f>
        <v>0</v>
      </c>
      <c r="V92" s="221">
        <f t="shared" ref="V92:V99" si="134">COUNTIF(S92,B92)+COUNTIF(S92,D92)+COUNTIF(S92,F92)+COUNTIF(S92,H92)+COUNTIF(S92,J92)+COUNTIF(S92,L92)+COUNTIF(S92,N92)</f>
        <v>0</v>
      </c>
      <c r="W92" s="62"/>
      <c r="X92" s="74" t="s">
        <v>34</v>
      </c>
    </row>
    <row r="93" ht="14.25">
      <c r="A93" s="203" t="s">
        <v>39</v>
      </c>
      <c r="B93" s="65" t="s">
        <v>32</v>
      </c>
      <c r="C93" s="65" t="s">
        <v>33</v>
      </c>
      <c r="D93" s="65" t="s">
        <v>32</v>
      </c>
      <c r="E93" s="65" t="s">
        <v>33</v>
      </c>
      <c r="F93" s="65"/>
      <c r="G93" s="65"/>
      <c r="H93" s="65"/>
      <c r="I93" s="65"/>
      <c r="J93" s="65"/>
      <c r="K93" s="65"/>
      <c r="L93" s="66"/>
      <c r="M93" s="66"/>
      <c r="N93" s="66"/>
      <c r="O93" s="66"/>
      <c r="P93" s="218">
        <f t="shared" si="130"/>
        <v>16</v>
      </c>
      <c r="Q93" s="229">
        <f t="shared" si="132"/>
        <v>0</v>
      </c>
      <c r="R93" s="219" t="str">
        <f t="shared" si="131"/>
        <v>Игумнов</v>
      </c>
      <c r="S93" s="76" t="s">
        <v>10</v>
      </c>
      <c r="T93" s="77" t="s">
        <v>9</v>
      </c>
      <c r="U93" s="73">
        <f t="shared" si="133"/>
        <v>0</v>
      </c>
      <c r="V93" s="229">
        <f t="shared" si="134"/>
        <v>0</v>
      </c>
      <c r="W93" s="62"/>
      <c r="X93" s="79" t="s">
        <v>34</v>
      </c>
    </row>
    <row r="94" ht="14.25">
      <c r="A94" s="203" t="s">
        <v>40</v>
      </c>
      <c r="B94" s="65" t="s">
        <v>32</v>
      </c>
      <c r="C94" s="65" t="s">
        <v>33</v>
      </c>
      <c r="D94" s="65" t="s">
        <v>32</v>
      </c>
      <c r="E94" s="65" t="s">
        <v>33</v>
      </c>
      <c r="F94" s="65"/>
      <c r="G94" s="65"/>
      <c r="H94" s="65"/>
      <c r="I94" s="65"/>
      <c r="J94" s="65"/>
      <c r="K94" s="65"/>
      <c r="L94" s="66"/>
      <c r="M94" s="66"/>
      <c r="N94" s="66"/>
      <c r="O94" s="66"/>
      <c r="P94" s="218">
        <f t="shared" si="130"/>
        <v>16</v>
      </c>
      <c r="Q94" s="62">
        <f t="shared" si="132"/>
        <v>0</v>
      </c>
      <c r="R94" s="219" t="str">
        <f t="shared" si="131"/>
        <v>Душин</v>
      </c>
      <c r="S94" s="76" t="s">
        <v>10</v>
      </c>
      <c r="T94" s="77" t="s">
        <v>9</v>
      </c>
      <c r="U94" s="73">
        <f t="shared" si="133"/>
        <v>0</v>
      </c>
      <c r="V94" s="62">
        <f t="shared" si="134"/>
        <v>0</v>
      </c>
      <c r="W94" s="62"/>
      <c r="X94" s="74" t="s">
        <v>38</v>
      </c>
    </row>
    <row r="95" ht="14.25">
      <c r="A95" s="203" t="s">
        <v>31</v>
      </c>
      <c r="B95" s="354" t="s">
        <v>32</v>
      </c>
      <c r="C95" s="354" t="s">
        <v>33</v>
      </c>
      <c r="D95" s="354" t="s">
        <v>32</v>
      </c>
      <c r="E95" s="354" t="s">
        <v>33</v>
      </c>
      <c r="F95" s="65"/>
      <c r="G95" s="65"/>
      <c r="H95" s="65"/>
      <c r="I95" s="65"/>
      <c r="J95" s="65"/>
      <c r="K95" s="65"/>
      <c r="L95" s="66"/>
      <c r="M95" s="66"/>
      <c r="N95" s="66"/>
      <c r="O95" s="66"/>
      <c r="P95" s="218">
        <f t="shared" si="130"/>
        <v>16</v>
      </c>
      <c r="Q95" s="62">
        <f t="shared" si="132"/>
        <v>0</v>
      </c>
      <c r="R95" s="219" t="str">
        <f t="shared" si="131"/>
        <v>Нетронин</v>
      </c>
      <c r="S95" s="76" t="s">
        <v>58</v>
      </c>
      <c r="T95" s="77" t="s">
        <v>59</v>
      </c>
      <c r="U95" s="73"/>
      <c r="V95" s="62"/>
      <c r="W95" s="62"/>
      <c r="X95" s="74" t="s">
        <v>38</v>
      </c>
    </row>
    <row r="96" ht="14.25">
      <c r="A96" s="203" t="s">
        <v>62</v>
      </c>
      <c r="B96" s="599" t="s">
        <v>32</v>
      </c>
      <c r="C96" s="65" t="s">
        <v>33</v>
      </c>
      <c r="D96" s="599" t="s">
        <v>32</v>
      </c>
      <c r="E96" s="65" t="s">
        <v>33</v>
      </c>
      <c r="F96" s="599"/>
      <c r="G96" s="599"/>
      <c r="H96" s="599"/>
      <c r="I96" s="599"/>
      <c r="J96" s="599"/>
      <c r="K96" s="599"/>
      <c r="L96" s="498"/>
      <c r="M96" s="498"/>
      <c r="N96" s="498"/>
      <c r="O96" s="498"/>
      <c r="P96" s="218">
        <f t="shared" si="130"/>
        <v>16</v>
      </c>
      <c r="Q96" s="62">
        <f t="shared" si="132"/>
        <v>0</v>
      </c>
      <c r="R96" s="219" t="str">
        <f t="shared" si="131"/>
        <v>Раимова</v>
      </c>
      <c r="S96" s="76" t="s">
        <v>10</v>
      </c>
      <c r="T96" s="77" t="s">
        <v>9</v>
      </c>
      <c r="U96" s="73"/>
      <c r="V96" s="62"/>
      <c r="W96" s="62"/>
      <c r="X96" s="587" t="s">
        <v>44</v>
      </c>
    </row>
    <row r="97" ht="14.25">
      <c r="A97" s="388" t="s">
        <v>43</v>
      </c>
      <c r="B97" s="600"/>
      <c r="C97" s="601"/>
      <c r="D97" s="602"/>
      <c r="E97" s="359">
        <v>11</v>
      </c>
      <c r="F97" s="603"/>
      <c r="G97" s="604"/>
      <c r="H97" s="605"/>
      <c r="I97" s="605"/>
      <c r="J97" s="443"/>
      <c r="K97" s="443"/>
      <c r="L97" s="606"/>
      <c r="M97" s="606"/>
      <c r="N97" s="606"/>
      <c r="O97" s="606"/>
      <c r="P97" s="253">
        <f t="shared" si="130"/>
        <v>11</v>
      </c>
      <c r="Q97" s="62">
        <f t="shared" si="132"/>
        <v>0</v>
      </c>
      <c r="R97" s="219" t="str">
        <f t="shared" si="131"/>
        <v>Дащенко</v>
      </c>
      <c r="S97" s="71" t="s">
        <v>12</v>
      </c>
      <c r="T97" s="72" t="s">
        <v>11</v>
      </c>
      <c r="U97" s="73">
        <f t="shared" si="133"/>
        <v>0</v>
      </c>
      <c r="V97" s="62">
        <f t="shared" si="134"/>
        <v>0</v>
      </c>
      <c r="W97" s="62"/>
      <c r="X97" s="63" t="s">
        <v>44</v>
      </c>
    </row>
    <row r="98" ht="14.25">
      <c r="A98" s="388" t="s">
        <v>45</v>
      </c>
      <c r="B98" s="588"/>
      <c r="C98" s="359">
        <v>11</v>
      </c>
      <c r="D98" s="573"/>
      <c r="E98" s="66"/>
      <c r="F98" s="325"/>
      <c r="G98" s="325"/>
      <c r="H98" s="256"/>
      <c r="I98" s="256"/>
      <c r="J98" s="82"/>
      <c r="K98" s="82"/>
      <c r="L98" s="607"/>
      <c r="M98" s="607"/>
      <c r="N98" s="607"/>
      <c r="O98" s="607"/>
      <c r="P98" s="218">
        <f t="shared" si="130"/>
        <v>11</v>
      </c>
      <c r="Q98" s="62">
        <f t="shared" si="132"/>
        <v>0</v>
      </c>
      <c r="R98" s="219" t="str">
        <f t="shared" si="131"/>
        <v>Пузырь</v>
      </c>
      <c r="S98" s="76" t="s">
        <v>10</v>
      </c>
      <c r="T98" s="77" t="s">
        <v>9</v>
      </c>
      <c r="U98" s="73">
        <f t="shared" si="133"/>
        <v>0</v>
      </c>
      <c r="V98" s="62">
        <f t="shared" si="134"/>
        <v>0</v>
      </c>
      <c r="W98" s="62"/>
      <c r="X98" s="74" t="s">
        <v>34</v>
      </c>
    </row>
    <row r="99" ht="14.25">
      <c r="A99" s="205" t="s">
        <v>46</v>
      </c>
      <c r="B99" s="67"/>
      <c r="C99" s="362"/>
      <c r="D99" s="67"/>
      <c r="E99" s="67"/>
      <c r="F99" s="67"/>
      <c r="G99" s="67"/>
      <c r="H99" s="608"/>
      <c r="I99" s="608"/>
      <c r="J99" s="607"/>
      <c r="K99" s="607"/>
      <c r="L99" s="82"/>
      <c r="M99" s="82"/>
      <c r="N99" s="66"/>
      <c r="O99" s="66"/>
      <c r="P99" s="218">
        <f t="shared" si="130"/>
        <v>0</v>
      </c>
      <c r="Q99" s="62">
        <f t="shared" si="132"/>
        <v>0</v>
      </c>
      <c r="R99" s="219" t="str">
        <f t="shared" si="131"/>
        <v>Голышев</v>
      </c>
      <c r="S99" s="76" t="s">
        <v>10</v>
      </c>
      <c r="T99" s="77" t="s">
        <v>9</v>
      </c>
      <c r="U99" s="73">
        <f t="shared" si="133"/>
        <v>0</v>
      </c>
      <c r="V99" s="62">
        <f t="shared" si="134"/>
        <v>0</v>
      </c>
      <c r="W99" s="62"/>
      <c r="X99" s="74" t="s">
        <v>34</v>
      </c>
    </row>
    <row r="100" ht="14.25">
      <c r="A100" s="205" t="s">
        <v>47</v>
      </c>
      <c r="B100" s="76"/>
      <c r="C100" s="361">
        <v>11</v>
      </c>
      <c r="D100" s="76"/>
      <c r="E100" s="361">
        <v>11</v>
      </c>
      <c r="F100" s="82"/>
      <c r="G100" s="82"/>
      <c r="H100" s="324"/>
      <c r="I100" s="324"/>
      <c r="J100" s="325"/>
      <c r="K100" s="325"/>
      <c r="L100" s="195"/>
      <c r="M100" s="195"/>
      <c r="N100" s="66"/>
      <c r="O100" s="66"/>
      <c r="P100" s="218">
        <f t="shared" ref="P100:P103" si="135">C100+E100+G100+I100+K100+M100+O100</f>
        <v>22</v>
      </c>
      <c r="Q100" s="62">
        <f t="shared" ref="Q100:Q103" si="136">Q84-P100</f>
        <v>0</v>
      </c>
      <c r="R100" s="219" t="str">
        <f t="shared" ref="R100:R103" si="137">A100</f>
        <v>Торубара</v>
      </c>
      <c r="S100" s="76" t="s">
        <v>10</v>
      </c>
      <c r="T100" s="77" t="s">
        <v>9</v>
      </c>
      <c r="U100" s="73">
        <f t="shared" ref="U100:U103" si="138">COUNTIF(T100,B100)+COUNTIF(T100,D100)+COUNTIF(T100,F100)+COUNTIF(T100,H100)+COUNTIF(T100,J100)+COUNTIF(T100,L100)+COUNTIF(T100,N100)</f>
        <v>0</v>
      </c>
      <c r="V100" s="62">
        <f t="shared" ref="V100:V103" si="139">COUNTIF(S100,B100)+COUNTIF(S100,D100)+COUNTIF(S100,F100)+COUNTIF(S100,H100)+COUNTIF(S100,J100)+COUNTIF(S100,L100)+COUNTIF(S100,N100)</f>
        <v>0</v>
      </c>
      <c r="W100" s="62"/>
      <c r="X100" s="74" t="s">
        <v>34</v>
      </c>
    </row>
    <row r="101" ht="14.25">
      <c r="A101" s="205" t="s">
        <v>48</v>
      </c>
      <c r="B101" s="66"/>
      <c r="C101" s="66"/>
      <c r="D101" s="76"/>
      <c r="E101" s="361">
        <v>11</v>
      </c>
      <c r="F101" s="607"/>
      <c r="G101" s="607"/>
      <c r="H101" s="67"/>
      <c r="I101" s="66"/>
      <c r="J101" s="82"/>
      <c r="K101" s="82"/>
      <c r="L101" s="607"/>
      <c r="M101" s="607"/>
      <c r="N101" s="607"/>
      <c r="O101" s="607"/>
      <c r="P101" s="218">
        <f t="shared" si="135"/>
        <v>11</v>
      </c>
      <c r="Q101" s="62">
        <f t="shared" si="136"/>
        <v>0</v>
      </c>
      <c r="R101" s="219" t="str">
        <f t="shared" si="137"/>
        <v>Стрыгин</v>
      </c>
      <c r="S101" s="71" t="s">
        <v>8</v>
      </c>
      <c r="T101" s="72" t="s">
        <v>7</v>
      </c>
      <c r="U101" s="73">
        <f t="shared" si="138"/>
        <v>0</v>
      </c>
      <c r="V101" s="62">
        <f t="shared" si="139"/>
        <v>0</v>
      </c>
      <c r="W101" s="62"/>
      <c r="X101" s="74" t="s">
        <v>49</v>
      </c>
    </row>
    <row r="102" ht="14.25">
      <c r="A102" s="205" t="s">
        <v>50</v>
      </c>
      <c r="B102" s="77" t="s">
        <v>79</v>
      </c>
      <c r="C102" s="359">
        <v>9</v>
      </c>
      <c r="D102" s="262" t="s">
        <v>80</v>
      </c>
      <c r="E102" s="359">
        <v>8</v>
      </c>
      <c r="F102" s="82"/>
      <c r="G102" s="82"/>
      <c r="H102" s="66"/>
      <c r="I102" s="66"/>
      <c r="J102" s="325"/>
      <c r="K102" s="325"/>
      <c r="L102" s="609"/>
      <c r="M102" s="609"/>
      <c r="N102" s="82"/>
      <c r="O102" s="82"/>
      <c r="P102" s="218">
        <f t="shared" si="135"/>
        <v>17</v>
      </c>
      <c r="Q102" s="62">
        <f t="shared" si="136"/>
        <v>0</v>
      </c>
      <c r="R102" s="219" t="str">
        <f t="shared" si="137"/>
        <v>Фрик</v>
      </c>
      <c r="S102" s="71" t="s">
        <v>12</v>
      </c>
      <c r="T102" s="72" t="s">
        <v>11</v>
      </c>
      <c r="U102" s="73">
        <f t="shared" si="138"/>
        <v>0</v>
      </c>
      <c r="V102" s="62">
        <f t="shared" si="139"/>
        <v>0</v>
      </c>
      <c r="W102" s="62"/>
      <c r="X102" s="74" t="s">
        <v>44</v>
      </c>
    </row>
    <row r="103" ht="14.25">
      <c r="A103" s="206" t="s">
        <v>51</v>
      </c>
      <c r="B103" s="498"/>
      <c r="C103" s="498"/>
      <c r="D103" s="498"/>
      <c r="E103" s="498"/>
      <c r="F103" s="610"/>
      <c r="G103" s="610"/>
      <c r="H103" s="610"/>
      <c r="I103" s="610"/>
      <c r="J103" s="66"/>
      <c r="K103" s="66"/>
      <c r="L103" s="82"/>
      <c r="M103" s="82"/>
      <c r="N103" s="609"/>
      <c r="O103" s="609"/>
      <c r="P103" s="218">
        <f t="shared" si="135"/>
        <v>0</v>
      </c>
      <c r="Q103" s="62">
        <f t="shared" si="136"/>
        <v>0</v>
      </c>
      <c r="R103" s="219" t="str">
        <f t="shared" si="137"/>
        <v>Истрашкин</v>
      </c>
      <c r="S103" s="71" t="s">
        <v>10</v>
      </c>
      <c r="T103" s="72" t="s">
        <v>9</v>
      </c>
      <c r="U103" s="73">
        <f t="shared" si="138"/>
        <v>0</v>
      </c>
      <c r="V103" s="62">
        <f t="shared" si="139"/>
        <v>0</v>
      </c>
      <c r="W103" s="62"/>
      <c r="X103" s="74" t="s">
        <v>34</v>
      </c>
    </row>
    <row r="104" ht="14.25">
      <c r="A104" s="207"/>
      <c r="B104" s="611">
        <v>46111</v>
      </c>
      <c r="C104" s="611"/>
      <c r="D104" s="611">
        <v>46112</v>
      </c>
      <c r="E104" s="611"/>
      <c r="F104" s="211">
        <v>46113</v>
      </c>
      <c r="G104" s="211"/>
      <c r="H104" s="211">
        <v>46114</v>
      </c>
      <c r="I104" s="211"/>
      <c r="J104" s="211">
        <v>46115</v>
      </c>
      <c r="K104" s="211"/>
      <c r="L104" s="211">
        <v>46116</v>
      </c>
      <c r="M104" s="211"/>
      <c r="N104" s="211">
        <v>46117</v>
      </c>
      <c r="O104" s="612"/>
      <c r="P104" s="218"/>
      <c r="Q104" s="254"/>
      <c r="R104" s="613"/>
      <c r="S104" s="138"/>
      <c r="T104" s="614"/>
      <c r="U104" s="60" t="s">
        <v>27</v>
      </c>
      <c r="V104" s="615" t="s">
        <v>28</v>
      </c>
      <c r="W104" s="62" t="s">
        <v>29</v>
      </c>
      <c r="X104" s="7"/>
    </row>
    <row r="105" ht="14.25">
      <c r="X105" s="518"/>
    </row>
    <row r="106" ht="14.25">
      <c r="X106" s="518"/>
    </row>
    <row r="107" ht="14.25">
      <c r="X107" s="518"/>
    </row>
    <row r="108" ht="14.25">
      <c r="X108" s="518"/>
    </row>
    <row r="109" ht="14.25">
      <c r="X109" s="518"/>
    </row>
    <row r="110" ht="14.25">
      <c r="X110" s="518"/>
    </row>
    <row r="111" ht="14.25">
      <c r="X111" s="518"/>
    </row>
    <row r="112" ht="14.25">
      <c r="X112" s="518"/>
    </row>
    <row r="113" ht="14.25">
      <c r="X113" s="518"/>
    </row>
    <row r="114" ht="14.25">
      <c r="X114" s="518"/>
    </row>
    <row r="115" ht="14.25">
      <c r="X115" s="518"/>
    </row>
    <row r="116" ht="14.25">
      <c r="X116" s="518"/>
    </row>
    <row r="117" ht="14.25">
      <c r="X117" s="518"/>
    </row>
    <row r="118" ht="14.25">
      <c r="X118" s="518"/>
    </row>
    <row r="119" ht="14.25">
      <c r="X119" s="518"/>
    </row>
    <row r="120" ht="14.25">
      <c r="X120" s="518"/>
    </row>
    <row r="121" ht="14.25">
      <c r="X121" s="518"/>
    </row>
    <row r="122" ht="14.25">
      <c r="X122" s="518"/>
    </row>
    <row r="123" ht="14.25">
      <c r="X123" s="518"/>
    </row>
    <row r="124" ht="14.25">
      <c r="X124" s="518"/>
    </row>
    <row r="125" ht="14.25">
      <c r="X125" s="518"/>
    </row>
    <row r="126" ht="14.25">
      <c r="X126" s="518"/>
    </row>
    <row r="127" ht="14.25">
      <c r="X127" s="518"/>
    </row>
    <row r="128" ht="14.25">
      <c r="X128" s="518"/>
    </row>
    <row r="129" ht="14.4">
      <c r="X129" s="518"/>
    </row>
    <row r="130" ht="14.4">
      <c r="X130" s="518"/>
    </row>
    <row r="131" ht="14.4">
      <c r="X131" s="518"/>
    </row>
    <row r="132" ht="14.4">
      <c r="X132" s="518"/>
    </row>
    <row r="133" ht="14.4">
      <c r="X133" s="518"/>
    </row>
    <row r="134" ht="14.4">
      <c r="X134" s="518"/>
    </row>
    <row r="135" ht="14.4">
      <c r="X135" s="518"/>
    </row>
    <row r="136" ht="14.4">
      <c r="X136" s="518"/>
    </row>
    <row r="137" ht="14.4">
      <c r="X137" s="518"/>
    </row>
    <row r="138" ht="14.4">
      <c r="X138" s="518"/>
    </row>
    <row r="139" ht="14.4">
      <c r="X139" s="518"/>
    </row>
    <row r="140" ht="14.4">
      <c r="X140" s="518"/>
    </row>
    <row r="141" ht="14.4">
      <c r="X141" s="518"/>
    </row>
    <row r="142" ht="14.4">
      <c r="X142" s="518"/>
    </row>
    <row r="143" ht="14.4">
      <c r="X143" s="518"/>
    </row>
    <row r="144" ht="14.4">
      <c r="X144" s="518"/>
    </row>
    <row r="145" ht="14.4">
      <c r="X145" s="518"/>
    </row>
    <row r="146" ht="14.4">
      <c r="X146" s="518"/>
    </row>
    <row r="147" ht="14.4">
      <c r="X147" s="518"/>
    </row>
    <row r="148" ht="14.4">
      <c r="X148" s="518"/>
    </row>
    <row r="149" ht="14.4">
      <c r="X149" s="518"/>
    </row>
    <row r="150" ht="14.4">
      <c r="X150" s="518"/>
    </row>
    <row r="151" ht="14.4">
      <c r="X151" s="518"/>
    </row>
    <row r="152" ht="14.4">
      <c r="X152" s="518"/>
    </row>
    <row r="153" ht="14.4">
      <c r="X153" s="518"/>
    </row>
    <row r="154" ht="14.4">
      <c r="X154" s="518"/>
    </row>
    <row r="155" ht="14.4">
      <c r="X155" s="518"/>
    </row>
    <row r="156" ht="14.4">
      <c r="X156" s="518"/>
    </row>
    <row r="157" ht="14.4">
      <c r="X157" s="518"/>
    </row>
    <row r="158" ht="14.4">
      <c r="X158" s="518"/>
    </row>
    <row r="159" ht="14.4">
      <c r="X159" s="518"/>
    </row>
    <row r="160" ht="14.4">
      <c r="X160" s="518"/>
    </row>
    <row r="161" ht="14.4">
      <c r="X161" s="518"/>
    </row>
    <row r="162" ht="14.4">
      <c r="X162" s="518"/>
    </row>
    <row r="163" ht="14.4">
      <c r="X163" s="518"/>
    </row>
    <row r="164" ht="14.4">
      <c r="X164" s="518"/>
    </row>
    <row r="165" ht="14.4">
      <c r="X165" s="518"/>
    </row>
    <row r="166" ht="14.4">
      <c r="X166" s="518"/>
    </row>
    <row r="167" ht="14.4">
      <c r="X167" s="518"/>
    </row>
    <row r="168" ht="14.4">
      <c r="X168" s="518"/>
    </row>
    <row r="169" ht="14.4">
      <c r="X169" s="518"/>
    </row>
    <row r="170" ht="14.4">
      <c r="X170" s="518"/>
    </row>
    <row r="171" ht="14.4">
      <c r="X171" s="518"/>
    </row>
    <row r="172" ht="14.4">
      <c r="X172" s="518"/>
    </row>
    <row r="173" ht="14.4">
      <c r="X173" s="518"/>
    </row>
    <row r="174" ht="14.4">
      <c r="X174" s="518"/>
    </row>
    <row r="175" ht="14.4">
      <c r="X175" s="518"/>
    </row>
    <row r="176" ht="14.4">
      <c r="X176" s="518"/>
    </row>
    <row r="177" ht="14.4">
      <c r="X177" s="518"/>
    </row>
    <row r="178" ht="14.4">
      <c r="X178" s="518"/>
    </row>
    <row r="179" ht="14.4">
      <c r="X179" s="518"/>
    </row>
    <row r="180" ht="14.4">
      <c r="X180" s="518"/>
    </row>
    <row r="181" ht="14.4">
      <c r="X181" s="518"/>
    </row>
    <row r="182" ht="14.4">
      <c r="X182" s="518"/>
    </row>
    <row r="183" ht="14.4">
      <c r="X183" s="518"/>
    </row>
    <row r="184" ht="14.4">
      <c r="X184" s="518"/>
    </row>
    <row r="185" ht="14.4">
      <c r="X185" s="518"/>
    </row>
    <row r="186" ht="14.4">
      <c r="X186" s="518"/>
    </row>
    <row r="187" ht="14.4">
      <c r="X187" s="518"/>
    </row>
    <row r="188" ht="14.4">
      <c r="X188" s="518"/>
    </row>
    <row r="189" ht="14.4">
      <c r="X189" s="518"/>
    </row>
    <row r="190" ht="14.4">
      <c r="X190" s="518"/>
    </row>
    <row r="191" ht="14.4">
      <c r="X191" s="518"/>
    </row>
    <row r="192" ht="14.4">
      <c r="X192" s="518"/>
    </row>
    <row r="193" ht="14.4">
      <c r="X193" s="518"/>
    </row>
    <row r="194" ht="14.4">
      <c r="X194" s="518"/>
    </row>
    <row r="195" ht="14.4">
      <c r="X195" s="518"/>
    </row>
    <row r="196" ht="14.4">
      <c r="X196" s="518"/>
    </row>
    <row r="197" ht="14.4">
      <c r="X197" s="518"/>
    </row>
    <row r="198" ht="14.4">
      <c r="X198" s="518"/>
    </row>
    <row r="199" ht="14.4">
      <c r="X199" s="518"/>
    </row>
    <row r="200" ht="14.4">
      <c r="X200" s="518"/>
    </row>
    <row r="201" ht="14.4">
      <c r="X201" s="518"/>
    </row>
    <row r="202" ht="14.4">
      <c r="X202" s="518"/>
    </row>
    <row r="203" ht="14.4">
      <c r="X203" s="518"/>
    </row>
    <row r="204" ht="14.4">
      <c r="X204" s="518"/>
    </row>
    <row r="205" ht="14.4">
      <c r="X205" s="518"/>
    </row>
    <row r="206" ht="14.4">
      <c r="X206" s="518"/>
    </row>
    <row r="207" ht="14.4">
      <c r="X207" s="518"/>
    </row>
    <row r="208" ht="14.4">
      <c r="X208" s="518"/>
    </row>
    <row r="209" ht="14.4">
      <c r="X209" s="518"/>
    </row>
    <row r="210" ht="14.4">
      <c r="X210" s="518"/>
    </row>
    <row r="211" ht="14.4">
      <c r="X211" s="518"/>
    </row>
    <row r="212" ht="14.4">
      <c r="X212" s="518"/>
    </row>
    <row r="213" ht="14.4">
      <c r="X213" s="518"/>
    </row>
    <row r="214" ht="14.4">
      <c r="X214" s="518"/>
    </row>
    <row r="215" ht="14.4">
      <c r="X215" s="518"/>
    </row>
    <row r="216" ht="14.4">
      <c r="X216" s="518"/>
    </row>
    <row r="217" ht="14.4">
      <c r="X217" s="518"/>
    </row>
    <row r="218" ht="14.4">
      <c r="X218" s="518"/>
    </row>
    <row r="219" ht="14.4">
      <c r="X219" s="518"/>
    </row>
    <row r="220" ht="14.4">
      <c r="X220" s="518"/>
    </row>
    <row r="221" ht="14.4">
      <c r="X221" s="518"/>
    </row>
    <row r="222" ht="14.4">
      <c r="X222" s="518"/>
    </row>
    <row r="223" ht="14.4">
      <c r="X223" s="518"/>
    </row>
    <row r="224" ht="14.4">
      <c r="X224" s="518"/>
    </row>
    <row r="225" ht="14.4">
      <c r="X225" s="518"/>
    </row>
    <row r="226" ht="14.4">
      <c r="X226" s="518"/>
    </row>
    <row r="227" ht="14.4">
      <c r="X227" s="518"/>
    </row>
    <row r="228" ht="14.4">
      <c r="X228" s="518"/>
    </row>
    <row r="229" ht="14.4">
      <c r="X229" s="518"/>
    </row>
    <row r="230" ht="14.4">
      <c r="X230" s="518"/>
    </row>
    <row r="231" ht="14.4">
      <c r="X231" s="518"/>
    </row>
    <row r="232" ht="14.4">
      <c r="X232" s="518"/>
    </row>
    <row r="233" ht="14.4">
      <c r="X233" s="518"/>
    </row>
    <row r="234" ht="14.4">
      <c r="X234" s="518"/>
    </row>
    <row r="235" ht="14.4">
      <c r="X235" s="518"/>
    </row>
    <row r="236" ht="14.4">
      <c r="X236" s="518"/>
    </row>
    <row r="237" ht="14.4">
      <c r="X237" s="518"/>
    </row>
    <row r="238" ht="14.4">
      <c r="X238" s="518"/>
    </row>
    <row r="239" ht="14.4">
      <c r="X239" s="518"/>
    </row>
    <row r="240" ht="14.4">
      <c r="X240" s="518"/>
    </row>
    <row r="241" ht="14.4">
      <c r="X241" s="518"/>
    </row>
    <row r="242" ht="14.4">
      <c r="X242" s="518"/>
    </row>
    <row r="243" ht="14.4">
      <c r="X243" s="518"/>
    </row>
    <row r="244" ht="14.4">
      <c r="X244" s="518"/>
    </row>
    <row r="245" ht="14.4">
      <c r="X245" s="518"/>
    </row>
    <row r="246" ht="14.4">
      <c r="X246" s="518"/>
    </row>
    <row r="247" ht="14.4">
      <c r="X247" s="518"/>
    </row>
    <row r="248" ht="14.4">
      <c r="X248" s="518"/>
    </row>
    <row r="249" ht="14.4">
      <c r="X249" s="518"/>
    </row>
    <row r="250" ht="14.4">
      <c r="X250" s="518"/>
    </row>
    <row r="251" ht="14.4">
      <c r="X251" s="518"/>
    </row>
    <row r="252" ht="14.4">
      <c r="X252" s="518"/>
    </row>
    <row r="253" ht="14.4">
      <c r="X253" s="518"/>
    </row>
    <row r="254" ht="14.4">
      <c r="X254" s="518"/>
    </row>
    <row r="255" ht="14.4">
      <c r="X255" s="518"/>
    </row>
    <row r="256" ht="14.4">
      <c r="X256" s="518"/>
    </row>
    <row r="257" ht="14.4">
      <c r="X257" s="518"/>
    </row>
    <row r="258" ht="14.4">
      <c r="X258" s="518"/>
    </row>
    <row r="259" ht="14.4">
      <c r="X259" s="518"/>
    </row>
    <row r="260" ht="14.4">
      <c r="X260" s="518"/>
    </row>
    <row r="261" ht="14.4">
      <c r="X261" s="518"/>
    </row>
    <row r="262" ht="14.4">
      <c r="X262" s="518"/>
    </row>
    <row r="263" ht="14.4">
      <c r="X263" s="518"/>
    </row>
    <row r="264" ht="14.4">
      <c r="X264" s="518"/>
    </row>
    <row r="265" ht="14.4">
      <c r="X265" s="518"/>
    </row>
    <row r="266" ht="14.4">
      <c r="X266" s="518"/>
    </row>
    <row r="267" ht="14.4">
      <c r="X267" s="518"/>
    </row>
    <row r="268" ht="14.4">
      <c r="X268" s="518"/>
    </row>
    <row r="269" ht="14.4">
      <c r="X269" s="518"/>
    </row>
    <row r="270" ht="14.4">
      <c r="X270" s="518"/>
    </row>
    <row r="271" ht="14.4">
      <c r="X271" s="518"/>
    </row>
    <row r="272" ht="14.4">
      <c r="X272" s="518"/>
    </row>
    <row r="273" ht="14.4">
      <c r="X273" s="518"/>
    </row>
    <row r="274" ht="14.4">
      <c r="X274" s="518"/>
    </row>
    <row r="275" ht="14.4">
      <c r="X275" s="518"/>
    </row>
    <row r="276" ht="14.4">
      <c r="X276" s="518"/>
    </row>
    <row r="277" ht="14.4">
      <c r="X277" s="518"/>
    </row>
    <row r="278" ht="14.4">
      <c r="X278" s="518"/>
    </row>
    <row r="279" ht="14.4">
      <c r="X279" s="518"/>
    </row>
    <row r="280" ht="14.4">
      <c r="X280" s="518"/>
    </row>
    <row r="281" ht="14.4">
      <c r="X281" s="518"/>
    </row>
    <row r="282" ht="14.4">
      <c r="X282" s="518"/>
    </row>
    <row r="283" ht="14.4">
      <c r="X283" s="518"/>
    </row>
    <row r="284" ht="14.4">
      <c r="X284" s="518"/>
    </row>
    <row r="285" ht="14.4">
      <c r="X285" s="518"/>
    </row>
    <row r="286" ht="14.4">
      <c r="X286" s="518"/>
    </row>
    <row r="287" ht="14.4">
      <c r="X287" s="518"/>
    </row>
    <row r="288" ht="14.4">
      <c r="X288" s="518"/>
    </row>
    <row r="289" ht="14.4">
      <c r="X289" s="518"/>
    </row>
    <row r="290" ht="14.4">
      <c r="X290" s="518"/>
    </row>
    <row r="291" ht="14.4">
      <c r="X291" s="518"/>
    </row>
    <row r="292" ht="14.4">
      <c r="X292" s="518"/>
    </row>
    <row r="293" ht="14.4">
      <c r="X293" s="518"/>
    </row>
    <row r="294" ht="14.4">
      <c r="X294" s="518"/>
    </row>
    <row r="295" ht="14.4">
      <c r="X295" s="518"/>
    </row>
    <row r="296" ht="14.4">
      <c r="X296" s="518"/>
    </row>
    <row r="297" ht="14.4">
      <c r="X297" s="518"/>
    </row>
    <row r="298" ht="14.4">
      <c r="X298" s="518"/>
    </row>
    <row r="299" ht="14.4">
      <c r="X299" s="518"/>
    </row>
    <row r="300" ht="14.4">
      <c r="X300" s="518"/>
    </row>
    <row r="301" ht="14.4">
      <c r="X301" s="518"/>
    </row>
    <row r="302" ht="14.4">
      <c r="X302" s="518"/>
    </row>
    <row r="303" ht="14.4">
      <c r="X303" s="518"/>
    </row>
    <row r="304" ht="14.4">
      <c r="X304" s="518"/>
    </row>
    <row r="305" ht="14.4">
      <c r="X305" s="518"/>
    </row>
    <row r="306" ht="14.4">
      <c r="X306" s="518"/>
    </row>
    <row r="307" ht="14.4">
      <c r="X307" s="518"/>
    </row>
    <row r="308" ht="14.4">
      <c r="X308" s="518"/>
    </row>
    <row r="309" ht="14.4">
      <c r="X309" s="518"/>
    </row>
    <row r="310" ht="14.4">
      <c r="X310" s="518"/>
    </row>
    <row r="311" ht="14.4">
      <c r="X311" s="518"/>
    </row>
    <row r="312" ht="14.4">
      <c r="X312" s="518"/>
    </row>
    <row r="313" ht="14.4">
      <c r="X313" s="518"/>
    </row>
    <row r="314" ht="14.4">
      <c r="X314" s="518"/>
    </row>
    <row r="315" ht="14.4">
      <c r="X315" s="518"/>
    </row>
    <row r="316" ht="14.4">
      <c r="X316" s="518"/>
    </row>
    <row r="317" ht="14.4">
      <c r="X317" s="518"/>
    </row>
    <row r="318" ht="14.4">
      <c r="X318" s="518"/>
    </row>
    <row r="319" ht="14.4">
      <c r="X319" s="518"/>
    </row>
    <row r="320" ht="14.4">
      <c r="X320" s="518"/>
    </row>
    <row r="321" ht="14.4">
      <c r="X321" s="518"/>
    </row>
    <row r="322" ht="14.4">
      <c r="X322" s="518"/>
    </row>
    <row r="323" ht="14.4">
      <c r="X323" s="518"/>
    </row>
    <row r="324" ht="14.4">
      <c r="X324" s="518"/>
    </row>
    <row r="325" ht="14.4">
      <c r="X325" s="518"/>
    </row>
    <row r="326" ht="14.4">
      <c r="X326" s="518"/>
    </row>
    <row r="327" ht="14.4">
      <c r="X327" s="518"/>
    </row>
    <row r="328" ht="14.4">
      <c r="X328" s="518"/>
    </row>
    <row r="329" ht="14.4">
      <c r="X329" s="518"/>
    </row>
    <row r="330" ht="14.4">
      <c r="X330" s="518"/>
    </row>
    <row r="331" ht="14.4">
      <c r="X331" s="518"/>
    </row>
    <row r="332" ht="14.4">
      <c r="X332" s="518"/>
    </row>
    <row r="333" ht="14.4">
      <c r="X333" s="518"/>
    </row>
    <row r="334" ht="14.4">
      <c r="X334" s="518"/>
    </row>
    <row r="335" ht="14.4">
      <c r="X335" s="518"/>
    </row>
    <row r="336" ht="14.4">
      <c r="X336" s="518"/>
    </row>
    <row r="337" ht="14.4">
      <c r="X337" s="518"/>
    </row>
    <row r="338" ht="14.4">
      <c r="X338" s="518"/>
    </row>
    <row r="339" ht="14.4">
      <c r="X339" s="518"/>
    </row>
    <row r="340" ht="14.4">
      <c r="X340" s="518"/>
    </row>
    <row r="341" ht="14.4">
      <c r="X341" s="518"/>
    </row>
    <row r="342" ht="14.4">
      <c r="X342" s="518"/>
    </row>
    <row r="343" ht="14.4">
      <c r="X343" s="518"/>
    </row>
    <row r="344" ht="14.4">
      <c r="X344" s="518"/>
    </row>
    <row r="345" ht="14.4">
      <c r="X345" s="518"/>
    </row>
    <row r="346" ht="14.4">
      <c r="X346" s="518"/>
    </row>
    <row r="347" ht="14.4">
      <c r="X347" s="518"/>
    </row>
    <row r="348" ht="14.4">
      <c r="X348" s="518"/>
    </row>
    <row r="349" ht="14.4">
      <c r="X349" s="518"/>
    </row>
    <row r="350" ht="14.4">
      <c r="X350" s="518"/>
    </row>
    <row r="351" ht="14.4">
      <c r="X351" s="518"/>
    </row>
    <row r="352" ht="14.4">
      <c r="X352" s="518"/>
    </row>
    <row r="353" ht="14.4">
      <c r="X353" s="518"/>
    </row>
    <row r="354" ht="14.4">
      <c r="X354" s="518"/>
    </row>
    <row r="355" ht="14.4">
      <c r="X355" s="518"/>
    </row>
    <row r="356" ht="14.4">
      <c r="X356" s="518"/>
    </row>
    <row r="357" ht="14.4">
      <c r="X357" s="518"/>
    </row>
    <row r="358" ht="14.4">
      <c r="X358" s="518"/>
    </row>
    <row r="359" ht="14.4">
      <c r="X359" s="518"/>
    </row>
    <row r="360" ht="14.4">
      <c r="X360" s="518"/>
    </row>
    <row r="361" ht="14.4">
      <c r="X361" s="518"/>
    </row>
    <row r="362" ht="14.4">
      <c r="X362" s="518"/>
    </row>
    <row r="363" ht="14.4">
      <c r="X363" s="518"/>
    </row>
    <row r="364" ht="14.4">
      <c r="X364" s="518"/>
    </row>
    <row r="365" ht="14.4">
      <c r="X365" s="518"/>
    </row>
    <row r="366" ht="14.4">
      <c r="X366" s="518"/>
    </row>
    <row r="367" ht="14.4">
      <c r="X367" s="518"/>
    </row>
    <row r="368" ht="14.4">
      <c r="X368" s="518"/>
    </row>
    <row r="369" ht="14.4">
      <c r="X369" s="518"/>
    </row>
    <row r="370" ht="14.4">
      <c r="X370" s="518"/>
    </row>
    <row r="371" ht="14.4">
      <c r="X371" s="518"/>
    </row>
    <row r="372" ht="14.4">
      <c r="X372" s="518"/>
    </row>
    <row r="373" ht="14.4">
      <c r="X373" s="518"/>
    </row>
    <row r="374" ht="14.4">
      <c r="X374" s="518"/>
    </row>
    <row r="375" ht="14.4">
      <c r="X375" s="518"/>
    </row>
    <row r="376" ht="14.4">
      <c r="X376" s="518"/>
    </row>
    <row r="377" ht="14.4">
      <c r="X377" s="518"/>
    </row>
    <row r="378" ht="14.4">
      <c r="X378" s="518"/>
    </row>
    <row r="379" ht="14.4">
      <c r="X379" s="518"/>
    </row>
    <row r="380" ht="14.4">
      <c r="X380" s="518"/>
    </row>
    <row r="381" ht="14.4">
      <c r="X381" s="518"/>
    </row>
    <row r="382" ht="14.4">
      <c r="X382" s="518"/>
    </row>
    <row r="383" ht="14.4">
      <c r="X383" s="518"/>
    </row>
    <row r="384" ht="14.4">
      <c r="X384" s="518"/>
    </row>
    <row r="385" ht="14.4">
      <c r="X385" s="518"/>
    </row>
    <row r="386" ht="14.4">
      <c r="X386" s="518"/>
    </row>
    <row r="387" ht="14.4">
      <c r="X387" s="518"/>
    </row>
    <row r="388" ht="14.4">
      <c r="X388" s="518"/>
    </row>
    <row r="389" ht="14.4">
      <c r="X389" s="518"/>
    </row>
    <row r="390" ht="14.4">
      <c r="X390" s="518"/>
    </row>
    <row r="391" ht="14.4">
      <c r="X391" s="518"/>
    </row>
    <row r="392" ht="14.4">
      <c r="X392" s="518"/>
    </row>
    <row r="393" ht="14.4">
      <c r="X393" s="518"/>
    </row>
    <row r="394" ht="14.4">
      <c r="X394" s="518"/>
    </row>
    <row r="395" ht="14.4">
      <c r="X395" s="518"/>
    </row>
    <row r="396" ht="14.4">
      <c r="X396" s="518"/>
    </row>
    <row r="397" ht="14.4">
      <c r="X397" s="518"/>
    </row>
    <row r="398" ht="14.4">
      <c r="X398" s="518"/>
    </row>
    <row r="399" ht="14.4">
      <c r="X399" s="518"/>
    </row>
    <row r="400" ht="14.4">
      <c r="X400" s="518"/>
    </row>
    <row r="401" ht="14.4">
      <c r="X401" s="518"/>
    </row>
    <row r="402" ht="14.4">
      <c r="X402" s="518"/>
    </row>
    <row r="403" ht="14.4">
      <c r="X403" s="518"/>
    </row>
    <row r="404" ht="14.4">
      <c r="X404" s="518"/>
    </row>
    <row r="405" ht="14.4">
      <c r="X405" s="518"/>
    </row>
    <row r="406" ht="14.4">
      <c r="X406" s="518"/>
    </row>
    <row r="407" ht="14.4">
      <c r="X407" s="518"/>
    </row>
    <row r="408" ht="14.4">
      <c r="X408" s="518"/>
    </row>
    <row r="409" ht="14.4">
      <c r="X409" s="518"/>
    </row>
    <row r="410" ht="14.4">
      <c r="X410" s="518"/>
    </row>
    <row r="411" ht="14.4">
      <c r="X411" s="518"/>
    </row>
    <row r="412" ht="14.4">
      <c r="X412" s="518"/>
    </row>
    <row r="413" ht="14.4">
      <c r="X413" s="518"/>
    </row>
    <row r="414" ht="14.4">
      <c r="X414" s="518"/>
    </row>
    <row r="415" ht="14.4">
      <c r="X415" s="518"/>
    </row>
    <row r="416" ht="14.4">
      <c r="X416" s="518"/>
    </row>
    <row r="417" ht="14.4">
      <c r="X417" s="518"/>
    </row>
    <row r="418" ht="14.4">
      <c r="X418" s="518"/>
    </row>
    <row r="419" ht="14.4">
      <c r="X419" s="518"/>
    </row>
    <row r="420" ht="14.4">
      <c r="X420" s="518"/>
    </row>
    <row r="421" ht="14.4">
      <c r="X421" s="518"/>
    </row>
    <row r="422" ht="14.4">
      <c r="X422" s="518"/>
    </row>
    <row r="423" ht="14.4">
      <c r="X423" s="518"/>
    </row>
    <row r="424" ht="14.4">
      <c r="X424" s="518"/>
    </row>
    <row r="425" ht="14.4">
      <c r="X425" s="518"/>
    </row>
    <row r="426" ht="14.4">
      <c r="X426" s="518"/>
    </row>
    <row r="427" ht="14.4">
      <c r="X427" s="518"/>
    </row>
    <row r="428" ht="14.4">
      <c r="X428" s="518"/>
    </row>
    <row r="429" ht="14.4">
      <c r="X429" s="518"/>
    </row>
    <row r="430" ht="14.4">
      <c r="X430" s="518"/>
    </row>
    <row r="431" ht="14.4">
      <c r="X431" s="518"/>
    </row>
    <row r="432" ht="14.4">
      <c r="X432" s="518"/>
    </row>
    <row r="433" ht="14.4">
      <c r="X433" s="518"/>
    </row>
    <row r="434" ht="14.4">
      <c r="X434" s="518"/>
    </row>
    <row r="435" ht="14.4">
      <c r="X435" s="518"/>
    </row>
    <row r="436" ht="14.4">
      <c r="X436" s="518"/>
    </row>
    <row r="437" ht="14.4">
      <c r="X437" s="518"/>
    </row>
    <row r="438" ht="14.4">
      <c r="X438" s="518"/>
    </row>
    <row r="439" ht="14.4">
      <c r="X439" s="518"/>
    </row>
    <row r="440" ht="14.4">
      <c r="X440" s="518"/>
    </row>
    <row r="441" ht="14.4">
      <c r="X441" s="518"/>
    </row>
    <row r="442" ht="14.4">
      <c r="X442" s="518"/>
    </row>
    <row r="443" ht="14.4">
      <c r="X443" s="518"/>
    </row>
    <row r="444" ht="14.4">
      <c r="X444" s="518"/>
    </row>
    <row r="445" ht="14.4">
      <c r="X445" s="518"/>
    </row>
    <row r="446" ht="14.4">
      <c r="X446" s="518"/>
    </row>
    <row r="447" ht="14.4">
      <c r="X447" s="518"/>
    </row>
    <row r="448" ht="14.4">
      <c r="X448" s="518"/>
    </row>
    <row r="449" ht="14.4">
      <c r="X449" s="518"/>
    </row>
    <row r="450" ht="14.4">
      <c r="X450" s="518"/>
    </row>
    <row r="451" ht="14.4">
      <c r="X451" s="518"/>
    </row>
    <row r="452" ht="14.4">
      <c r="X452" s="518"/>
    </row>
    <row r="453" ht="14.4">
      <c r="X453" s="518"/>
    </row>
    <row r="454" ht="14.4">
      <c r="X454" s="518"/>
    </row>
    <row r="455" ht="14.4">
      <c r="X455" s="518"/>
    </row>
    <row r="456" ht="14.4">
      <c r="X456" s="518"/>
    </row>
    <row r="457" ht="14.4">
      <c r="X457" s="518"/>
    </row>
    <row r="458" ht="14.4">
      <c r="X458" s="518"/>
    </row>
    <row r="459" ht="14.4">
      <c r="X459" s="518"/>
    </row>
    <row r="460" ht="14.4">
      <c r="X460" s="518"/>
    </row>
    <row r="461" ht="14.4">
      <c r="X461" s="518"/>
    </row>
    <row r="462" ht="14.4">
      <c r="X462" s="518"/>
    </row>
    <row r="463" ht="14.4">
      <c r="X463" s="518"/>
    </row>
    <row r="464" ht="14.4">
      <c r="X464" s="518"/>
    </row>
    <row r="465" ht="14.4">
      <c r="X465" s="518"/>
    </row>
    <row r="466" ht="14.4">
      <c r="X466" s="518"/>
    </row>
    <row r="467" ht="14.4">
      <c r="X467" s="518"/>
    </row>
    <row r="468" ht="14.4">
      <c r="X468" s="518"/>
    </row>
    <row r="469" ht="14.4">
      <c r="X469" s="518"/>
    </row>
    <row r="470" ht="14.4">
      <c r="X470" s="518"/>
    </row>
    <row r="471" ht="14.4">
      <c r="X471" s="518"/>
    </row>
    <row r="472" ht="14.4">
      <c r="X472" s="518"/>
    </row>
    <row r="473" ht="14.4">
      <c r="X473" s="518"/>
    </row>
    <row r="474" ht="14.4">
      <c r="X474" s="518"/>
    </row>
    <row r="475" ht="14.4">
      <c r="X475" s="518"/>
    </row>
    <row r="476" ht="14.4">
      <c r="X476" s="518"/>
    </row>
    <row r="477" ht="14.4">
      <c r="X477" s="518"/>
    </row>
    <row r="478" ht="14.4">
      <c r="X478" s="518"/>
    </row>
    <row r="479" ht="14.4">
      <c r="X479" s="518"/>
    </row>
    <row r="480" ht="14.4">
      <c r="X480" s="518"/>
    </row>
    <row r="481" ht="14.4">
      <c r="X481" s="518"/>
    </row>
    <row r="482" ht="14.4">
      <c r="X482" s="518"/>
    </row>
    <row r="483" ht="14.4">
      <c r="X483" s="518"/>
    </row>
    <row r="484" ht="14.4">
      <c r="X484" s="518"/>
    </row>
    <row r="485" ht="14.4">
      <c r="X485" s="518"/>
    </row>
    <row r="486" ht="14.4">
      <c r="X486" s="518"/>
    </row>
    <row r="487" ht="14.4">
      <c r="X487" s="518"/>
    </row>
    <row r="488" ht="14.4">
      <c r="X488" s="518"/>
    </row>
    <row r="489" ht="14.4">
      <c r="X489" s="518"/>
    </row>
    <row r="490" ht="14.4">
      <c r="X490" s="518"/>
    </row>
    <row r="491" ht="14.4">
      <c r="X491" s="518"/>
    </row>
    <row r="492" ht="14.4">
      <c r="X492" s="518"/>
    </row>
    <row r="493" ht="14.4">
      <c r="X493" s="518"/>
    </row>
    <row r="494" ht="14.4">
      <c r="X494" s="518"/>
    </row>
    <row r="495" ht="14.4">
      <c r="X495" s="518"/>
    </row>
    <row r="496" ht="14.4">
      <c r="X496" s="518"/>
    </row>
    <row r="497" ht="14.4">
      <c r="X497" s="518"/>
    </row>
    <row r="498" ht="14.4">
      <c r="X498" s="518"/>
    </row>
    <row r="499" ht="14.4">
      <c r="X499" s="518"/>
    </row>
    <row r="500" ht="14.4">
      <c r="X500" s="518"/>
    </row>
    <row r="501" ht="14.4">
      <c r="X501" s="518"/>
    </row>
    <row r="502" ht="14.4">
      <c r="X502" s="518"/>
    </row>
    <row r="503" ht="14.4">
      <c r="X503" s="518"/>
    </row>
    <row r="504" ht="14.4">
      <c r="X504" s="518"/>
    </row>
    <row r="505" ht="14.4">
      <c r="X505" s="518"/>
    </row>
    <row r="506" ht="14.4">
      <c r="X506" s="518"/>
    </row>
    <row r="507" ht="14.4">
      <c r="X507" s="518"/>
    </row>
    <row r="508" ht="14.4">
      <c r="X508" s="518"/>
    </row>
    <row r="509" ht="14.4">
      <c r="X509" s="518"/>
    </row>
    <row r="510" ht="14.4">
      <c r="X510" s="518"/>
    </row>
    <row r="511" ht="14.4">
      <c r="X511" s="518"/>
    </row>
    <row r="512" ht="14.4">
      <c r="X512" s="518"/>
    </row>
    <row r="513" ht="14.4">
      <c r="X513" s="518"/>
    </row>
    <row r="514" ht="14.4">
      <c r="X514" s="518"/>
    </row>
    <row r="515" ht="14.4">
      <c r="X515" s="518"/>
    </row>
    <row r="516" ht="14.4">
      <c r="X516" s="518"/>
    </row>
    <row r="517" ht="14.4">
      <c r="X517" s="518"/>
    </row>
    <row r="518" ht="14.4">
      <c r="X518" s="518"/>
    </row>
    <row r="519" ht="14.4">
      <c r="X519" s="518"/>
    </row>
    <row r="520" ht="14.4">
      <c r="X520" s="518"/>
    </row>
    <row r="521" ht="14.4">
      <c r="X521" s="518"/>
    </row>
    <row r="522" ht="14.4">
      <c r="X522" s="518"/>
    </row>
    <row r="523" ht="14.4">
      <c r="X523" s="518"/>
    </row>
    <row r="524" ht="14.4">
      <c r="X524" s="518"/>
    </row>
    <row r="525" ht="14.4">
      <c r="X525" s="518"/>
    </row>
    <row r="526" ht="14.4">
      <c r="X526" s="518"/>
    </row>
    <row r="527" ht="14.4">
      <c r="X527" s="518"/>
    </row>
    <row r="528" ht="14.4">
      <c r="X528" s="518"/>
    </row>
    <row r="529" ht="14.4">
      <c r="X529" s="518"/>
    </row>
    <row r="530" ht="14.4">
      <c r="X530" s="518"/>
    </row>
    <row r="531" ht="14.4">
      <c r="X531" s="518"/>
    </row>
    <row r="532" ht="14.4">
      <c r="X532" s="518"/>
    </row>
    <row r="533" ht="14.4">
      <c r="X533" s="518"/>
    </row>
    <row r="534" ht="14.4">
      <c r="X534" s="518"/>
    </row>
    <row r="535" ht="14.4">
      <c r="X535" s="518"/>
    </row>
    <row r="536" ht="14.4">
      <c r="X536" s="518"/>
    </row>
    <row r="537" ht="14.4">
      <c r="X537" s="518"/>
    </row>
    <row r="538" ht="14.4">
      <c r="X538" s="518"/>
    </row>
    <row r="539" ht="14.4">
      <c r="X539" s="518"/>
    </row>
    <row r="540" ht="14.4">
      <c r="X540" s="518"/>
    </row>
    <row r="541" ht="14.4">
      <c r="X541" s="518"/>
    </row>
    <row r="542" ht="14.4">
      <c r="X542" s="518"/>
    </row>
    <row r="543" ht="14.4">
      <c r="X543" s="518"/>
    </row>
    <row r="544" ht="14.4">
      <c r="X544" s="518"/>
    </row>
    <row r="545" ht="14.4">
      <c r="X545" s="518"/>
    </row>
    <row r="546" ht="14.4">
      <c r="X546" s="518"/>
    </row>
    <row r="547" ht="14.4">
      <c r="X547" s="518"/>
    </row>
    <row r="548" ht="14.4">
      <c r="X548" s="518"/>
    </row>
    <row r="549" ht="14.4">
      <c r="X549" s="518"/>
    </row>
    <row r="550" ht="14.4">
      <c r="X550" s="518"/>
    </row>
    <row r="551" ht="14.4">
      <c r="X551" s="518"/>
    </row>
    <row r="552" ht="14.4">
      <c r="X552" s="518"/>
    </row>
    <row r="553" ht="14.4">
      <c r="X553" s="518"/>
    </row>
    <row r="554" ht="14.4">
      <c r="X554" s="518"/>
    </row>
    <row r="555" ht="14.4">
      <c r="X555" s="518"/>
    </row>
    <row r="556" ht="14.4">
      <c r="X556" s="518"/>
    </row>
    <row r="557" ht="14.4">
      <c r="X557" s="518"/>
    </row>
    <row r="558" ht="14.4">
      <c r="X558" s="518"/>
    </row>
    <row r="559" ht="14.4">
      <c r="X559" s="518"/>
    </row>
    <row r="560" ht="14.4">
      <c r="X560" s="518"/>
    </row>
    <row r="561" ht="14.4">
      <c r="X561" s="518"/>
    </row>
    <row r="562" ht="14.4">
      <c r="X562" s="518"/>
    </row>
    <row r="563" ht="14.4">
      <c r="X563" s="518"/>
    </row>
    <row r="564" ht="14.4">
      <c r="X564" s="518"/>
    </row>
    <row r="565" ht="14.4">
      <c r="X565" s="518"/>
    </row>
    <row r="566" ht="14.4">
      <c r="X566" s="518"/>
    </row>
    <row r="567" ht="14.4">
      <c r="X567" s="518"/>
    </row>
    <row r="568" ht="14.4">
      <c r="X568" s="518"/>
    </row>
    <row r="569" ht="14.4">
      <c r="X569" s="518"/>
    </row>
    <row r="570" ht="14.4">
      <c r="X570" s="518"/>
    </row>
    <row r="571" ht="14.4">
      <c r="X571" s="518"/>
    </row>
    <row r="572" ht="14.4">
      <c r="X572" s="518"/>
    </row>
    <row r="573" ht="14.4">
      <c r="X573" s="518"/>
    </row>
    <row r="574" ht="14.4">
      <c r="X574" s="518"/>
    </row>
    <row r="575" ht="14.4">
      <c r="X575" s="518"/>
    </row>
    <row r="576" ht="14.4">
      <c r="X576" s="518"/>
    </row>
    <row r="577" ht="14.4">
      <c r="X577" s="518"/>
    </row>
    <row r="578" ht="14.4">
      <c r="X578" s="518"/>
    </row>
    <row r="579" ht="14.4">
      <c r="X579" s="518"/>
    </row>
    <row r="580" ht="14.4">
      <c r="X580" s="518"/>
    </row>
    <row r="581" ht="14.4">
      <c r="X581" s="518"/>
    </row>
    <row r="582" ht="14.4">
      <c r="X582" s="518"/>
    </row>
    <row r="583" ht="14.4">
      <c r="X583" s="518"/>
    </row>
    <row r="584" ht="14.4">
      <c r="X584" s="518"/>
    </row>
    <row r="585" ht="14.4">
      <c r="X585" s="518"/>
    </row>
    <row r="586" ht="14.4">
      <c r="X586" s="518"/>
    </row>
    <row r="587" ht="14.4">
      <c r="X587" s="518"/>
    </row>
    <row r="588" ht="14.4">
      <c r="X588" s="518"/>
    </row>
    <row r="589" ht="14.4">
      <c r="X589" s="518"/>
    </row>
    <row r="590" ht="14.4">
      <c r="X590" s="518"/>
    </row>
    <row r="591" ht="14.4">
      <c r="X591" s="518"/>
    </row>
    <row r="592" ht="14.4">
      <c r="X592" s="518"/>
    </row>
    <row r="593" ht="14.4">
      <c r="X593" s="518"/>
    </row>
    <row r="594" ht="14.4">
      <c r="X594" s="518"/>
    </row>
    <row r="595" ht="14.4">
      <c r="X595" s="518"/>
    </row>
    <row r="596" ht="14.4">
      <c r="X596" s="518"/>
    </row>
    <row r="597" ht="14.4">
      <c r="X597" s="518"/>
    </row>
    <row r="598" ht="14.4">
      <c r="X598" s="518"/>
    </row>
    <row r="599" ht="14.4">
      <c r="X599" s="518"/>
    </row>
    <row r="600" ht="14.4">
      <c r="X600" s="518"/>
    </row>
    <row r="601" ht="14.4">
      <c r="X601" s="518"/>
    </row>
    <row r="602" ht="14.4">
      <c r="X602" s="518"/>
    </row>
    <row r="603" ht="14.4">
      <c r="X603" s="518"/>
    </row>
    <row r="604" ht="14.4">
      <c r="X604" s="518"/>
    </row>
    <row r="605" ht="14.4">
      <c r="X605" s="518"/>
    </row>
    <row r="606" ht="14.4">
      <c r="X606" s="518"/>
    </row>
    <row r="607" ht="14.4">
      <c r="X607" s="518"/>
    </row>
    <row r="608" ht="14.4">
      <c r="X608" s="518"/>
    </row>
    <row r="609" ht="14.4">
      <c r="X609" s="518"/>
    </row>
    <row r="610" ht="14.4">
      <c r="X610" s="518"/>
    </row>
    <row r="611" ht="14.4">
      <c r="X611" s="518"/>
    </row>
    <row r="612" ht="14.4">
      <c r="X612" s="518"/>
    </row>
    <row r="613" ht="14.4">
      <c r="X613" s="518"/>
    </row>
    <row r="614" ht="14.4">
      <c r="X614" s="518"/>
    </row>
    <row r="615" ht="14.4">
      <c r="X615" s="518"/>
    </row>
    <row r="616" ht="14.4">
      <c r="X616" s="518"/>
    </row>
    <row r="617" ht="14.4">
      <c r="X617" s="518"/>
    </row>
    <row r="618" ht="14.4">
      <c r="X618" s="518"/>
    </row>
    <row r="619" ht="14.4">
      <c r="X619" s="518"/>
    </row>
    <row r="620" ht="14.4">
      <c r="X620" s="518"/>
    </row>
    <row r="621" ht="14.4">
      <c r="X621" s="518"/>
    </row>
    <row r="622" ht="14.4">
      <c r="X622" s="518"/>
    </row>
    <row r="623" ht="14.4">
      <c r="X623" s="518"/>
    </row>
    <row r="624" ht="14.4">
      <c r="X624" s="518"/>
    </row>
    <row r="625" ht="14.4">
      <c r="X625" s="518"/>
    </row>
    <row r="626" ht="14.4">
      <c r="X626" s="518"/>
    </row>
    <row r="627" ht="14.4">
      <c r="X627" s="518"/>
    </row>
    <row r="628" ht="14.4">
      <c r="X628" s="518"/>
    </row>
    <row r="629" ht="14.4">
      <c r="X629" s="518"/>
    </row>
    <row r="630" ht="14.4">
      <c r="X630" s="518"/>
    </row>
    <row r="631" ht="14.4">
      <c r="X631" s="518"/>
    </row>
    <row r="632" ht="14.4">
      <c r="X632" s="518"/>
    </row>
    <row r="633" ht="14.4">
      <c r="X633" s="518"/>
    </row>
    <row r="634" ht="14.4">
      <c r="X634" s="518"/>
    </row>
    <row r="635" ht="14.4">
      <c r="X635" s="518"/>
    </row>
    <row r="636" ht="14.4">
      <c r="X636" s="518"/>
    </row>
    <row r="637" ht="14.4">
      <c r="X637" s="518"/>
    </row>
    <row r="638" ht="14.4">
      <c r="X638" s="518"/>
    </row>
    <row r="639" ht="14.4">
      <c r="X639" s="518"/>
    </row>
    <row r="640" ht="14.4">
      <c r="X640" s="518"/>
    </row>
    <row r="641" ht="14.4">
      <c r="X641" s="518"/>
    </row>
    <row r="642" ht="14.4">
      <c r="X642" s="518"/>
    </row>
    <row r="643" ht="14.4">
      <c r="X643" s="518"/>
    </row>
    <row r="644" ht="14.4">
      <c r="X644" s="518"/>
    </row>
    <row r="645" ht="14.4">
      <c r="X645" s="518"/>
    </row>
    <row r="646" ht="14.4">
      <c r="X646" s="518"/>
    </row>
    <row r="647" ht="14.4">
      <c r="X647" s="518"/>
    </row>
    <row r="648" ht="14.4">
      <c r="X648" s="518"/>
    </row>
    <row r="649" ht="14.4">
      <c r="X649" s="518"/>
    </row>
    <row r="650" ht="14.4">
      <c r="X650" s="518"/>
    </row>
    <row r="651" ht="14.4">
      <c r="X651" s="518"/>
    </row>
    <row r="652" ht="14.4">
      <c r="X652" s="518"/>
    </row>
    <row r="653" ht="14.4">
      <c r="X653" s="518"/>
    </row>
    <row r="654" ht="14.4">
      <c r="X654" s="518"/>
    </row>
    <row r="655" ht="14.4">
      <c r="X655" s="518"/>
    </row>
    <row r="656" ht="14.4">
      <c r="X656" s="518"/>
    </row>
    <row r="657" ht="14.4">
      <c r="X657" s="518"/>
    </row>
    <row r="658" ht="14.4">
      <c r="X658" s="518"/>
    </row>
    <row r="659" ht="14.4">
      <c r="X659" s="518"/>
    </row>
    <row r="660" ht="14.4">
      <c r="X660" s="518"/>
    </row>
    <row r="661" ht="14.4">
      <c r="X661" s="518"/>
    </row>
    <row r="662" ht="14.4">
      <c r="X662" s="518"/>
    </row>
    <row r="663" ht="14.4">
      <c r="X663" s="518"/>
    </row>
    <row r="664" ht="14.4">
      <c r="X664" s="518"/>
    </row>
    <row r="665" ht="14.4">
      <c r="X665" s="518"/>
    </row>
    <row r="666" ht="14.4">
      <c r="X666" s="518"/>
    </row>
    <row r="667" ht="14.4">
      <c r="X667" s="518"/>
    </row>
    <row r="668" ht="14.4">
      <c r="X668" s="518"/>
    </row>
    <row r="669" ht="14.4">
      <c r="X669" s="518"/>
    </row>
    <row r="670" ht="14.4">
      <c r="X670" s="518"/>
    </row>
    <row r="671" ht="14.4">
      <c r="X671" s="518"/>
    </row>
    <row r="672" ht="14.4">
      <c r="X672" s="518"/>
    </row>
    <row r="673" ht="14.4">
      <c r="X673" s="518"/>
    </row>
    <row r="674" ht="14.4">
      <c r="X674" s="518"/>
    </row>
    <row r="675" ht="14.4">
      <c r="X675" s="518"/>
    </row>
    <row r="676" ht="14.4">
      <c r="X676" s="518"/>
    </row>
    <row r="677" ht="14.4">
      <c r="X677" s="518"/>
    </row>
    <row r="678" ht="14.4">
      <c r="X678" s="518"/>
    </row>
    <row r="679" ht="14.4">
      <c r="X679" s="518"/>
    </row>
    <row r="680" ht="14.4">
      <c r="X680" s="518"/>
    </row>
    <row r="681" ht="14.4">
      <c r="X681" s="518"/>
    </row>
    <row r="682" ht="14.4">
      <c r="X682" s="518"/>
    </row>
    <row r="683" ht="14.4">
      <c r="X683" s="518"/>
    </row>
    <row r="684" ht="14.4">
      <c r="X684" s="518"/>
    </row>
    <row r="685" ht="14.4">
      <c r="X685" s="518"/>
    </row>
    <row r="686" ht="14.4">
      <c r="X686" s="518"/>
    </row>
    <row r="687" ht="14.4">
      <c r="X687" s="518"/>
    </row>
    <row r="688" ht="14.4">
      <c r="X688" s="518"/>
    </row>
    <row r="689" ht="14.4">
      <c r="X689" s="518"/>
    </row>
    <row r="690" ht="14.4">
      <c r="X690" s="518"/>
    </row>
    <row r="691">
      <c r="X691" s="518"/>
    </row>
    <row r="692">
      <c r="X692" s="518"/>
    </row>
    <row r="693">
      <c r="X693" s="518"/>
    </row>
    <row r="694">
      <c r="X694" s="518"/>
    </row>
    <row r="695">
      <c r="X695" s="518"/>
    </row>
    <row r="696">
      <c r="X696" s="518"/>
    </row>
    <row r="697">
      <c r="X697" s="518"/>
    </row>
    <row r="698">
      <c r="X698" s="518"/>
    </row>
    <row r="699">
      <c r="X699" s="518"/>
    </row>
    <row r="700">
      <c r="X700" s="518"/>
    </row>
    <row r="701">
      <c r="X701" s="518"/>
    </row>
    <row r="702">
      <c r="X702" s="518"/>
    </row>
    <row r="703">
      <c r="X703" s="518"/>
    </row>
    <row r="704">
      <c r="X704" s="518"/>
    </row>
    <row r="705">
      <c r="X705" s="518"/>
    </row>
    <row r="706">
      <c r="X706" s="518"/>
    </row>
    <row r="707">
      <c r="X707" s="518"/>
    </row>
    <row r="708">
      <c r="X708" s="518"/>
    </row>
    <row r="709">
      <c r="X709" s="518"/>
    </row>
    <row r="710">
      <c r="X710" s="518"/>
    </row>
    <row r="711">
      <c r="X711" s="518"/>
    </row>
    <row r="712">
      <c r="X712" s="518"/>
    </row>
    <row r="713">
      <c r="X713" s="518"/>
    </row>
    <row r="714">
      <c r="X714" s="518"/>
    </row>
    <row r="715">
      <c r="X715" s="518"/>
    </row>
    <row r="716">
      <c r="X716" s="518"/>
    </row>
    <row r="717">
      <c r="X717" s="518"/>
    </row>
    <row r="718">
      <c r="X718" s="518"/>
    </row>
    <row r="719">
      <c r="X719" s="518"/>
    </row>
    <row r="720">
      <c r="X720" s="518"/>
    </row>
    <row r="721">
      <c r="X721" s="518"/>
    </row>
    <row r="722">
      <c r="X722" s="518"/>
    </row>
    <row r="723">
      <c r="X723" s="518"/>
    </row>
    <row r="724">
      <c r="X724" s="518"/>
    </row>
    <row r="725">
      <c r="X725" s="518"/>
    </row>
    <row r="726">
      <c r="X726" s="518"/>
    </row>
    <row r="727">
      <c r="X727" s="518"/>
    </row>
    <row r="728">
      <c r="X728" s="518"/>
    </row>
    <row r="729">
      <c r="X729" s="518"/>
    </row>
    <row r="730">
      <c r="X730" s="518"/>
    </row>
    <row r="731">
      <c r="X731" s="518"/>
    </row>
    <row r="732">
      <c r="X732" s="518"/>
    </row>
    <row r="733">
      <c r="X733" s="518"/>
    </row>
    <row r="734">
      <c r="X734" s="518"/>
    </row>
    <row r="735">
      <c r="X735" s="518"/>
    </row>
    <row r="736">
      <c r="X736" s="518"/>
    </row>
    <row r="737">
      <c r="X737" s="518"/>
    </row>
    <row r="738">
      <c r="X738" s="518"/>
    </row>
    <row r="739">
      <c r="X739" s="518"/>
    </row>
    <row r="740">
      <c r="X740" s="518"/>
    </row>
    <row r="741">
      <c r="X741" s="518"/>
    </row>
    <row r="742">
      <c r="X742" s="518"/>
    </row>
    <row r="743">
      <c r="X743" s="518"/>
    </row>
    <row r="744">
      <c r="X744" s="518"/>
    </row>
    <row r="745">
      <c r="X745" s="518"/>
    </row>
    <row r="746">
      <c r="X746" s="518"/>
    </row>
    <row r="747">
      <c r="X747" s="518"/>
    </row>
    <row r="748">
      <c r="X748" s="518"/>
    </row>
    <row r="749">
      <c r="X749" s="518"/>
    </row>
    <row r="750">
      <c r="X750" s="518"/>
    </row>
    <row r="751">
      <c r="X751" s="518"/>
    </row>
    <row r="752">
      <c r="X752" s="518"/>
    </row>
    <row r="753">
      <c r="X753" s="518"/>
    </row>
    <row r="754">
      <c r="X754" s="518"/>
    </row>
    <row r="755">
      <c r="X755" s="518"/>
    </row>
    <row r="756">
      <c r="X756" s="518"/>
    </row>
    <row r="757">
      <c r="X757" s="518"/>
    </row>
    <row r="758">
      <c r="X758" s="518"/>
    </row>
    <row r="759">
      <c r="X759" s="518"/>
    </row>
    <row r="760">
      <c r="X760" s="518"/>
    </row>
    <row r="761">
      <c r="X761" s="518"/>
    </row>
    <row r="762">
      <c r="X762" s="518"/>
    </row>
    <row r="763">
      <c r="X763" s="518"/>
    </row>
    <row r="764">
      <c r="X764" s="518"/>
    </row>
    <row r="765">
      <c r="X765" s="518"/>
    </row>
    <row r="766">
      <c r="X766" s="518"/>
    </row>
    <row r="767">
      <c r="X767" s="518"/>
    </row>
    <row r="768">
      <c r="X768" s="518"/>
    </row>
    <row r="769">
      <c r="X769" s="518"/>
    </row>
    <row r="770">
      <c r="X770" s="518"/>
    </row>
    <row r="771">
      <c r="X771" s="518"/>
    </row>
    <row r="772">
      <c r="X772" s="518"/>
    </row>
    <row r="773">
      <c r="X773" s="518"/>
    </row>
    <row r="774">
      <c r="X774" s="518"/>
    </row>
    <row r="775">
      <c r="X775" s="518"/>
    </row>
    <row r="776">
      <c r="X776" s="518"/>
    </row>
    <row r="777">
      <c r="X777" s="518"/>
    </row>
    <row r="778">
      <c r="X778" s="518"/>
    </row>
    <row r="779">
      <c r="X779" s="518"/>
    </row>
    <row r="780">
      <c r="X780" s="518"/>
    </row>
    <row r="781">
      <c r="X781" s="518"/>
    </row>
    <row r="782">
      <c r="X782" s="518"/>
    </row>
    <row r="783">
      <c r="X783" s="518"/>
    </row>
    <row r="784">
      <c r="X784" s="518"/>
    </row>
    <row r="785">
      <c r="X785" s="518"/>
    </row>
    <row r="786">
      <c r="X786" s="518"/>
    </row>
    <row r="787">
      <c r="X787" s="518"/>
    </row>
    <row r="788">
      <c r="X788" s="518"/>
    </row>
    <row r="789">
      <c r="X789" s="518"/>
    </row>
    <row r="790">
      <c r="X790" s="518"/>
    </row>
    <row r="791">
      <c r="X791" s="518"/>
    </row>
    <row r="792">
      <c r="X792" s="518"/>
    </row>
    <row r="793">
      <c r="X793" s="518"/>
    </row>
    <row r="794">
      <c r="X794" s="518"/>
    </row>
    <row r="795">
      <c r="X795" s="518"/>
    </row>
    <row r="796">
      <c r="X796" s="518"/>
    </row>
    <row r="797">
      <c r="X797" s="518"/>
    </row>
    <row r="798">
      <c r="X798" s="518"/>
    </row>
    <row r="799">
      <c r="X799" s="518"/>
    </row>
    <row r="800">
      <c r="X800" s="518"/>
    </row>
    <row r="801">
      <c r="X801" s="518"/>
    </row>
    <row r="802">
      <c r="X802" s="518"/>
    </row>
    <row r="803">
      <c r="X803" s="518"/>
    </row>
    <row r="804">
      <c r="X804" s="518"/>
    </row>
    <row r="805">
      <c r="X805" s="518"/>
    </row>
    <row r="806">
      <c r="X806" s="518"/>
    </row>
    <row r="807">
      <c r="X807" s="518"/>
    </row>
    <row r="808">
      <c r="X808" s="518"/>
    </row>
    <row r="809">
      <c r="X809" s="518"/>
    </row>
    <row r="810">
      <c r="X810" s="518"/>
    </row>
    <row r="811">
      <c r="X811" s="518"/>
    </row>
    <row r="812">
      <c r="X812" s="518"/>
    </row>
    <row r="813">
      <c r="X813" s="518"/>
    </row>
    <row r="814">
      <c r="X814" s="518"/>
    </row>
    <row r="815">
      <c r="X815" s="518"/>
    </row>
    <row r="816">
      <c r="X816" s="518"/>
    </row>
    <row r="817">
      <c r="X817" s="518"/>
    </row>
    <row r="818">
      <c r="X818" s="518"/>
    </row>
    <row r="819">
      <c r="X819" s="518"/>
    </row>
    <row r="820">
      <c r="X820" s="518"/>
    </row>
    <row r="821">
      <c r="X821" s="518"/>
    </row>
    <row r="822">
      <c r="X822" s="518"/>
    </row>
    <row r="823">
      <c r="X823" s="518"/>
    </row>
    <row r="824">
      <c r="X824" s="518"/>
    </row>
    <row r="825">
      <c r="X825" s="518"/>
    </row>
    <row r="826">
      <c r="X826" s="518"/>
    </row>
    <row r="827">
      <c r="X827" s="518"/>
    </row>
    <row r="828">
      <c r="X828" s="518"/>
    </row>
    <row r="829">
      <c r="X829" s="518"/>
    </row>
    <row r="830">
      <c r="X830" s="518"/>
    </row>
    <row r="831">
      <c r="X831" s="518"/>
    </row>
    <row r="832">
      <c r="X832" s="518"/>
    </row>
    <row r="833">
      <c r="X833" s="518"/>
    </row>
    <row r="834">
      <c r="X834" s="518"/>
    </row>
    <row r="835">
      <c r="X835" s="518"/>
    </row>
    <row r="836">
      <c r="X836" s="518"/>
    </row>
    <row r="837">
      <c r="X837" s="518"/>
    </row>
    <row r="838">
      <c r="X838" s="518"/>
    </row>
    <row r="839">
      <c r="X839" s="518"/>
    </row>
    <row r="840">
      <c r="X840" s="518"/>
    </row>
    <row r="841">
      <c r="X841" s="518"/>
    </row>
    <row r="842">
      <c r="X842" s="518"/>
    </row>
    <row r="843">
      <c r="X843" s="518"/>
    </row>
    <row r="844">
      <c r="X844" s="518"/>
    </row>
    <row r="845">
      <c r="X845" s="518"/>
    </row>
    <row r="846">
      <c r="X846" s="518"/>
    </row>
    <row r="847">
      <c r="X847" s="518"/>
    </row>
    <row r="848">
      <c r="X848" s="518"/>
    </row>
    <row r="849">
      <c r="X849" s="518"/>
    </row>
    <row r="850">
      <c r="X850" s="518"/>
    </row>
    <row r="851">
      <c r="X851" s="518"/>
    </row>
    <row r="852">
      <c r="X852" s="518"/>
    </row>
    <row r="853">
      <c r="X853" s="518"/>
    </row>
    <row r="854">
      <c r="X854" s="518"/>
    </row>
    <row r="855">
      <c r="X855" s="518"/>
    </row>
    <row r="856">
      <c r="X856" s="518"/>
    </row>
    <row r="857">
      <c r="X857" s="518"/>
    </row>
    <row r="858">
      <c r="X858" s="518"/>
    </row>
    <row r="859">
      <c r="X859" s="518"/>
    </row>
    <row r="860">
      <c r="X860" s="518"/>
    </row>
  </sheetData>
  <mergeCells count="16">
    <mergeCell ref="F1:J1"/>
    <mergeCell ref="L1:N5"/>
    <mergeCell ref="F2:K5"/>
    <mergeCell ref="N6:P7"/>
    <mergeCell ref="F7:J7"/>
    <mergeCell ref="A9:Q9"/>
    <mergeCell ref="U9:V9"/>
    <mergeCell ref="P10:Q10"/>
    <mergeCell ref="U10:V10"/>
    <mergeCell ref="A25:Q25"/>
    <mergeCell ref="P26:Q26"/>
    <mergeCell ref="A41:Q41"/>
    <mergeCell ref="P42:Q42"/>
    <mergeCell ref="P58:Q58"/>
    <mergeCell ref="P74:Q74"/>
    <mergeCell ref="P90:Q9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40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90" zoomScale="100" workbookViewId="0">
      <selection activeCell="B78" activeCellId="0" sqref="B78:O90"/>
    </sheetView>
  </sheetViews>
  <sheetFormatPr defaultRowHeight="13.5"/>
  <cols>
    <col customWidth="1" min="1" max="1" width="18.44140625"/>
    <col customWidth="1" min="2" max="2" width="12.109375"/>
    <col customWidth="1" min="3" max="3" width="5.109375"/>
    <col customWidth="1" min="4" max="4" width="12.33203125"/>
    <col customWidth="1" min="5" max="5" width="5.109375"/>
    <col customWidth="1" min="6" max="6" width="13.33203125"/>
    <col customWidth="1" min="7" max="7" width="6.109375"/>
    <col customWidth="1" min="8" max="8" width="13.5546875"/>
    <col customWidth="1" min="9" max="9" width="6"/>
    <col customWidth="1" min="10" max="10" width="10.6640625"/>
    <col customWidth="1" min="11" max="11" width="5.88671875"/>
    <col customWidth="1" min="12" max="12" width="11.88671875"/>
    <col customWidth="1" min="13" max="13" width="5.109375"/>
    <col customWidth="1" min="14" max="14" width="11"/>
    <col customWidth="1" min="15" max="15" width="5.88671875"/>
    <col bestFit="1" min="16" max="16" width="10.140625"/>
    <col bestFit="1" min="17" max="17" width="9.8515625"/>
    <col customWidth="1" min="18" max="18" width="13.33203125"/>
  </cols>
  <sheetData>
    <row r="1" s="21" customFormat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25">
      <c r="A2" s="14"/>
      <c r="B2" s="15" t="s">
        <v>3</v>
      </c>
      <c r="C2" s="15" t="s">
        <v>81</v>
      </c>
      <c r="D2" s="16" t="s">
        <v>5</v>
      </c>
      <c r="E2" s="16" t="s">
        <v>81</v>
      </c>
      <c r="F2" s="17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25">
      <c r="A3" s="14"/>
      <c r="B3" s="15" t="s">
        <v>7</v>
      </c>
      <c r="C3" s="15" t="s">
        <v>81</v>
      </c>
      <c r="D3" s="16" t="s">
        <v>8</v>
      </c>
      <c r="E3" s="16" t="s">
        <v>81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25">
      <c r="A4" s="14"/>
      <c r="B4" s="15" t="s">
        <v>9</v>
      </c>
      <c r="C4" s="15" t="s">
        <v>81</v>
      </c>
      <c r="D4" s="16" t="s">
        <v>10</v>
      </c>
      <c r="E4" s="16" t="s">
        <v>81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25">
      <c r="A5" s="14"/>
      <c r="B5" s="15" t="s">
        <v>11</v>
      </c>
      <c r="C5" s="15" t="s">
        <v>81</v>
      </c>
      <c r="D5" s="16" t="s">
        <v>12</v>
      </c>
      <c r="E5" s="16" t="s">
        <v>81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25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25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s="21" customFormat="1" ht="14.25">
      <c r="A10" s="143"/>
      <c r="B10" s="214" t="s">
        <v>17</v>
      </c>
      <c r="C10" s="481"/>
      <c r="D10" s="214" t="s">
        <v>18</v>
      </c>
      <c r="E10" s="481"/>
      <c r="F10" s="214" t="s">
        <v>19</v>
      </c>
      <c r="G10" s="214"/>
      <c r="H10" s="214" t="s">
        <v>20</v>
      </c>
      <c r="I10" s="481"/>
      <c r="J10" s="482" t="s">
        <v>21</v>
      </c>
      <c r="K10" s="482"/>
      <c r="L10" s="214" t="s">
        <v>22</v>
      </c>
      <c r="M10" s="214"/>
      <c r="N10" s="214" t="s">
        <v>23</v>
      </c>
      <c r="O10" s="214"/>
      <c r="P10" s="214" t="s">
        <v>24</v>
      </c>
      <c r="Q10" s="214"/>
      <c r="R10" s="117">
        <v>152</v>
      </c>
      <c r="S10" s="143"/>
      <c r="T10" s="143"/>
      <c r="U10" s="286">
        <v>152</v>
      </c>
      <c r="V10" s="90"/>
      <c r="W10" s="62"/>
      <c r="X10" s="51"/>
      <c r="Y10" s="7"/>
      <c r="Z10" s="7"/>
      <c r="AA10" s="7"/>
      <c r="AB10" s="13"/>
      <c r="AC10" s="13"/>
      <c r="AD10" s="13"/>
    </row>
    <row r="11" s="21" customFormat="1" ht="14.25">
      <c r="A11" s="143"/>
      <c r="B11" s="515">
        <v>46048</v>
      </c>
      <c r="C11" s="517"/>
      <c r="D11" s="515">
        <v>46049</v>
      </c>
      <c r="E11" s="517"/>
      <c r="F11" s="515">
        <v>46050</v>
      </c>
      <c r="G11" s="517"/>
      <c r="H11" s="515">
        <v>46051</v>
      </c>
      <c r="I11" s="517"/>
      <c r="J11" s="515">
        <v>46052</v>
      </c>
      <c r="K11" s="517"/>
      <c r="L11" s="515">
        <v>46053</v>
      </c>
      <c r="M11" s="517"/>
      <c r="N11" s="515">
        <v>46023</v>
      </c>
      <c r="O11" s="517"/>
      <c r="P11" s="213" t="s">
        <v>25</v>
      </c>
      <c r="Q11" s="214" t="s">
        <v>26</v>
      </c>
      <c r="R11" s="287"/>
      <c r="S11" s="141"/>
      <c r="T11" s="141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s="21" customFormat="1" ht="14.25">
      <c r="A12" s="415" t="s">
        <v>62</v>
      </c>
      <c r="B12" s="527"/>
      <c r="C12" s="198"/>
      <c r="D12" s="527"/>
      <c r="E12" s="198"/>
      <c r="F12" s="527"/>
      <c r="G12" s="198"/>
      <c r="H12" s="527"/>
      <c r="I12" s="198"/>
      <c r="J12" s="527"/>
      <c r="K12" s="198"/>
      <c r="L12" s="528"/>
      <c r="M12" s="273"/>
      <c r="N12" s="528"/>
      <c r="O12" s="273"/>
      <c r="P12" s="253">
        <f t="shared" ref="P12:P75" si="140">C12+E12+G12+I12+K12+M12+O12</f>
        <v>0</v>
      </c>
      <c r="Q12" s="62">
        <f>R10-P12</f>
        <v>152</v>
      </c>
      <c r="R12" s="219" t="str">
        <f t="shared" ref="R12:R75" si="141">A12</f>
        <v>Раимова</v>
      </c>
      <c r="S12" s="76" t="s">
        <v>10</v>
      </c>
      <c r="T12" s="77" t="s">
        <v>9</v>
      </c>
      <c r="U12" s="227">
        <f t="shared" ref="U12:U13" si="142">COUNTIF(T10,B10)+COUNTIF(T10,D10)+COUNTIF(T10,F10)+COUNTIF(T10,H10)+COUNTIF(T10,J10)+COUNTIF(T10,L10)+COUNTIF(T10,N10)</f>
        <v>0</v>
      </c>
      <c r="V12" s="62">
        <f t="shared" ref="V12:V13" si="143">COUNTIF(S10,B10)+COUNTIF(S10,D10)+COUNTIF(S10,F10)+COUNTIF(S10,H10)+COUNTIF(S10,J10)+COUNTIF(S10,L10)+COUNTIF(S10,N10)</f>
        <v>0</v>
      </c>
      <c r="W12" s="227"/>
      <c r="X12" s="74" t="s">
        <v>34</v>
      </c>
      <c r="Y12" s="7"/>
      <c r="Z12" s="7"/>
      <c r="AA12" s="7"/>
      <c r="AB12" s="13"/>
      <c r="AC12" s="13"/>
      <c r="AD12" s="13"/>
    </row>
    <row r="13" s="21" customFormat="1" ht="14.25">
      <c r="A13" s="415" t="s">
        <v>35</v>
      </c>
      <c r="B13" s="527"/>
      <c r="C13" s="527"/>
      <c r="D13" s="527"/>
      <c r="E13" s="527"/>
      <c r="F13" s="527"/>
      <c r="G13" s="527"/>
      <c r="H13" s="527"/>
      <c r="I13" s="527"/>
      <c r="J13" s="527"/>
      <c r="K13" s="527"/>
      <c r="L13" s="528"/>
      <c r="M13" s="528"/>
      <c r="N13" s="528"/>
      <c r="O13" s="528"/>
      <c r="P13" s="253">
        <f t="shared" si="140"/>
        <v>0</v>
      </c>
      <c r="Q13" s="62">
        <f>R10-P13</f>
        <v>152</v>
      </c>
      <c r="R13" s="442" t="str">
        <f t="shared" si="141"/>
        <v>Рычков</v>
      </c>
      <c r="S13" s="76" t="s">
        <v>10</v>
      </c>
      <c r="T13" s="77" t="s">
        <v>9</v>
      </c>
      <c r="U13" s="90">
        <f t="shared" si="142"/>
        <v>0</v>
      </c>
      <c r="V13" s="62">
        <f t="shared" si="143"/>
        <v>0</v>
      </c>
      <c r="W13" s="62"/>
      <c r="X13" s="74" t="s">
        <v>34</v>
      </c>
      <c r="Y13" s="7"/>
      <c r="Z13" s="7"/>
      <c r="AA13" s="7"/>
      <c r="AB13" s="13"/>
      <c r="AC13" s="13"/>
      <c r="AD13" s="13"/>
    </row>
    <row r="14" s="21" customFormat="1" ht="14.25">
      <c r="A14" s="415" t="s">
        <v>39</v>
      </c>
      <c r="B14" s="527"/>
      <c r="C14" s="527"/>
      <c r="D14" s="527"/>
      <c r="E14" s="527"/>
      <c r="F14" s="527"/>
      <c r="G14" s="527"/>
      <c r="H14" s="527"/>
      <c r="I14" s="527"/>
      <c r="J14" s="527"/>
      <c r="K14" s="527"/>
      <c r="L14" s="528"/>
      <c r="M14" s="528"/>
      <c r="N14" s="528"/>
      <c r="O14" s="528"/>
      <c r="P14" s="253">
        <f t="shared" si="140"/>
        <v>0</v>
      </c>
      <c r="Q14" s="62">
        <f>R10-P14</f>
        <v>152</v>
      </c>
      <c r="R14" s="442" t="str">
        <f t="shared" si="141"/>
        <v>Игумнов</v>
      </c>
      <c r="S14" s="76" t="s">
        <v>10</v>
      </c>
      <c r="T14" s="77" t="s">
        <v>9</v>
      </c>
      <c r="U14" s="90">
        <f t="shared" ref="U14:U77" si="144">COUNTIF(T14,B14)+COUNTIF(T14,D14)+COUNTIF(T14,F14)+COUNTIF(T14,H14)+COUNTIF(T14,J14)+COUNTIF(T14,L14)+COUNTIF(T14,N14)</f>
        <v>0</v>
      </c>
      <c r="V14" s="62">
        <f t="shared" ref="V14:V66" si="145">COUNTIF(S14,B14)+COUNTIF(S14,D14)+COUNTIF(S14,F14)+COUNTIF(S14,H14)+COUNTIF(S14,J14)+COUNTIF(S14,L14)+COUNTIF(S14,N14)</f>
        <v>0</v>
      </c>
      <c r="W14" s="62"/>
      <c r="X14" s="79" t="s">
        <v>34</v>
      </c>
      <c r="Y14" s="7"/>
      <c r="Z14" s="7"/>
      <c r="AA14" s="7"/>
      <c r="AB14" s="13"/>
      <c r="AC14" s="13"/>
      <c r="AD14" s="13"/>
    </row>
    <row r="15" s="21" customFormat="1" ht="14.25">
      <c r="A15" s="415" t="s">
        <v>40</v>
      </c>
      <c r="B15" s="527"/>
      <c r="C15" s="527"/>
      <c r="D15" s="527"/>
      <c r="E15" s="527"/>
      <c r="F15" s="527"/>
      <c r="G15" s="527"/>
      <c r="H15" s="527"/>
      <c r="I15" s="527"/>
      <c r="J15" s="527"/>
      <c r="K15" s="527"/>
      <c r="L15" s="528"/>
      <c r="M15" s="528"/>
      <c r="N15" s="528" t="s">
        <v>82</v>
      </c>
      <c r="O15" s="528"/>
      <c r="P15" s="253">
        <f t="shared" si="140"/>
        <v>0</v>
      </c>
      <c r="Q15" s="62">
        <f>R10-P15</f>
        <v>152</v>
      </c>
      <c r="R15" s="442" t="str">
        <f t="shared" si="141"/>
        <v>Душин</v>
      </c>
      <c r="S15" s="76" t="s">
        <v>10</v>
      </c>
      <c r="T15" s="77" t="s">
        <v>9</v>
      </c>
      <c r="U15" s="90">
        <f t="shared" si="144"/>
        <v>0</v>
      </c>
      <c r="V15" s="62">
        <f t="shared" si="145"/>
        <v>0</v>
      </c>
      <c r="W15" s="62"/>
      <c r="X15" s="74" t="s">
        <v>38</v>
      </c>
      <c r="Y15" s="7"/>
      <c r="Z15" s="7"/>
      <c r="AA15" s="7"/>
      <c r="AB15" s="13"/>
      <c r="AC15" s="13"/>
      <c r="AD15" s="13"/>
    </row>
    <row r="16" s="21" customFormat="1" ht="14.25">
      <c r="A16" s="415" t="s">
        <v>31</v>
      </c>
      <c r="B16" s="527"/>
      <c r="C16" s="527"/>
      <c r="D16" s="527"/>
      <c r="E16" s="527"/>
      <c r="F16" s="527"/>
      <c r="G16" s="527"/>
      <c r="H16" s="527"/>
      <c r="I16" s="527"/>
      <c r="J16" s="527"/>
      <c r="K16" s="527"/>
      <c r="L16" s="528"/>
      <c r="M16" s="528"/>
      <c r="N16" s="528"/>
      <c r="O16" s="528"/>
      <c r="P16" s="253">
        <f t="shared" si="140"/>
        <v>0</v>
      </c>
      <c r="Q16" s="62">
        <f>R10-P16</f>
        <v>152</v>
      </c>
      <c r="R16" s="442" t="str">
        <f t="shared" si="141"/>
        <v>Нетронин</v>
      </c>
      <c r="S16" s="76" t="s">
        <v>58</v>
      </c>
      <c r="T16" s="77" t="s">
        <v>59</v>
      </c>
      <c r="U16" s="90"/>
      <c r="V16" s="62"/>
      <c r="W16" s="62"/>
      <c r="X16" s="74" t="s">
        <v>34</v>
      </c>
      <c r="Y16" s="7"/>
      <c r="Z16" s="7"/>
      <c r="AA16" s="7"/>
      <c r="AB16" s="13"/>
      <c r="AC16" s="13"/>
      <c r="AD16" s="13"/>
    </row>
    <row r="17" s="21" customFormat="1" ht="14.25">
      <c r="A17" s="415" t="s">
        <v>42</v>
      </c>
      <c r="B17" s="527"/>
      <c r="C17" s="527"/>
      <c r="D17" s="527"/>
      <c r="E17" s="527"/>
      <c r="F17" s="527"/>
      <c r="G17" s="527"/>
      <c r="H17" s="527"/>
      <c r="I17" s="527"/>
      <c r="J17" s="527"/>
      <c r="K17" s="527"/>
      <c r="L17" s="528"/>
      <c r="M17" s="528"/>
      <c r="N17" s="531"/>
      <c r="O17" s="528"/>
      <c r="P17" s="253">
        <f t="shared" si="140"/>
        <v>0</v>
      </c>
      <c r="Q17" s="62">
        <f>R10-P17</f>
        <v>152</v>
      </c>
      <c r="R17" s="442" t="str">
        <f t="shared" si="141"/>
        <v>Юращик</v>
      </c>
      <c r="S17" s="76" t="s">
        <v>10</v>
      </c>
      <c r="T17" s="77" t="s">
        <v>9</v>
      </c>
      <c r="U17" s="90"/>
      <c r="V17" s="62"/>
      <c r="W17" s="62"/>
      <c r="X17" s="74" t="s">
        <v>38</v>
      </c>
      <c r="Y17" s="7"/>
      <c r="Z17" s="7"/>
      <c r="AA17" s="7"/>
      <c r="AB17" s="13"/>
      <c r="AC17" s="13"/>
      <c r="AD17" s="13"/>
    </row>
    <row r="18" s="21" customFormat="1" ht="14.25">
      <c r="A18" s="388" t="s">
        <v>45</v>
      </c>
      <c r="B18" s="528"/>
      <c r="C18" s="528"/>
      <c r="D18" s="616"/>
      <c r="E18" s="616"/>
      <c r="F18" s="528"/>
      <c r="G18" s="528"/>
      <c r="H18" s="528"/>
      <c r="I18" s="528"/>
      <c r="J18" s="247"/>
      <c r="K18" s="247"/>
      <c r="L18" s="295"/>
      <c r="M18" s="617"/>
      <c r="N18" s="76" t="s">
        <v>10</v>
      </c>
      <c r="O18" s="618" t="s">
        <v>81</v>
      </c>
      <c r="P18" s="253">
        <f t="shared" si="140"/>
        <v>11</v>
      </c>
      <c r="Q18" s="62">
        <f>R10-P18</f>
        <v>141</v>
      </c>
      <c r="R18" s="442" t="str">
        <f t="shared" si="141"/>
        <v>Пузырь</v>
      </c>
      <c r="S18" s="76" t="s">
        <v>10</v>
      </c>
      <c r="T18" s="77" t="s">
        <v>9</v>
      </c>
      <c r="U18" s="90">
        <f t="shared" si="144"/>
        <v>0</v>
      </c>
      <c r="V18" s="62">
        <f t="shared" si="145"/>
        <v>0</v>
      </c>
      <c r="W18" s="62"/>
      <c r="X18" s="74" t="s">
        <v>34</v>
      </c>
      <c r="Y18" s="7"/>
      <c r="Z18" s="7"/>
      <c r="AA18" s="7"/>
      <c r="AB18" s="13"/>
      <c r="AC18" s="13"/>
      <c r="AD18" s="13"/>
    </row>
    <row r="19" s="21" customFormat="1" ht="14.25">
      <c r="A19" s="388" t="s">
        <v>46</v>
      </c>
      <c r="B19" s="619"/>
      <c r="C19" s="619"/>
      <c r="D19" s="619"/>
      <c r="E19" s="619"/>
      <c r="F19" s="254"/>
      <c r="G19" s="254"/>
      <c r="H19" s="620"/>
      <c r="I19" s="620"/>
      <c r="J19" s="621"/>
      <c r="K19" s="621"/>
      <c r="L19" s="15"/>
      <c r="M19" s="622"/>
      <c r="N19" s="77" t="s">
        <v>9</v>
      </c>
      <c r="O19" s="623" t="s">
        <v>81</v>
      </c>
      <c r="P19" s="253">
        <f t="shared" si="140"/>
        <v>11</v>
      </c>
      <c r="Q19" s="62">
        <f>R10-P19</f>
        <v>141</v>
      </c>
      <c r="R19" s="442" t="str">
        <f t="shared" si="141"/>
        <v>Голышев</v>
      </c>
      <c r="S19" s="76" t="s">
        <v>10</v>
      </c>
      <c r="T19" s="77" t="s">
        <v>9</v>
      </c>
      <c r="U19" s="90">
        <f t="shared" si="144"/>
        <v>0</v>
      </c>
      <c r="V19" s="62">
        <f t="shared" si="145"/>
        <v>0</v>
      </c>
      <c r="W19" s="62"/>
      <c r="X19" s="74" t="s">
        <v>34</v>
      </c>
      <c r="Y19" s="7"/>
      <c r="Z19" s="7"/>
      <c r="AA19" s="7"/>
      <c r="AB19" s="13"/>
      <c r="AC19" s="13"/>
      <c r="AD19" s="13"/>
    </row>
    <row r="20" s="21" customFormat="1" ht="14.25">
      <c r="A20" s="388" t="s">
        <v>47</v>
      </c>
      <c r="B20" s="294"/>
      <c r="C20" s="294"/>
      <c r="D20" s="294"/>
      <c r="E20" s="294"/>
      <c r="F20" s="247"/>
      <c r="G20" s="247"/>
      <c r="H20" s="254"/>
      <c r="I20" s="254"/>
      <c r="J20" s="624"/>
      <c r="K20" s="624"/>
      <c r="L20" s="254"/>
      <c r="M20" s="254"/>
      <c r="N20" s="625"/>
      <c r="O20" s="528"/>
      <c r="P20" s="253">
        <f t="shared" si="140"/>
        <v>0</v>
      </c>
      <c r="Q20" s="62">
        <f>R10-P20</f>
        <v>152</v>
      </c>
      <c r="R20" s="442" t="str">
        <f t="shared" si="141"/>
        <v>Торубара</v>
      </c>
      <c r="S20" s="76" t="s">
        <v>10</v>
      </c>
      <c r="T20" s="77" t="s">
        <v>9</v>
      </c>
      <c r="U20" s="90">
        <f t="shared" si="144"/>
        <v>0</v>
      </c>
      <c r="V20" s="62">
        <f t="shared" si="145"/>
        <v>0</v>
      </c>
      <c r="W20" s="62"/>
      <c r="X20" s="74" t="s">
        <v>34</v>
      </c>
      <c r="Y20" s="7"/>
      <c r="Z20" s="7"/>
      <c r="AA20" s="7"/>
      <c r="AB20" s="13"/>
      <c r="AC20" s="13"/>
      <c r="AD20" s="13"/>
    </row>
    <row r="21" s="21" customFormat="1" ht="14.25">
      <c r="A21" s="388" t="s">
        <v>48</v>
      </c>
      <c r="B21" s="528"/>
      <c r="C21" s="528"/>
      <c r="D21" s="528"/>
      <c r="E21" s="528"/>
      <c r="F21" s="621"/>
      <c r="G21" s="621"/>
      <c r="H21" s="619"/>
      <c r="I21" s="626"/>
      <c r="J21" s="247"/>
      <c r="K21" s="247"/>
      <c r="L21" s="528"/>
      <c r="M21" s="627"/>
      <c r="N21" s="71" t="s">
        <v>8</v>
      </c>
      <c r="O21" s="618" t="s">
        <v>81</v>
      </c>
      <c r="P21" s="253">
        <f t="shared" si="140"/>
        <v>11</v>
      </c>
      <c r="Q21" s="62">
        <f>R10-P21</f>
        <v>141</v>
      </c>
      <c r="R21" s="442" t="str">
        <f t="shared" si="141"/>
        <v>Стрыгин</v>
      </c>
      <c r="S21" s="71" t="s">
        <v>8</v>
      </c>
      <c r="T21" s="72" t="s">
        <v>7</v>
      </c>
      <c r="U21" s="90">
        <f t="shared" si="144"/>
        <v>0</v>
      </c>
      <c r="V21" s="62">
        <f t="shared" si="145"/>
        <v>0</v>
      </c>
      <c r="W21" s="62"/>
      <c r="X21" s="74" t="s">
        <v>49</v>
      </c>
      <c r="Y21" s="7"/>
      <c r="Z21" s="7"/>
      <c r="AA21" s="7"/>
      <c r="AB21" s="13"/>
      <c r="AC21" s="13"/>
      <c r="AD21" s="13"/>
    </row>
    <row r="22" s="21" customFormat="1" ht="14.25">
      <c r="A22" s="388" t="s">
        <v>50</v>
      </c>
      <c r="B22" s="628"/>
      <c r="C22" s="628"/>
      <c r="D22" s="528"/>
      <c r="E22" s="528"/>
      <c r="F22" s="247"/>
      <c r="G22" s="247"/>
      <c r="H22" s="621"/>
      <c r="I22" s="621"/>
      <c r="J22" s="626"/>
      <c r="K22" s="626"/>
      <c r="L22" s="247"/>
      <c r="M22" s="247"/>
      <c r="N22" s="629"/>
      <c r="O22" s="247"/>
      <c r="P22" s="253">
        <f t="shared" si="140"/>
        <v>0</v>
      </c>
      <c r="Q22" s="62">
        <f>R10-P22</f>
        <v>152</v>
      </c>
      <c r="R22" s="442" t="str">
        <f t="shared" si="141"/>
        <v>Фрик</v>
      </c>
      <c r="S22" s="71" t="s">
        <v>12</v>
      </c>
      <c r="T22" s="72" t="s">
        <v>11</v>
      </c>
      <c r="U22" s="90">
        <f t="shared" si="144"/>
        <v>0</v>
      </c>
      <c r="V22" s="62">
        <f t="shared" si="145"/>
        <v>0</v>
      </c>
      <c r="W22" s="62"/>
      <c r="X22" s="74" t="s">
        <v>44</v>
      </c>
      <c r="Y22" s="7"/>
      <c r="Z22" s="7"/>
      <c r="AA22" s="7"/>
      <c r="AB22" s="13"/>
      <c r="AC22" s="13"/>
      <c r="AD22" s="13"/>
    </row>
    <row r="23" s="21" customFormat="1" ht="14.25">
      <c r="A23" s="563" t="s">
        <v>51</v>
      </c>
      <c r="B23" s="616"/>
      <c r="C23" s="616"/>
      <c r="D23" s="528"/>
      <c r="E23" s="528"/>
      <c r="F23" s="630"/>
      <c r="G23" s="631"/>
      <c r="H23" s="632"/>
      <c r="I23" s="632"/>
      <c r="J23" s="528"/>
      <c r="K23" s="528"/>
      <c r="L23" s="247"/>
      <c r="M23" s="633"/>
      <c r="N23" s="77" t="s">
        <v>9</v>
      </c>
      <c r="O23" s="172" t="s">
        <v>81</v>
      </c>
      <c r="P23" s="253">
        <f t="shared" si="140"/>
        <v>11</v>
      </c>
      <c r="Q23" s="62">
        <f>R10-P23</f>
        <v>141</v>
      </c>
      <c r="R23" s="442" t="str">
        <f t="shared" si="141"/>
        <v>Истрашкин</v>
      </c>
      <c r="S23" s="71" t="s">
        <v>10</v>
      </c>
      <c r="T23" s="72" t="s">
        <v>9</v>
      </c>
      <c r="U23" s="90">
        <f t="shared" si="144"/>
        <v>0</v>
      </c>
      <c r="V23" s="62">
        <f t="shared" si="145"/>
        <v>0</v>
      </c>
      <c r="W23" s="62"/>
      <c r="X23" s="74" t="s">
        <v>34</v>
      </c>
      <c r="Y23" s="7"/>
      <c r="Z23" s="7"/>
      <c r="AA23" s="7"/>
      <c r="AB23" s="13"/>
      <c r="AC23" s="13"/>
      <c r="AD23" s="13"/>
    </row>
    <row r="24" s="21" customFormat="1" ht="14.25">
      <c r="A24" s="388" t="s">
        <v>43</v>
      </c>
      <c r="B24" s="621"/>
      <c r="C24" s="621"/>
      <c r="D24" s="634"/>
      <c r="E24" s="634"/>
      <c r="F24" s="635"/>
      <c r="G24" s="636"/>
      <c r="H24" s="637"/>
      <c r="I24" s="637"/>
      <c r="J24" s="637"/>
      <c r="K24" s="637"/>
      <c r="L24" s="254"/>
      <c r="M24" s="254"/>
      <c r="N24" s="136"/>
      <c r="O24" s="254"/>
      <c r="P24" s="253">
        <f t="shared" si="140"/>
        <v>0</v>
      </c>
      <c r="Q24" s="62">
        <f>R10-P24</f>
        <v>152</v>
      </c>
      <c r="R24" s="442" t="str">
        <f t="shared" si="141"/>
        <v>Дащенко</v>
      </c>
      <c r="S24" s="71" t="s">
        <v>12</v>
      </c>
      <c r="T24" s="72" t="s">
        <v>11</v>
      </c>
      <c r="U24" s="90">
        <f t="shared" si="144"/>
        <v>0</v>
      </c>
      <c r="V24" s="62">
        <f t="shared" si="145"/>
        <v>0</v>
      </c>
      <c r="W24" s="62"/>
      <c r="X24" s="80" t="s">
        <v>44</v>
      </c>
      <c r="Y24" s="7"/>
      <c r="Z24" s="7"/>
      <c r="AA24" s="7"/>
      <c r="AB24" s="13"/>
      <c r="AC24" s="13"/>
      <c r="AD24" s="13"/>
    </row>
    <row r="25" s="21" customFormat="1" ht="14.25">
      <c r="A25" s="207"/>
      <c r="B25" s="515">
        <v>46048</v>
      </c>
      <c r="C25" s="517"/>
      <c r="D25" s="515">
        <v>46049</v>
      </c>
      <c r="E25" s="517"/>
      <c r="F25" s="515">
        <v>46050</v>
      </c>
      <c r="G25" s="517"/>
      <c r="H25" s="515">
        <v>46051</v>
      </c>
      <c r="I25" s="517"/>
      <c r="J25" s="515">
        <v>46052</v>
      </c>
      <c r="K25" s="517"/>
      <c r="L25" s="515">
        <v>46053</v>
      </c>
      <c r="M25" s="517"/>
      <c r="N25" s="515">
        <v>46023</v>
      </c>
      <c r="O25" s="517"/>
      <c r="P25" s="253"/>
      <c r="Q25" s="254"/>
      <c r="R25" s="297"/>
      <c r="S25" s="134"/>
      <c r="T25" s="134"/>
      <c r="U25" s="60" t="s">
        <v>27</v>
      </c>
      <c r="V25" s="61" t="s">
        <v>28</v>
      </c>
      <c r="W25" s="62" t="s">
        <v>29</v>
      </c>
      <c r="X25" s="7"/>
      <c r="Y25" s="7"/>
      <c r="Z25" s="7"/>
      <c r="AA25" s="7"/>
      <c r="AB25" s="13"/>
      <c r="AC25" s="13"/>
      <c r="AD25" s="13"/>
    </row>
    <row r="26" ht="14.25">
      <c r="A26" s="245"/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99"/>
      <c r="S26" s="165"/>
      <c r="T26" s="165"/>
      <c r="U26" s="100"/>
      <c r="V26" s="100"/>
      <c r="W26" s="100"/>
      <c r="X26" s="7"/>
      <c r="Y26" s="7"/>
      <c r="Z26" s="7"/>
      <c r="AA26" s="7"/>
      <c r="AB26" s="13"/>
      <c r="AC26" s="13"/>
      <c r="AD26" s="13"/>
    </row>
    <row r="27" ht="14.25">
      <c r="A27" s="165"/>
      <c r="B27" s="237" t="s">
        <v>17</v>
      </c>
      <c r="C27" s="237"/>
      <c r="D27" s="237" t="s">
        <v>18</v>
      </c>
      <c r="E27" s="237"/>
      <c r="F27" s="237" t="s">
        <v>19</v>
      </c>
      <c r="G27" s="237"/>
      <c r="H27" s="237" t="s">
        <v>20</v>
      </c>
      <c r="I27" s="237"/>
      <c r="J27" s="565" t="s">
        <v>21</v>
      </c>
      <c r="K27" s="565"/>
      <c r="L27" s="237" t="s">
        <v>22</v>
      </c>
      <c r="M27" s="237"/>
      <c r="N27" s="237" t="s">
        <v>23</v>
      </c>
      <c r="O27" s="237"/>
      <c r="P27" s="237" t="s">
        <v>24</v>
      </c>
      <c r="Q27" s="237"/>
      <c r="R27" s="99"/>
      <c r="S27" s="165"/>
      <c r="T27" s="165"/>
      <c r="U27" s="100"/>
      <c r="V27" s="100"/>
      <c r="W27" s="100"/>
      <c r="X27" s="51"/>
      <c r="Y27" s="7"/>
      <c r="Z27" s="7"/>
      <c r="AA27" s="7"/>
      <c r="AB27" s="13"/>
      <c r="AC27" s="13"/>
      <c r="AD27" s="13"/>
    </row>
    <row r="28" ht="14.25">
      <c r="A28" s="165"/>
      <c r="B28" s="515">
        <v>46055</v>
      </c>
      <c r="C28" s="517"/>
      <c r="D28" s="515">
        <v>46056</v>
      </c>
      <c r="E28" s="517"/>
      <c r="F28" s="515">
        <v>46057</v>
      </c>
      <c r="G28" s="517"/>
      <c r="H28" s="515">
        <v>46058</v>
      </c>
      <c r="I28" s="517"/>
      <c r="J28" s="515">
        <v>46059</v>
      </c>
      <c r="K28" s="517"/>
      <c r="L28" s="515">
        <v>46060</v>
      </c>
      <c r="M28" s="517"/>
      <c r="N28" s="515">
        <v>46061</v>
      </c>
      <c r="O28" s="517"/>
      <c r="P28" s="236" t="s">
        <v>25</v>
      </c>
      <c r="Q28" s="237" t="s">
        <v>26</v>
      </c>
      <c r="R28" s="327"/>
      <c r="S28" s="166"/>
      <c r="T28" s="166"/>
      <c r="U28" s="15" t="s">
        <v>27</v>
      </c>
      <c r="V28" s="106" t="s">
        <v>28</v>
      </c>
      <c r="W28" s="100" t="s">
        <v>29</v>
      </c>
      <c r="X28" s="63" t="s">
        <v>30</v>
      </c>
      <c r="Y28" s="7"/>
      <c r="Z28" s="7"/>
      <c r="AA28" s="7"/>
      <c r="AB28" s="13"/>
      <c r="AC28" s="13"/>
      <c r="AD28" s="13"/>
    </row>
    <row r="29" ht="14.25">
      <c r="A29" s="415" t="s">
        <v>62</v>
      </c>
      <c r="B29" s="527" t="s">
        <v>32</v>
      </c>
      <c r="C29" s="527" t="s">
        <v>33</v>
      </c>
      <c r="D29" s="198" t="s">
        <v>32</v>
      </c>
      <c r="E29" s="527" t="s">
        <v>33</v>
      </c>
      <c r="F29" s="198" t="s">
        <v>32</v>
      </c>
      <c r="G29" s="527" t="s">
        <v>33</v>
      </c>
      <c r="H29" s="198" t="s">
        <v>32</v>
      </c>
      <c r="I29" s="527" t="s">
        <v>33</v>
      </c>
      <c r="J29" s="198" t="s">
        <v>32</v>
      </c>
      <c r="K29" s="527" t="s">
        <v>33</v>
      </c>
      <c r="L29" s="273"/>
      <c r="M29" s="625"/>
      <c r="N29" s="273"/>
      <c r="O29" s="625"/>
      <c r="P29" s="493">
        <f t="shared" si="140"/>
        <v>40</v>
      </c>
      <c r="Q29" s="62">
        <f t="shared" ref="Q29:Q33" si="146">Q12-P29</f>
        <v>112</v>
      </c>
      <c r="R29" s="219" t="str">
        <f t="shared" si="141"/>
        <v>Раимова</v>
      </c>
      <c r="S29" s="76" t="s">
        <v>10</v>
      </c>
      <c r="T29" s="77" t="s">
        <v>9</v>
      </c>
      <c r="U29" s="85">
        <f>COUNTIF(T27,B27)+COUNTIF(T27,D27)+COUNTIF(T27,F27)+COUNTIF(T27,H27)+COUNTIF(T27,J27)+COUNTIF(T27,L27)+COUNTIF(T27,N27)</f>
        <v>0</v>
      </c>
      <c r="V29" s="227">
        <f>COUNTIF(S27,B27)+COUNTIF(S27,D27)+COUNTIF(S27,F27)+COUNTIF(S27,H27)+COUNTIF(S27,J27)+COUNTIF(S27,L27)+COUNTIF(S27,N27)</f>
        <v>0</v>
      </c>
      <c r="W29" s="86"/>
      <c r="X29" s="74" t="s">
        <v>34</v>
      </c>
      <c r="Y29" s="7"/>
      <c r="Z29" s="7"/>
      <c r="AA29" s="7"/>
      <c r="AB29" s="13"/>
      <c r="AC29" s="13"/>
      <c r="AD29" s="13"/>
    </row>
    <row r="30" ht="14.25">
      <c r="A30" s="525" t="s">
        <v>35</v>
      </c>
      <c r="B30" s="527" t="s">
        <v>32</v>
      </c>
      <c r="C30" s="527" t="s">
        <v>33</v>
      </c>
      <c r="D30" s="527" t="s">
        <v>32</v>
      </c>
      <c r="E30" s="527" t="s">
        <v>33</v>
      </c>
      <c r="F30" s="527" t="s">
        <v>32</v>
      </c>
      <c r="G30" s="527" t="s">
        <v>33</v>
      </c>
      <c r="H30" s="527" t="s">
        <v>32</v>
      </c>
      <c r="I30" s="527" t="s">
        <v>33</v>
      </c>
      <c r="J30" s="527" t="s">
        <v>32</v>
      </c>
      <c r="K30" s="527" t="s">
        <v>33</v>
      </c>
      <c r="L30" s="638"/>
      <c r="M30" s="638"/>
      <c r="N30" s="528"/>
      <c r="O30" s="528"/>
      <c r="P30" s="253">
        <f t="shared" si="140"/>
        <v>40</v>
      </c>
      <c r="Q30" s="62">
        <f t="shared" si="146"/>
        <v>112</v>
      </c>
      <c r="R30" s="442" t="str">
        <f t="shared" si="141"/>
        <v>Рычков</v>
      </c>
      <c r="S30" s="76" t="s">
        <v>10</v>
      </c>
      <c r="T30" s="77" t="s">
        <v>9</v>
      </c>
      <c r="U30" s="90">
        <f t="shared" si="144"/>
        <v>0</v>
      </c>
      <c r="V30" s="62">
        <f t="shared" si="145"/>
        <v>0</v>
      </c>
      <c r="W30" s="62"/>
      <c r="X30" s="74" t="s">
        <v>34</v>
      </c>
      <c r="Y30" s="7"/>
      <c r="Z30" s="7"/>
      <c r="AA30" s="7"/>
      <c r="AB30" s="13"/>
      <c r="AC30" s="13"/>
      <c r="AD30" s="13"/>
    </row>
    <row r="31" ht="14.25">
      <c r="A31" s="415" t="s">
        <v>39</v>
      </c>
      <c r="B31" s="527" t="s">
        <v>32</v>
      </c>
      <c r="C31" s="527" t="s">
        <v>33</v>
      </c>
      <c r="D31" s="527" t="s">
        <v>32</v>
      </c>
      <c r="E31" s="527" t="s">
        <v>33</v>
      </c>
      <c r="F31" s="527" t="s">
        <v>32</v>
      </c>
      <c r="G31" s="527" t="s">
        <v>33</v>
      </c>
      <c r="H31" s="527" t="s">
        <v>32</v>
      </c>
      <c r="I31" s="527" t="s">
        <v>33</v>
      </c>
      <c r="J31" s="527" t="s">
        <v>32</v>
      </c>
      <c r="K31" s="527" t="s">
        <v>33</v>
      </c>
      <c r="L31" s="528"/>
      <c r="M31" s="528"/>
      <c r="N31" s="528"/>
      <c r="O31" s="528"/>
      <c r="P31" s="253">
        <f t="shared" si="140"/>
        <v>40</v>
      </c>
      <c r="Q31" s="62">
        <f t="shared" si="146"/>
        <v>112</v>
      </c>
      <c r="R31" s="442" t="str">
        <f t="shared" si="141"/>
        <v>Игумнов</v>
      </c>
      <c r="S31" s="76" t="s">
        <v>10</v>
      </c>
      <c r="T31" s="77" t="s">
        <v>9</v>
      </c>
      <c r="U31" s="90">
        <f t="shared" si="144"/>
        <v>0</v>
      </c>
      <c r="V31" s="62">
        <f t="shared" si="145"/>
        <v>0</v>
      </c>
      <c r="W31" s="62"/>
      <c r="X31" s="79" t="s">
        <v>34</v>
      </c>
      <c r="Y31" s="7"/>
      <c r="Z31" s="80"/>
      <c r="AA31" s="80"/>
      <c r="AB31" s="13"/>
      <c r="AC31" s="13"/>
      <c r="AD31" s="13"/>
    </row>
    <row r="32" ht="14.25">
      <c r="A32" s="415" t="s">
        <v>40</v>
      </c>
      <c r="B32" s="527" t="s">
        <v>32</v>
      </c>
      <c r="C32" s="527" t="s">
        <v>33</v>
      </c>
      <c r="D32" s="527" t="s">
        <v>32</v>
      </c>
      <c r="E32" s="527" t="s">
        <v>33</v>
      </c>
      <c r="F32" s="527" t="s">
        <v>32</v>
      </c>
      <c r="G32" s="527" t="s">
        <v>33</v>
      </c>
      <c r="H32" s="527" t="s">
        <v>32</v>
      </c>
      <c r="I32" s="527" t="s">
        <v>33</v>
      </c>
      <c r="J32" s="527" t="s">
        <v>32</v>
      </c>
      <c r="K32" s="527" t="s">
        <v>33</v>
      </c>
      <c r="L32" s="528"/>
      <c r="M32" s="528"/>
      <c r="N32" s="528"/>
      <c r="O32" s="528"/>
      <c r="P32" s="253">
        <f t="shared" si="140"/>
        <v>40</v>
      </c>
      <c r="Q32" s="62">
        <f t="shared" si="146"/>
        <v>112</v>
      </c>
      <c r="R32" s="442" t="str">
        <f t="shared" si="141"/>
        <v>Душин</v>
      </c>
      <c r="S32" s="76" t="s">
        <v>10</v>
      </c>
      <c r="T32" s="77" t="s">
        <v>9</v>
      </c>
      <c r="U32" s="90">
        <f t="shared" si="144"/>
        <v>0</v>
      </c>
      <c r="V32" s="62">
        <f t="shared" si="145"/>
        <v>0</v>
      </c>
      <c r="W32" s="62"/>
      <c r="X32" s="74" t="s">
        <v>38</v>
      </c>
      <c r="Y32" s="80"/>
      <c r="Z32" s="80"/>
      <c r="AA32" s="80"/>
      <c r="AB32" s="13"/>
      <c r="AC32" s="13"/>
      <c r="AD32" s="13"/>
    </row>
    <row r="33" ht="14.25">
      <c r="A33" s="415" t="s">
        <v>31</v>
      </c>
      <c r="B33" s="527" t="s">
        <v>32</v>
      </c>
      <c r="C33" s="527" t="s">
        <v>33</v>
      </c>
      <c r="D33" s="527" t="s">
        <v>32</v>
      </c>
      <c r="E33" s="527" t="s">
        <v>33</v>
      </c>
      <c r="F33" s="527" t="s">
        <v>32</v>
      </c>
      <c r="G33" s="527" t="s">
        <v>33</v>
      </c>
      <c r="H33" s="527" t="s">
        <v>32</v>
      </c>
      <c r="I33" s="527" t="s">
        <v>33</v>
      </c>
      <c r="J33" s="527" t="s">
        <v>32</v>
      </c>
      <c r="K33" s="527" t="s">
        <v>33</v>
      </c>
      <c r="L33" s="528"/>
      <c r="M33" s="528"/>
      <c r="N33" s="528"/>
      <c r="O33" s="528"/>
      <c r="P33" s="253">
        <f t="shared" si="140"/>
        <v>40</v>
      </c>
      <c r="Q33" s="62">
        <f t="shared" si="146"/>
        <v>112</v>
      </c>
      <c r="R33" s="442" t="str">
        <f t="shared" si="141"/>
        <v>Нетронин</v>
      </c>
      <c r="S33" s="76" t="s">
        <v>58</v>
      </c>
      <c r="T33" s="77" t="s">
        <v>59</v>
      </c>
      <c r="U33" s="90">
        <f t="shared" si="144"/>
        <v>0</v>
      </c>
      <c r="V33" s="62">
        <f t="shared" si="145"/>
        <v>0</v>
      </c>
      <c r="W33" s="62"/>
      <c r="X33" s="74" t="s">
        <v>34</v>
      </c>
      <c r="Y33" s="80"/>
      <c r="Z33" s="80"/>
      <c r="AA33" s="80"/>
      <c r="AB33" s="13"/>
      <c r="AC33" s="13"/>
      <c r="AD33" s="13"/>
    </row>
    <row r="34" ht="14.25">
      <c r="A34" s="415" t="s">
        <v>42</v>
      </c>
      <c r="B34" s="530" t="s">
        <v>32</v>
      </c>
      <c r="C34" s="527" t="s">
        <v>33</v>
      </c>
      <c r="D34" s="530" t="s">
        <v>32</v>
      </c>
      <c r="E34" s="527" t="s">
        <v>33</v>
      </c>
      <c r="F34" s="527" t="s">
        <v>32</v>
      </c>
      <c r="G34" s="527" t="s">
        <v>33</v>
      </c>
      <c r="H34" s="527" t="s">
        <v>32</v>
      </c>
      <c r="I34" s="527" t="s">
        <v>33</v>
      </c>
      <c r="J34" s="530" t="s">
        <v>32</v>
      </c>
      <c r="K34" s="527" t="s">
        <v>33</v>
      </c>
      <c r="L34" s="531"/>
      <c r="M34" s="528"/>
      <c r="N34" s="531"/>
      <c r="O34" s="528"/>
      <c r="P34" s="253">
        <f t="shared" si="140"/>
        <v>40</v>
      </c>
      <c r="Q34" s="62">
        <f>Q20-P34</f>
        <v>112</v>
      </c>
      <c r="R34" s="442" t="str">
        <f t="shared" si="141"/>
        <v>Юращик</v>
      </c>
      <c r="S34" s="76" t="s">
        <v>10</v>
      </c>
      <c r="T34" s="77" t="s">
        <v>9</v>
      </c>
      <c r="U34" s="90">
        <f t="shared" si="144"/>
        <v>0</v>
      </c>
      <c r="V34" s="62">
        <f t="shared" si="145"/>
        <v>0</v>
      </c>
      <c r="W34" s="62"/>
      <c r="X34" s="74" t="s">
        <v>38</v>
      </c>
      <c r="Y34" s="80"/>
      <c r="Z34" s="80"/>
      <c r="AA34" s="80"/>
      <c r="AB34" s="13"/>
      <c r="AC34" s="13"/>
      <c r="AD34" s="13"/>
    </row>
    <row r="35" s="21" customFormat="1" ht="14.25">
      <c r="A35" s="278" t="s">
        <v>43</v>
      </c>
      <c r="B35" s="72" t="s">
        <v>11</v>
      </c>
      <c r="C35" s="639" t="s">
        <v>81</v>
      </c>
      <c r="D35" s="72" t="s">
        <v>11</v>
      </c>
      <c r="E35" s="640" t="s">
        <v>81</v>
      </c>
      <c r="F35" s="641"/>
      <c r="G35" s="636"/>
      <c r="H35" s="642"/>
      <c r="I35" s="643"/>
      <c r="J35" s="72" t="s">
        <v>11</v>
      </c>
      <c r="K35" s="644" t="s">
        <v>81</v>
      </c>
      <c r="L35" s="72" t="s">
        <v>11</v>
      </c>
      <c r="M35" s="645" t="s">
        <v>81</v>
      </c>
      <c r="N35" s="72" t="s">
        <v>11</v>
      </c>
      <c r="O35" s="194" t="s">
        <v>81</v>
      </c>
      <c r="P35" s="253">
        <f t="shared" si="140"/>
        <v>55</v>
      </c>
      <c r="Q35" s="62">
        <f>Q24-P35</f>
        <v>97</v>
      </c>
      <c r="R35" s="442" t="str">
        <f t="shared" si="141"/>
        <v>Дащенко</v>
      </c>
      <c r="S35" s="71" t="s">
        <v>12</v>
      </c>
      <c r="T35" s="72" t="s">
        <v>11</v>
      </c>
      <c r="U35" s="90">
        <f t="shared" si="144"/>
        <v>0</v>
      </c>
      <c r="V35" s="62">
        <f t="shared" si="145"/>
        <v>0</v>
      </c>
      <c r="W35" s="62"/>
      <c r="X35" s="80" t="s">
        <v>44</v>
      </c>
      <c r="Y35" s="7"/>
      <c r="Z35" s="7"/>
      <c r="AA35" s="7"/>
      <c r="AB35" s="13"/>
      <c r="AC35" s="13"/>
      <c r="AD35" s="13"/>
    </row>
    <row r="36" ht="14.25">
      <c r="A36" s="388" t="s">
        <v>45</v>
      </c>
      <c r="B36" s="646"/>
      <c r="C36" s="546"/>
      <c r="D36" s="646"/>
      <c r="E36" s="647"/>
      <c r="F36" s="76" t="s">
        <v>10</v>
      </c>
      <c r="G36" s="648">
        <v>11</v>
      </c>
      <c r="H36" s="76" t="s">
        <v>10</v>
      </c>
      <c r="I36" s="649">
        <v>11</v>
      </c>
      <c r="J36" s="646"/>
      <c r="K36" s="546"/>
      <c r="L36" s="646"/>
      <c r="M36" s="647"/>
      <c r="N36" s="76" t="s">
        <v>10</v>
      </c>
      <c r="O36" s="649">
        <v>11</v>
      </c>
      <c r="P36" s="253">
        <f t="shared" si="140"/>
        <v>33</v>
      </c>
      <c r="Q36" s="62">
        <f>Q21-P36</f>
        <v>108</v>
      </c>
      <c r="R36" s="442" t="str">
        <f t="shared" si="141"/>
        <v>Пузырь</v>
      </c>
      <c r="S36" s="76" t="s">
        <v>10</v>
      </c>
      <c r="T36" s="77" t="s">
        <v>9</v>
      </c>
      <c r="U36" s="90">
        <f t="shared" si="144"/>
        <v>0</v>
      </c>
      <c r="V36" s="62">
        <f t="shared" si="145"/>
        <v>0</v>
      </c>
      <c r="W36" s="62"/>
      <c r="X36" s="74" t="s">
        <v>34</v>
      </c>
      <c r="Y36" s="80"/>
      <c r="Z36" s="7"/>
      <c r="AA36" s="7"/>
      <c r="AB36" s="13"/>
      <c r="AC36" s="13"/>
      <c r="AD36" s="13"/>
    </row>
    <row r="37" ht="14.25">
      <c r="A37" s="388" t="s">
        <v>46</v>
      </c>
      <c r="B37" s="650"/>
      <c r="C37" s="546"/>
      <c r="D37" s="651"/>
      <c r="E37" s="647"/>
      <c r="F37" s="77" t="s">
        <v>9</v>
      </c>
      <c r="G37" s="652">
        <v>11</v>
      </c>
      <c r="H37" s="77" t="s">
        <v>9</v>
      </c>
      <c r="I37" s="653">
        <v>11</v>
      </c>
      <c r="J37" s="650"/>
      <c r="K37" s="546"/>
      <c r="L37" s="650"/>
      <c r="M37" s="647"/>
      <c r="N37" s="76" t="s">
        <v>10</v>
      </c>
      <c r="O37" s="649">
        <v>11</v>
      </c>
      <c r="P37" s="253">
        <f t="shared" si="140"/>
        <v>33</v>
      </c>
      <c r="Q37" s="62">
        <f t="shared" ref="Q37:Q41" si="147">Q19-P37</f>
        <v>108</v>
      </c>
      <c r="R37" s="442" t="str">
        <f t="shared" si="141"/>
        <v>Голышев</v>
      </c>
      <c r="S37" s="76" t="s">
        <v>10</v>
      </c>
      <c r="T37" s="77" t="s">
        <v>9</v>
      </c>
      <c r="U37" s="90">
        <f t="shared" si="144"/>
        <v>0</v>
      </c>
      <c r="V37" s="62">
        <f t="shared" si="145"/>
        <v>0</v>
      </c>
      <c r="W37" s="62"/>
      <c r="X37" s="74" t="s">
        <v>34</v>
      </c>
      <c r="Y37" s="80"/>
      <c r="Z37" s="7"/>
      <c r="AA37" s="7"/>
      <c r="AB37" s="13"/>
      <c r="AC37" s="13"/>
      <c r="AD37" s="13"/>
    </row>
    <row r="38" ht="14.25">
      <c r="A38" s="388" t="s">
        <v>47</v>
      </c>
      <c r="B38" s="651"/>
      <c r="C38" s="647"/>
      <c r="D38" s="76" t="s">
        <v>10</v>
      </c>
      <c r="E38" s="648">
        <v>11</v>
      </c>
      <c r="F38" s="76" t="s">
        <v>10</v>
      </c>
      <c r="G38" s="648">
        <v>11</v>
      </c>
      <c r="H38" s="291"/>
      <c r="I38" s="291"/>
      <c r="J38" s="654"/>
      <c r="K38" s="546"/>
      <c r="L38" s="651"/>
      <c r="M38" s="546"/>
      <c r="N38" s="655"/>
      <c r="O38" s="656">
        <v>11</v>
      </c>
      <c r="P38" s="253">
        <f t="shared" si="140"/>
        <v>33</v>
      </c>
      <c r="Q38" s="62">
        <f t="shared" si="147"/>
        <v>119</v>
      </c>
      <c r="R38" s="442" t="str">
        <f t="shared" si="141"/>
        <v>Торубара</v>
      </c>
      <c r="S38" s="76" t="s">
        <v>10</v>
      </c>
      <c r="T38" s="77" t="s">
        <v>9</v>
      </c>
      <c r="U38" s="90">
        <f t="shared" si="144"/>
        <v>0</v>
      </c>
      <c r="V38" s="62">
        <f t="shared" si="145"/>
        <v>0</v>
      </c>
      <c r="W38" s="62"/>
      <c r="X38" s="74" t="s">
        <v>34</v>
      </c>
      <c r="Y38" s="7"/>
      <c r="Z38" s="7"/>
      <c r="AA38" s="7"/>
      <c r="AB38" s="13"/>
      <c r="AC38" s="13"/>
      <c r="AD38" s="13"/>
    </row>
    <row r="39" ht="14.25">
      <c r="A39" s="278" t="s">
        <v>48</v>
      </c>
      <c r="B39" s="71" t="s">
        <v>8</v>
      </c>
      <c r="C39" s="648">
        <v>11</v>
      </c>
      <c r="D39" s="537"/>
      <c r="E39" s="537"/>
      <c r="F39" s="657"/>
      <c r="G39" s="647"/>
      <c r="H39" s="72" t="s">
        <v>7</v>
      </c>
      <c r="I39" s="652">
        <v>11</v>
      </c>
      <c r="J39" s="72" t="s">
        <v>7</v>
      </c>
      <c r="K39" s="658">
        <v>11</v>
      </c>
      <c r="L39" s="72" t="s">
        <v>7</v>
      </c>
      <c r="M39" s="659">
        <v>11</v>
      </c>
      <c r="N39" s="650"/>
      <c r="O39" s="546"/>
      <c r="P39" s="253">
        <f t="shared" si="140"/>
        <v>44</v>
      </c>
      <c r="Q39" s="62">
        <f t="shared" si="147"/>
        <v>97</v>
      </c>
      <c r="R39" s="442" t="str">
        <f t="shared" si="141"/>
        <v>Стрыгин</v>
      </c>
      <c r="S39" s="71" t="s">
        <v>8</v>
      </c>
      <c r="T39" s="72" t="s">
        <v>7</v>
      </c>
      <c r="U39" s="90">
        <f t="shared" si="144"/>
        <v>0</v>
      </c>
      <c r="V39" s="62">
        <f t="shared" si="145"/>
        <v>0</v>
      </c>
      <c r="W39" s="62"/>
      <c r="X39" s="74" t="s">
        <v>49</v>
      </c>
      <c r="Y39" s="7"/>
      <c r="Z39" s="7"/>
      <c r="AA39" s="7"/>
      <c r="AB39" s="13"/>
      <c r="AC39" s="13"/>
      <c r="AD39" s="13"/>
    </row>
    <row r="40" ht="14.25">
      <c r="A40" s="278" t="s">
        <v>50</v>
      </c>
      <c r="B40" s="71" t="s">
        <v>12</v>
      </c>
      <c r="C40" s="660">
        <v>11</v>
      </c>
      <c r="D40" s="71" t="s">
        <v>12</v>
      </c>
      <c r="E40" s="661">
        <v>11</v>
      </c>
      <c r="F40" s="650"/>
      <c r="G40" s="546"/>
      <c r="H40" s="662"/>
      <c r="I40" s="647"/>
      <c r="J40" s="71" t="s">
        <v>12</v>
      </c>
      <c r="K40" s="663">
        <v>11</v>
      </c>
      <c r="L40" s="71" t="s">
        <v>12</v>
      </c>
      <c r="M40" s="664">
        <v>11</v>
      </c>
      <c r="N40" s="651"/>
      <c r="O40" s="665"/>
      <c r="P40" s="253">
        <f t="shared" si="140"/>
        <v>44</v>
      </c>
      <c r="Q40" s="62">
        <f t="shared" si="147"/>
        <v>108</v>
      </c>
      <c r="R40" s="442" t="str">
        <f t="shared" si="141"/>
        <v>Фрик</v>
      </c>
      <c r="S40" s="71" t="s">
        <v>12</v>
      </c>
      <c r="T40" s="72" t="s">
        <v>11</v>
      </c>
      <c r="U40" s="90">
        <f t="shared" si="144"/>
        <v>0</v>
      </c>
      <c r="V40" s="62">
        <f t="shared" si="145"/>
        <v>0</v>
      </c>
      <c r="W40" s="62"/>
      <c r="X40" s="74" t="s">
        <v>44</v>
      </c>
      <c r="Y40" s="7"/>
      <c r="Z40" s="7"/>
      <c r="AA40" s="7"/>
      <c r="AB40" s="13"/>
      <c r="AC40" s="13"/>
      <c r="AD40" s="13"/>
    </row>
    <row r="41" ht="14.25">
      <c r="A41" s="666" t="s">
        <v>51</v>
      </c>
      <c r="B41" s="77" t="s">
        <v>9</v>
      </c>
      <c r="C41" s="131">
        <v>11</v>
      </c>
      <c r="D41" s="77" t="s">
        <v>9</v>
      </c>
      <c r="E41" s="359">
        <v>11</v>
      </c>
      <c r="F41" s="667"/>
      <c r="G41" s="668"/>
      <c r="H41" s="76" t="s">
        <v>10</v>
      </c>
      <c r="I41" s="663">
        <v>11</v>
      </c>
      <c r="J41" s="76" t="s">
        <v>10</v>
      </c>
      <c r="K41" s="663">
        <v>11</v>
      </c>
      <c r="L41" s="87"/>
      <c r="M41" s="293"/>
      <c r="N41" s="87"/>
      <c r="O41" s="87"/>
      <c r="P41" s="285">
        <f t="shared" si="140"/>
        <v>44</v>
      </c>
      <c r="Q41" s="62">
        <f t="shared" si="147"/>
        <v>97</v>
      </c>
      <c r="R41" s="442" t="str">
        <f t="shared" si="141"/>
        <v>Истрашкин</v>
      </c>
      <c r="S41" s="71" t="s">
        <v>10</v>
      </c>
      <c r="T41" s="72" t="s">
        <v>9</v>
      </c>
      <c r="U41" s="90">
        <f t="shared" si="144"/>
        <v>0</v>
      </c>
      <c r="V41" s="62">
        <f t="shared" si="145"/>
        <v>0</v>
      </c>
      <c r="W41" s="62"/>
      <c r="X41" s="74" t="s">
        <v>34</v>
      </c>
      <c r="Y41" s="7"/>
      <c r="Z41" s="7"/>
      <c r="AA41" s="7"/>
      <c r="AB41" s="13"/>
      <c r="AC41" s="13"/>
      <c r="AD41" s="13"/>
    </row>
    <row r="42" ht="14.25">
      <c r="A42" s="245"/>
      <c r="B42" s="489">
        <v>46055</v>
      </c>
      <c r="C42" s="669"/>
      <c r="D42" s="489">
        <v>46056</v>
      </c>
      <c r="E42" s="669"/>
      <c r="F42" s="515">
        <v>46057</v>
      </c>
      <c r="G42" s="517"/>
      <c r="H42" s="489">
        <v>46058</v>
      </c>
      <c r="I42" s="517"/>
      <c r="J42" s="489">
        <v>46059</v>
      </c>
      <c r="K42" s="517"/>
      <c r="L42" s="489">
        <v>46060</v>
      </c>
      <c r="M42" s="669"/>
      <c r="N42" s="489">
        <v>46061</v>
      </c>
      <c r="O42" s="669"/>
      <c r="P42" s="246"/>
      <c r="Q42" s="247"/>
      <c r="R42" s="164"/>
      <c r="S42" s="576"/>
      <c r="T42" s="576"/>
      <c r="U42" s="100"/>
      <c r="V42" s="100"/>
      <c r="W42" s="100"/>
      <c r="X42" s="7"/>
      <c r="Y42" s="7"/>
      <c r="Z42" s="7"/>
      <c r="AA42" s="7"/>
      <c r="AB42" s="13"/>
      <c r="AC42" s="13"/>
      <c r="AD42" s="13"/>
    </row>
    <row r="43" ht="14.25">
      <c r="A43" s="245"/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99"/>
      <c r="S43" s="165"/>
      <c r="T43" s="165"/>
      <c r="U43" s="100"/>
      <c r="V43" s="100"/>
      <c r="W43" s="100"/>
      <c r="X43" s="51"/>
      <c r="Y43" s="7"/>
      <c r="Z43" s="7"/>
      <c r="AA43" s="7"/>
      <c r="AB43" s="13"/>
      <c r="AC43" s="13"/>
      <c r="AD43" s="13"/>
    </row>
    <row r="44" ht="14.25">
      <c r="A44" s="143"/>
      <c r="B44" s="214" t="s">
        <v>17</v>
      </c>
      <c r="C44" s="481"/>
      <c r="D44" s="214" t="s">
        <v>18</v>
      </c>
      <c r="E44" s="481"/>
      <c r="F44" s="214" t="s">
        <v>19</v>
      </c>
      <c r="G44" s="214"/>
      <c r="H44" s="214" t="s">
        <v>20</v>
      </c>
      <c r="I44" s="481"/>
      <c r="J44" s="214" t="s">
        <v>21</v>
      </c>
      <c r="K44" s="214"/>
      <c r="L44" s="214" t="s">
        <v>22</v>
      </c>
      <c r="M44" s="214"/>
      <c r="N44" s="214" t="s">
        <v>23</v>
      </c>
      <c r="O44" s="214"/>
      <c r="P44" s="214" t="s">
        <v>24</v>
      </c>
      <c r="Q44" s="214"/>
      <c r="R44" s="117"/>
      <c r="S44" s="143"/>
      <c r="T44" s="143"/>
      <c r="U44" s="62"/>
      <c r="V44" s="62"/>
      <c r="W44" s="62"/>
      <c r="X44" s="63"/>
      <c r="Y44" s="7"/>
      <c r="Z44" s="7"/>
      <c r="AA44" s="7"/>
      <c r="AB44" s="13"/>
      <c r="AC44" s="13"/>
      <c r="AD44" s="13"/>
    </row>
    <row r="45" ht="14.25">
      <c r="A45" s="143"/>
      <c r="B45" s="515">
        <v>46062</v>
      </c>
      <c r="C45" s="517"/>
      <c r="D45" s="515">
        <v>46063</v>
      </c>
      <c r="E45" s="517"/>
      <c r="F45" s="515">
        <v>46064</v>
      </c>
      <c r="G45" s="517"/>
      <c r="H45" s="515">
        <v>46065</v>
      </c>
      <c r="I45" s="517"/>
      <c r="J45" s="515">
        <v>46066</v>
      </c>
      <c r="K45" s="517"/>
      <c r="L45" s="515">
        <v>46067</v>
      </c>
      <c r="M45" s="517"/>
      <c r="N45" s="515">
        <v>46068</v>
      </c>
      <c r="O45" s="517"/>
      <c r="P45" s="213" t="s">
        <v>25</v>
      </c>
      <c r="Q45" s="214" t="s">
        <v>26</v>
      </c>
      <c r="R45" s="287"/>
      <c r="S45" s="141"/>
      <c r="T45" s="141"/>
      <c r="U45" s="60" t="s">
        <v>27</v>
      </c>
      <c r="V45" s="61" t="s">
        <v>28</v>
      </c>
      <c r="W45" s="62" t="s">
        <v>29</v>
      </c>
      <c r="X45" s="63" t="s">
        <v>30</v>
      </c>
      <c r="Y45" s="7"/>
      <c r="Z45" s="7"/>
      <c r="AA45" s="7"/>
      <c r="AB45" s="13"/>
      <c r="AC45" s="13"/>
      <c r="AD45" s="13"/>
    </row>
    <row r="46" ht="14.25">
      <c r="A46" s="415" t="s">
        <v>62</v>
      </c>
      <c r="B46" s="527" t="s">
        <v>32</v>
      </c>
      <c r="C46" s="527" t="s">
        <v>33</v>
      </c>
      <c r="D46" s="198" t="s">
        <v>32</v>
      </c>
      <c r="E46" s="527" t="s">
        <v>33</v>
      </c>
      <c r="F46" s="198" t="s">
        <v>32</v>
      </c>
      <c r="G46" s="527" t="s">
        <v>33</v>
      </c>
      <c r="H46" s="198" t="s">
        <v>32</v>
      </c>
      <c r="I46" s="527" t="s">
        <v>33</v>
      </c>
      <c r="J46" s="198" t="s">
        <v>32</v>
      </c>
      <c r="K46" s="527" t="s">
        <v>33</v>
      </c>
      <c r="L46" s="273"/>
      <c r="M46" s="625"/>
      <c r="N46" s="273"/>
      <c r="O46" s="625"/>
      <c r="P46" s="493">
        <f t="shared" si="140"/>
        <v>40</v>
      </c>
      <c r="Q46" s="62">
        <f t="shared" ref="Q46:Q51" si="148">Q29-P46</f>
        <v>72</v>
      </c>
      <c r="R46" s="219" t="str">
        <f t="shared" si="141"/>
        <v>Раимова</v>
      </c>
      <c r="S46" s="76" t="s">
        <v>10</v>
      </c>
      <c r="T46" s="77" t="s">
        <v>9</v>
      </c>
      <c r="U46" s="85">
        <f>COUNTIF(T44,B44)+COUNTIF(T44,D44)+COUNTIF(T44,F44)+COUNTIF(T44,H44)+COUNTIF(T44,J44)+COUNTIF(T44,L44)+COUNTIF(T44,N44)</f>
        <v>0</v>
      </c>
      <c r="V46" s="227">
        <f>COUNTIF(S44,B44)+COUNTIF(S44,D44)+COUNTIF(S44,F44)+COUNTIF(S44,H44)+COUNTIF(S44,J44)+COUNTIF(S44,L44)+COUNTIF(S44,N44)</f>
        <v>0</v>
      </c>
      <c r="W46" s="86"/>
      <c r="X46" s="74" t="s">
        <v>34</v>
      </c>
      <c r="Y46" s="7"/>
      <c r="Z46" s="7"/>
      <c r="AA46" s="7"/>
      <c r="AB46" s="13"/>
      <c r="AC46" s="13"/>
      <c r="AD46" s="13"/>
    </row>
    <row r="47" ht="14.25">
      <c r="A47" s="525" t="s">
        <v>35</v>
      </c>
      <c r="B47" s="527" t="s">
        <v>32</v>
      </c>
      <c r="C47" s="527" t="s">
        <v>33</v>
      </c>
      <c r="D47" s="527" t="s">
        <v>32</v>
      </c>
      <c r="E47" s="527" t="s">
        <v>33</v>
      </c>
      <c r="F47" s="527" t="s">
        <v>32</v>
      </c>
      <c r="G47" s="527" t="s">
        <v>33</v>
      </c>
      <c r="H47" s="527" t="s">
        <v>32</v>
      </c>
      <c r="I47" s="527" t="s">
        <v>33</v>
      </c>
      <c r="J47" s="527" t="s">
        <v>32</v>
      </c>
      <c r="K47" s="527" t="s">
        <v>33</v>
      </c>
      <c r="L47" s="528"/>
      <c r="M47" s="528"/>
      <c r="N47" s="528"/>
      <c r="O47" s="528" t="s">
        <v>83</v>
      </c>
      <c r="P47" s="253">
        <f t="shared" si="140"/>
        <v>42.5</v>
      </c>
      <c r="Q47" s="62">
        <f t="shared" si="148"/>
        <v>69.5</v>
      </c>
      <c r="R47" s="442" t="str">
        <f t="shared" si="141"/>
        <v>Рычков</v>
      </c>
      <c r="S47" s="76" t="s">
        <v>10</v>
      </c>
      <c r="T47" s="77" t="s">
        <v>9</v>
      </c>
      <c r="U47" s="90">
        <f t="shared" si="144"/>
        <v>0</v>
      </c>
      <c r="V47" s="62">
        <f t="shared" si="145"/>
        <v>0</v>
      </c>
      <c r="W47" s="62"/>
      <c r="X47" s="74" t="s">
        <v>34</v>
      </c>
      <c r="Y47" s="7"/>
      <c r="Z47" s="7"/>
      <c r="AA47" s="7"/>
      <c r="AB47" s="13"/>
      <c r="AC47" s="13"/>
      <c r="AD47" s="13"/>
    </row>
    <row r="48" ht="14.25">
      <c r="A48" s="415" t="s">
        <v>39</v>
      </c>
      <c r="B48" s="527" t="s">
        <v>32</v>
      </c>
      <c r="C48" s="527" t="s">
        <v>33</v>
      </c>
      <c r="D48" s="527" t="s">
        <v>32</v>
      </c>
      <c r="E48" s="527" t="s">
        <v>33</v>
      </c>
      <c r="F48" s="527" t="s">
        <v>32</v>
      </c>
      <c r="G48" s="527" t="s">
        <v>33</v>
      </c>
      <c r="H48" s="527" t="s">
        <v>32</v>
      </c>
      <c r="I48" s="527" t="s">
        <v>33</v>
      </c>
      <c r="J48" s="527" t="s">
        <v>32</v>
      </c>
      <c r="K48" s="527" t="s">
        <v>33</v>
      </c>
      <c r="L48" s="528"/>
      <c r="M48" s="528"/>
      <c r="N48" s="528"/>
      <c r="O48" s="528"/>
      <c r="P48" s="253">
        <f t="shared" si="140"/>
        <v>40</v>
      </c>
      <c r="Q48" s="62">
        <f t="shared" si="148"/>
        <v>72</v>
      </c>
      <c r="R48" s="442" t="str">
        <f t="shared" si="141"/>
        <v>Игумнов</v>
      </c>
      <c r="S48" s="76" t="s">
        <v>10</v>
      </c>
      <c r="T48" s="77" t="s">
        <v>9</v>
      </c>
      <c r="U48" s="90">
        <f t="shared" si="144"/>
        <v>0</v>
      </c>
      <c r="V48" s="62">
        <f t="shared" si="145"/>
        <v>0</v>
      </c>
      <c r="W48" s="62"/>
      <c r="X48" s="79" t="s">
        <v>34</v>
      </c>
      <c r="Y48" s="7"/>
      <c r="Z48" s="7"/>
      <c r="AA48" s="7"/>
      <c r="AB48" s="13"/>
      <c r="AC48" s="13"/>
      <c r="AD48" s="13"/>
    </row>
    <row r="49" ht="14.25">
      <c r="A49" s="415" t="s">
        <v>40</v>
      </c>
      <c r="B49" s="527" t="s">
        <v>32</v>
      </c>
      <c r="C49" s="527" t="s">
        <v>33</v>
      </c>
      <c r="D49" s="527" t="s">
        <v>32</v>
      </c>
      <c r="E49" s="527" t="s">
        <v>33</v>
      </c>
      <c r="F49" s="670" t="s">
        <v>1</v>
      </c>
      <c r="G49" s="5">
        <v>8</v>
      </c>
      <c r="H49" s="670" t="s">
        <v>1</v>
      </c>
      <c r="I49" s="5">
        <v>8</v>
      </c>
      <c r="J49" s="670" t="s">
        <v>1</v>
      </c>
      <c r="K49" s="5">
        <v>8</v>
      </c>
      <c r="L49" s="528"/>
      <c r="M49" s="528"/>
      <c r="N49" s="528"/>
      <c r="O49" s="528"/>
      <c r="P49" s="253">
        <f t="shared" si="140"/>
        <v>40</v>
      </c>
      <c r="Q49" s="62">
        <f t="shared" si="148"/>
        <v>72</v>
      </c>
      <c r="R49" s="442" t="str">
        <f t="shared" si="141"/>
        <v>Душин</v>
      </c>
      <c r="S49" s="76" t="s">
        <v>10</v>
      </c>
      <c r="T49" s="77" t="s">
        <v>9</v>
      </c>
      <c r="U49" s="90">
        <f t="shared" si="144"/>
        <v>0</v>
      </c>
      <c r="V49" s="62">
        <f t="shared" si="145"/>
        <v>0</v>
      </c>
      <c r="W49" s="62"/>
      <c r="X49" s="74" t="s">
        <v>38</v>
      </c>
      <c r="Y49" s="7"/>
      <c r="Z49" s="7"/>
      <c r="AA49" s="7"/>
      <c r="AB49" s="13"/>
      <c r="AC49" s="13"/>
      <c r="AD49" s="13"/>
    </row>
    <row r="50" ht="14.25">
      <c r="A50" s="415" t="s">
        <v>31</v>
      </c>
      <c r="B50" s="527" t="s">
        <v>32</v>
      </c>
      <c r="C50" s="527" t="s">
        <v>33</v>
      </c>
      <c r="D50" s="527" t="s">
        <v>32</v>
      </c>
      <c r="E50" s="527" t="s">
        <v>33</v>
      </c>
      <c r="F50" s="527" t="s">
        <v>32</v>
      </c>
      <c r="G50" s="527" t="s">
        <v>33</v>
      </c>
      <c r="H50" s="527" t="s">
        <v>32</v>
      </c>
      <c r="I50" s="527" t="s">
        <v>33</v>
      </c>
      <c r="J50" s="527" t="s">
        <v>32</v>
      </c>
      <c r="K50" s="527" t="s">
        <v>33</v>
      </c>
      <c r="L50" s="528"/>
      <c r="M50" s="528"/>
      <c r="N50" s="528"/>
      <c r="O50" s="528"/>
      <c r="P50" s="253">
        <f t="shared" si="140"/>
        <v>40</v>
      </c>
      <c r="Q50" s="62">
        <f t="shared" si="148"/>
        <v>72</v>
      </c>
      <c r="R50" s="442" t="str">
        <f t="shared" si="141"/>
        <v>Нетронин</v>
      </c>
      <c r="S50" s="76" t="s">
        <v>58</v>
      </c>
      <c r="T50" s="77" t="s">
        <v>59</v>
      </c>
      <c r="U50" s="90"/>
      <c r="V50" s="62"/>
      <c r="W50" s="62"/>
      <c r="X50" s="74" t="s">
        <v>34</v>
      </c>
      <c r="Y50" s="7"/>
      <c r="Z50" s="7"/>
      <c r="AA50" s="7"/>
      <c r="AB50" s="13"/>
      <c r="AC50" s="13"/>
      <c r="AD50" s="13"/>
    </row>
    <row r="51" ht="14.25">
      <c r="A51" s="415" t="s">
        <v>42</v>
      </c>
      <c r="B51" s="527" t="s">
        <v>32</v>
      </c>
      <c r="C51" s="527" t="s">
        <v>33</v>
      </c>
      <c r="D51" s="527" t="s">
        <v>32</v>
      </c>
      <c r="E51" s="527" t="s">
        <v>33</v>
      </c>
      <c r="F51" s="527" t="s">
        <v>32</v>
      </c>
      <c r="G51" s="527" t="s">
        <v>33</v>
      </c>
      <c r="H51" s="527" t="s">
        <v>32</v>
      </c>
      <c r="I51" s="527" t="s">
        <v>33</v>
      </c>
      <c r="J51" s="527" t="s">
        <v>32</v>
      </c>
      <c r="K51" s="527" t="s">
        <v>33</v>
      </c>
      <c r="L51" s="528"/>
      <c r="M51" s="528"/>
      <c r="N51" s="528"/>
      <c r="O51" s="528"/>
      <c r="P51" s="253">
        <f t="shared" si="140"/>
        <v>40</v>
      </c>
      <c r="Q51" s="62">
        <f t="shared" si="148"/>
        <v>72</v>
      </c>
      <c r="R51" s="442" t="str">
        <f t="shared" si="141"/>
        <v>Юращик</v>
      </c>
      <c r="S51" s="76" t="s">
        <v>10</v>
      </c>
      <c r="T51" s="77" t="s">
        <v>9</v>
      </c>
      <c r="U51" s="90"/>
      <c r="V51" s="62"/>
      <c r="W51" s="62"/>
      <c r="X51" s="74" t="s">
        <v>38</v>
      </c>
      <c r="Y51" s="7"/>
      <c r="Z51" s="7"/>
      <c r="AA51" s="7"/>
      <c r="AB51" s="13"/>
      <c r="AC51" s="13"/>
      <c r="AD51" s="13"/>
    </row>
    <row r="52" ht="14.4" hidden="1">
      <c r="A52" s="671" t="s">
        <v>84</v>
      </c>
      <c r="B52" s="254"/>
      <c r="C52" s="254"/>
      <c r="D52" s="672"/>
      <c r="E52" s="672"/>
      <c r="F52" s="673"/>
      <c r="G52" s="247"/>
      <c r="H52" s="674"/>
      <c r="I52" s="674"/>
      <c r="J52" s="674"/>
      <c r="K52" s="254"/>
      <c r="L52" s="531"/>
      <c r="M52" s="528"/>
      <c r="N52" s="528"/>
      <c r="O52" s="528"/>
      <c r="P52" s="253">
        <f t="shared" si="140"/>
        <v>0</v>
      </c>
      <c r="Q52" s="62" t="e">
        <f>#REF!-P52</f>
        <v>#REF!</v>
      </c>
      <c r="R52" s="442" t="str">
        <f t="shared" si="141"/>
        <v>Будовская</v>
      </c>
      <c r="S52" s="76" t="s">
        <v>10</v>
      </c>
      <c r="T52" s="77" t="s">
        <v>9</v>
      </c>
      <c r="U52" s="90">
        <f t="shared" si="144"/>
        <v>0</v>
      </c>
      <c r="V52" s="62">
        <f t="shared" si="145"/>
        <v>0</v>
      </c>
      <c r="W52" s="62"/>
      <c r="X52" s="74" t="s">
        <v>38</v>
      </c>
      <c r="Y52" s="7"/>
      <c r="Z52" s="7"/>
      <c r="AA52" s="7"/>
      <c r="AB52" s="13"/>
      <c r="AC52" s="13"/>
      <c r="AD52" s="13"/>
    </row>
    <row r="53" s="21" customFormat="1" ht="14.25">
      <c r="A53" s="388" t="s">
        <v>43</v>
      </c>
      <c r="B53" s="675"/>
      <c r="C53" s="621"/>
      <c r="D53" s="674"/>
      <c r="E53" s="676"/>
      <c r="F53" s="71" t="s">
        <v>12</v>
      </c>
      <c r="G53" s="677">
        <v>11</v>
      </c>
      <c r="H53" s="87"/>
      <c r="I53" s="87"/>
      <c r="J53" s="72" t="s">
        <v>11</v>
      </c>
      <c r="K53" s="644" t="s">
        <v>81</v>
      </c>
      <c r="L53" s="72" t="s">
        <v>11</v>
      </c>
      <c r="M53" s="194" t="s">
        <v>81</v>
      </c>
      <c r="N53" s="254"/>
      <c r="O53" s="254"/>
      <c r="P53" s="253">
        <f t="shared" si="140"/>
        <v>33</v>
      </c>
      <c r="Q53" s="62">
        <f t="shared" ref="Q53:Q95" si="149">Q35-P53</f>
        <v>64</v>
      </c>
      <c r="R53" s="442" t="str">
        <f t="shared" si="141"/>
        <v>Дащенко</v>
      </c>
      <c r="S53" s="71" t="s">
        <v>12</v>
      </c>
      <c r="T53" s="72" t="s">
        <v>11</v>
      </c>
      <c r="U53" s="90">
        <f t="shared" si="144"/>
        <v>0</v>
      </c>
      <c r="V53" s="62">
        <f t="shared" si="145"/>
        <v>0</v>
      </c>
      <c r="W53" s="62"/>
      <c r="X53" s="80" t="s">
        <v>44</v>
      </c>
      <c r="Y53" s="7"/>
      <c r="Z53" s="7"/>
      <c r="AA53" s="7"/>
      <c r="AB53" s="13"/>
      <c r="AC53" s="13"/>
      <c r="AD53" s="13"/>
    </row>
    <row r="54" ht="14.25">
      <c r="A54" s="278" t="s">
        <v>45</v>
      </c>
      <c r="B54" s="76" t="s">
        <v>10</v>
      </c>
      <c r="C54" s="648">
        <v>11</v>
      </c>
      <c r="D54" s="87"/>
      <c r="E54" s="87"/>
      <c r="F54" s="657"/>
      <c r="G54" s="647"/>
      <c r="H54" s="76" t="s">
        <v>10</v>
      </c>
      <c r="I54" s="678">
        <v>11</v>
      </c>
      <c r="J54" s="76" t="s">
        <v>10</v>
      </c>
      <c r="K54" s="649">
        <v>11</v>
      </c>
      <c r="L54" s="679"/>
      <c r="M54" s="680"/>
      <c r="N54" s="651"/>
      <c r="O54" s="546"/>
      <c r="P54" s="253">
        <f t="shared" si="140"/>
        <v>33</v>
      </c>
      <c r="Q54" s="62">
        <f t="shared" si="149"/>
        <v>75</v>
      </c>
      <c r="R54" s="442" t="str">
        <f t="shared" si="141"/>
        <v>Пузырь</v>
      </c>
      <c r="S54" s="76" t="s">
        <v>10</v>
      </c>
      <c r="T54" s="77" t="s">
        <v>9</v>
      </c>
      <c r="U54" s="90">
        <f t="shared" si="144"/>
        <v>0</v>
      </c>
      <c r="V54" s="62">
        <f t="shared" si="145"/>
        <v>0</v>
      </c>
      <c r="W54" s="62"/>
      <c r="X54" s="74" t="s">
        <v>34</v>
      </c>
      <c r="Y54" s="7"/>
      <c r="Z54" s="7"/>
      <c r="AA54" s="7"/>
      <c r="AB54" s="13"/>
      <c r="AC54" s="13"/>
      <c r="AD54" s="13"/>
    </row>
    <row r="55" ht="14.25">
      <c r="A55" s="278" t="s">
        <v>46</v>
      </c>
      <c r="B55" s="76" t="s">
        <v>10</v>
      </c>
      <c r="C55" s="649">
        <v>11</v>
      </c>
      <c r="D55" s="662"/>
      <c r="E55" s="681"/>
      <c r="F55" s="650"/>
      <c r="G55" s="647"/>
      <c r="H55" s="77" t="s">
        <v>32</v>
      </c>
      <c r="I55" s="682">
        <v>9</v>
      </c>
      <c r="J55" s="683"/>
      <c r="K55" s="668"/>
      <c r="L55" s="76" t="s">
        <v>10</v>
      </c>
      <c r="M55" s="648">
        <v>11</v>
      </c>
      <c r="N55" s="76" t="s">
        <v>10</v>
      </c>
      <c r="O55" s="649">
        <v>11</v>
      </c>
      <c r="P55" s="253">
        <f t="shared" si="140"/>
        <v>42</v>
      </c>
      <c r="Q55" s="62">
        <f t="shared" si="149"/>
        <v>66</v>
      </c>
      <c r="R55" s="442" t="str">
        <f t="shared" si="141"/>
        <v>Голышев</v>
      </c>
      <c r="S55" s="76" t="s">
        <v>10</v>
      </c>
      <c r="T55" s="77" t="s">
        <v>9</v>
      </c>
      <c r="U55" s="90">
        <f t="shared" si="144"/>
        <v>0</v>
      </c>
      <c r="V55" s="62">
        <f t="shared" si="145"/>
        <v>0</v>
      </c>
      <c r="W55" s="62"/>
      <c r="X55" s="74" t="s">
        <v>34</v>
      </c>
      <c r="Y55" s="7"/>
      <c r="Z55" s="7"/>
      <c r="AA55" s="7"/>
      <c r="AB55" s="13"/>
      <c r="AC55" s="13"/>
      <c r="AD55" s="13"/>
    </row>
    <row r="56" ht="14.25">
      <c r="A56" s="278" t="s">
        <v>47</v>
      </c>
      <c r="B56" s="77" t="s">
        <v>9</v>
      </c>
      <c r="C56" s="652">
        <v>11</v>
      </c>
      <c r="D56" s="77" t="s">
        <v>9</v>
      </c>
      <c r="E56" s="684">
        <v>11</v>
      </c>
      <c r="F56" s="651"/>
      <c r="G56" s="546"/>
      <c r="H56" s="685"/>
      <c r="I56" s="686"/>
      <c r="J56" s="76" t="s">
        <v>10</v>
      </c>
      <c r="K56" s="648">
        <v>11</v>
      </c>
      <c r="L56" s="76" t="s">
        <v>10</v>
      </c>
      <c r="M56" s="649">
        <v>11</v>
      </c>
      <c r="N56" s="662"/>
      <c r="O56" s="546"/>
      <c r="P56" s="253">
        <f t="shared" si="140"/>
        <v>44</v>
      </c>
      <c r="Q56" s="62">
        <f t="shared" si="149"/>
        <v>75</v>
      </c>
      <c r="R56" s="442" t="str">
        <f t="shared" si="141"/>
        <v>Торубара</v>
      </c>
      <c r="S56" s="76" t="s">
        <v>10</v>
      </c>
      <c r="T56" s="77" t="s">
        <v>9</v>
      </c>
      <c r="U56" s="90">
        <f t="shared" si="144"/>
        <v>0</v>
      </c>
      <c r="V56" s="62">
        <f t="shared" si="145"/>
        <v>0</v>
      </c>
      <c r="W56" s="62"/>
      <c r="X56" s="74" t="s">
        <v>34</v>
      </c>
      <c r="Y56" s="7"/>
      <c r="Z56" s="7"/>
      <c r="AA56" s="7"/>
      <c r="AB56" s="13"/>
      <c r="AC56" s="13"/>
      <c r="AD56" s="13"/>
    </row>
    <row r="57" ht="14.25">
      <c r="A57" s="388" t="s">
        <v>48</v>
      </c>
      <c r="B57" s="646"/>
      <c r="C57" s="647"/>
      <c r="D57" s="87"/>
      <c r="E57" s="87"/>
      <c r="F57" s="72" t="s">
        <v>7</v>
      </c>
      <c r="G57" s="682">
        <v>11</v>
      </c>
      <c r="H57" s="650"/>
      <c r="I57" s="546"/>
      <c r="J57" s="646"/>
      <c r="K57" s="546"/>
      <c r="L57" s="662"/>
      <c r="M57" s="647"/>
      <c r="N57" s="71" t="s">
        <v>8</v>
      </c>
      <c r="O57" s="649">
        <v>11</v>
      </c>
      <c r="P57" s="253">
        <f t="shared" si="140"/>
        <v>22</v>
      </c>
      <c r="Q57" s="62">
        <f t="shared" si="149"/>
        <v>75</v>
      </c>
      <c r="R57" s="442" t="str">
        <f t="shared" si="141"/>
        <v>Стрыгин</v>
      </c>
      <c r="S57" s="71" t="s">
        <v>8</v>
      </c>
      <c r="T57" s="72" t="s">
        <v>7</v>
      </c>
      <c r="U57" s="90">
        <f t="shared" si="144"/>
        <v>0</v>
      </c>
      <c r="V57" s="62">
        <f t="shared" si="145"/>
        <v>0</v>
      </c>
      <c r="W57" s="62"/>
      <c r="X57" s="74" t="s">
        <v>49</v>
      </c>
      <c r="Y57" s="7"/>
      <c r="Z57" s="7"/>
      <c r="AA57" s="7"/>
      <c r="AB57" s="13"/>
      <c r="AC57" s="13"/>
      <c r="AD57" s="13"/>
    </row>
    <row r="58" ht="14.25">
      <c r="A58" s="388" t="s">
        <v>50</v>
      </c>
      <c r="B58" s="651"/>
      <c r="C58" s="647"/>
      <c r="D58" s="71" t="s">
        <v>12</v>
      </c>
      <c r="E58" s="678">
        <v>11</v>
      </c>
      <c r="F58" s="71" t="s">
        <v>12</v>
      </c>
      <c r="G58" s="649">
        <v>11</v>
      </c>
      <c r="H58" s="651"/>
      <c r="I58" s="546"/>
      <c r="J58" s="651"/>
      <c r="K58" s="647"/>
      <c r="L58" s="72" t="s">
        <v>11</v>
      </c>
      <c r="M58" s="687">
        <v>11</v>
      </c>
      <c r="N58" s="72" t="s">
        <v>11</v>
      </c>
      <c r="O58" s="682">
        <v>11</v>
      </c>
      <c r="P58" s="253">
        <f t="shared" si="140"/>
        <v>44</v>
      </c>
      <c r="Q58" s="62">
        <f t="shared" si="149"/>
        <v>64</v>
      </c>
      <c r="R58" s="442" t="str">
        <f t="shared" si="141"/>
        <v>Фрик</v>
      </c>
      <c r="S58" s="71" t="s">
        <v>12</v>
      </c>
      <c r="T58" s="72" t="s">
        <v>11</v>
      </c>
      <c r="U58" s="90">
        <f t="shared" si="144"/>
        <v>0</v>
      </c>
      <c r="V58" s="62">
        <f t="shared" si="145"/>
        <v>0</v>
      </c>
      <c r="W58" s="62"/>
      <c r="X58" s="74" t="s">
        <v>44</v>
      </c>
      <c r="Y58" s="7"/>
      <c r="Z58" s="7"/>
      <c r="AA58" s="7"/>
      <c r="AB58" s="13"/>
      <c r="AC58" s="13"/>
      <c r="AD58" s="13"/>
    </row>
    <row r="59" ht="14.25">
      <c r="A59" s="278" t="s">
        <v>51</v>
      </c>
      <c r="B59" s="77" t="s">
        <v>9</v>
      </c>
      <c r="C59" s="682">
        <v>11</v>
      </c>
      <c r="D59" s="646"/>
      <c r="E59" s="546"/>
      <c r="F59" s="646"/>
      <c r="G59" s="647"/>
      <c r="H59" s="77" t="s">
        <v>9</v>
      </c>
      <c r="I59" s="652">
        <v>11</v>
      </c>
      <c r="J59" s="77" t="s">
        <v>9</v>
      </c>
      <c r="K59" s="652">
        <v>11</v>
      </c>
      <c r="L59" s="87"/>
      <c r="M59" s="87"/>
      <c r="N59" s="657"/>
      <c r="O59" s="546"/>
      <c r="P59" s="253">
        <f t="shared" si="140"/>
        <v>33</v>
      </c>
      <c r="Q59" s="62">
        <f t="shared" si="149"/>
        <v>64</v>
      </c>
      <c r="R59" s="442" t="str">
        <f t="shared" si="141"/>
        <v>Истрашкин</v>
      </c>
      <c r="S59" s="71" t="s">
        <v>10</v>
      </c>
      <c r="T59" s="72" t="s">
        <v>9</v>
      </c>
      <c r="U59" s="90">
        <f t="shared" si="144"/>
        <v>0</v>
      </c>
      <c r="V59" s="62">
        <f t="shared" si="145"/>
        <v>0</v>
      </c>
      <c r="W59" s="62"/>
      <c r="X59" s="74" t="s">
        <v>34</v>
      </c>
      <c r="Y59" s="7"/>
      <c r="Z59" s="7"/>
      <c r="AA59" s="7"/>
      <c r="AB59" s="13"/>
      <c r="AC59" s="13"/>
      <c r="AD59" s="13"/>
    </row>
    <row r="60" ht="14.25">
      <c r="A60" s="207"/>
      <c r="B60" s="489">
        <v>46062</v>
      </c>
      <c r="C60" s="517"/>
      <c r="D60" s="515">
        <v>46063</v>
      </c>
      <c r="E60" s="517"/>
      <c r="F60" s="515">
        <v>46064</v>
      </c>
      <c r="G60" s="517"/>
      <c r="H60" s="489">
        <v>46064</v>
      </c>
      <c r="I60" s="517"/>
      <c r="J60" s="489">
        <v>46066</v>
      </c>
      <c r="K60" s="517"/>
      <c r="L60" s="489">
        <v>46067</v>
      </c>
      <c r="M60" s="669"/>
      <c r="N60" s="515">
        <v>46068</v>
      </c>
      <c r="O60" s="517"/>
      <c r="P60" s="253"/>
      <c r="Q60" s="254"/>
      <c r="R60" s="297"/>
      <c r="S60" s="134"/>
      <c r="T60" s="134"/>
      <c r="U60" s="60" t="s">
        <v>27</v>
      </c>
      <c r="V60" s="61" t="s">
        <v>28</v>
      </c>
      <c r="W60" s="62" t="s">
        <v>29</v>
      </c>
      <c r="X60" s="7"/>
      <c r="Y60" s="7"/>
      <c r="Z60" s="7"/>
      <c r="AA60" s="7"/>
      <c r="AB60" s="13"/>
      <c r="AC60" s="13"/>
      <c r="AD60" s="13"/>
    </row>
    <row r="61" ht="14.25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27"/>
      <c r="S61" s="127"/>
      <c r="T61" s="127"/>
      <c r="U61" s="127"/>
      <c r="V61" s="127"/>
      <c r="W61" s="128"/>
      <c r="X61" s="7"/>
      <c r="Y61" s="7"/>
      <c r="Z61" s="7"/>
      <c r="AA61" s="7"/>
      <c r="AB61" s="13"/>
      <c r="AC61" s="13"/>
      <c r="AD61" s="13"/>
    </row>
    <row r="62" ht="14.25">
      <c r="A62" s="143"/>
      <c r="B62" s="214" t="s">
        <v>17</v>
      </c>
      <c r="C62" s="481"/>
      <c r="D62" s="214" t="s">
        <v>18</v>
      </c>
      <c r="E62" s="481"/>
      <c r="F62" s="214" t="s">
        <v>19</v>
      </c>
      <c r="G62" s="214"/>
      <c r="H62" s="214" t="s">
        <v>20</v>
      </c>
      <c r="I62" s="481"/>
      <c r="J62" s="482" t="s">
        <v>21</v>
      </c>
      <c r="K62" s="482"/>
      <c r="L62" s="214" t="s">
        <v>22</v>
      </c>
      <c r="M62" s="214"/>
      <c r="N62" s="214" t="s">
        <v>23</v>
      </c>
      <c r="O62" s="214"/>
      <c r="P62" s="214" t="s">
        <v>24</v>
      </c>
      <c r="Q62" s="214"/>
      <c r="R62" s="117"/>
      <c r="S62" s="143"/>
      <c r="T62" s="143"/>
      <c r="U62" s="62"/>
      <c r="V62" s="62"/>
      <c r="W62" s="62"/>
      <c r="X62" s="51"/>
      <c r="Y62" s="7"/>
      <c r="Z62" s="7"/>
      <c r="AA62" s="7"/>
      <c r="AB62" s="13"/>
      <c r="AC62" s="13"/>
      <c r="AD62" s="13"/>
    </row>
    <row r="63" ht="14.25">
      <c r="A63" s="143"/>
      <c r="B63" s="515">
        <v>46069</v>
      </c>
      <c r="C63" s="517"/>
      <c r="D63" s="515">
        <v>46070</v>
      </c>
      <c r="E63" s="517"/>
      <c r="F63" s="515">
        <v>46071</v>
      </c>
      <c r="G63" s="517"/>
      <c r="H63" s="515">
        <v>46072</v>
      </c>
      <c r="I63" s="517"/>
      <c r="J63" s="515">
        <v>46073</v>
      </c>
      <c r="K63" s="517"/>
      <c r="L63" s="515">
        <v>46074</v>
      </c>
      <c r="M63" s="517"/>
      <c r="N63" s="515">
        <v>46075</v>
      </c>
      <c r="O63" s="517"/>
      <c r="P63" s="213" t="s">
        <v>25</v>
      </c>
      <c r="Q63" s="214" t="s">
        <v>26</v>
      </c>
      <c r="R63" s="287"/>
      <c r="S63" s="141"/>
      <c r="T63" s="141"/>
      <c r="U63" s="60" t="s">
        <v>27</v>
      </c>
      <c r="V63" s="61" t="s">
        <v>28</v>
      </c>
      <c r="W63" s="62" t="s">
        <v>29</v>
      </c>
      <c r="X63" s="63" t="s">
        <v>30</v>
      </c>
      <c r="Y63" s="7"/>
      <c r="Z63" s="7"/>
      <c r="AA63" s="7"/>
      <c r="AB63" s="13"/>
      <c r="AC63" s="13"/>
      <c r="AD63" s="13"/>
    </row>
    <row r="64" ht="14.25">
      <c r="A64" s="415" t="s">
        <v>62</v>
      </c>
      <c r="B64" s="527" t="s">
        <v>32</v>
      </c>
      <c r="C64" s="527" t="s">
        <v>33</v>
      </c>
      <c r="D64" s="198" t="s">
        <v>32</v>
      </c>
      <c r="E64" s="527" t="s">
        <v>33</v>
      </c>
      <c r="F64" s="198" t="s">
        <v>32</v>
      </c>
      <c r="G64" s="527" t="s">
        <v>33</v>
      </c>
      <c r="H64" s="198" t="s">
        <v>32</v>
      </c>
      <c r="I64" s="527" t="s">
        <v>33</v>
      </c>
      <c r="J64" s="198" t="s">
        <v>32</v>
      </c>
      <c r="K64" s="527" t="s">
        <v>33</v>
      </c>
      <c r="L64" s="273"/>
      <c r="M64" s="625"/>
      <c r="N64" s="273"/>
      <c r="O64" s="625"/>
      <c r="P64" s="493">
        <f t="shared" si="140"/>
        <v>40</v>
      </c>
      <c r="Q64" s="62">
        <f t="shared" si="149"/>
        <v>32</v>
      </c>
      <c r="R64" s="219" t="str">
        <f t="shared" si="141"/>
        <v>Раимова</v>
      </c>
      <c r="S64" s="76" t="s">
        <v>10</v>
      </c>
      <c r="T64" s="77" t="s">
        <v>9</v>
      </c>
      <c r="U64" s="85">
        <f>COUNTIF(T62,B62)+COUNTIF(T62,D62)+COUNTIF(T62,F62)+COUNTIF(T62,H62)+COUNTIF(T62,J62)+COUNTIF(T62,L62)+COUNTIF(T62,N62)</f>
        <v>0</v>
      </c>
      <c r="V64" s="227">
        <f>COUNTIF(S62,B62)+COUNTIF(S62,D62)+COUNTIF(S62,F62)+COUNTIF(S62,H62)+COUNTIF(S62,J62)+COUNTIF(S62,L62)+COUNTIF(S62,N62)</f>
        <v>0</v>
      </c>
      <c r="W64" s="86"/>
      <c r="X64" s="74" t="s">
        <v>34</v>
      </c>
      <c r="Y64" s="7"/>
      <c r="Z64" s="7"/>
      <c r="AA64" s="7"/>
      <c r="AB64" s="13"/>
      <c r="AC64" s="13"/>
      <c r="AD64" s="13"/>
    </row>
    <row r="65" ht="14.25">
      <c r="A65" s="525" t="s">
        <v>35</v>
      </c>
      <c r="B65" s="527" t="s">
        <v>32</v>
      </c>
      <c r="C65" s="527" t="s">
        <v>33</v>
      </c>
      <c r="D65" s="527" t="s">
        <v>32</v>
      </c>
      <c r="E65" s="527" t="s">
        <v>33</v>
      </c>
      <c r="F65" s="527" t="s">
        <v>32</v>
      </c>
      <c r="G65" s="527" t="s">
        <v>33</v>
      </c>
      <c r="H65" s="527" t="s">
        <v>32</v>
      </c>
      <c r="I65" s="527" t="s">
        <v>33</v>
      </c>
      <c r="J65" s="527" t="s">
        <v>32</v>
      </c>
      <c r="K65" s="527" t="s">
        <v>33</v>
      </c>
      <c r="L65" s="528"/>
      <c r="M65" s="528"/>
      <c r="N65" s="528"/>
      <c r="O65" s="528"/>
      <c r="P65" s="253">
        <f t="shared" si="140"/>
        <v>40</v>
      </c>
      <c r="Q65" s="62">
        <f t="shared" si="149"/>
        <v>29.5</v>
      </c>
      <c r="R65" s="442" t="str">
        <f t="shared" si="141"/>
        <v>Рычков</v>
      </c>
      <c r="S65" s="76" t="s">
        <v>10</v>
      </c>
      <c r="T65" s="77" t="s">
        <v>9</v>
      </c>
      <c r="U65" s="90">
        <f t="shared" si="144"/>
        <v>0</v>
      </c>
      <c r="V65" s="62">
        <f t="shared" si="145"/>
        <v>0</v>
      </c>
      <c r="W65" s="62"/>
      <c r="X65" s="74" t="s">
        <v>34</v>
      </c>
      <c r="Y65" s="7"/>
      <c r="Z65" s="7"/>
      <c r="AA65" s="7"/>
      <c r="AB65" s="13"/>
      <c r="AC65" s="13"/>
      <c r="AD65" s="13"/>
    </row>
    <row r="66" ht="14.25">
      <c r="A66" s="415" t="s">
        <v>39</v>
      </c>
      <c r="B66" s="527" t="s">
        <v>32</v>
      </c>
      <c r="C66" s="527" t="s">
        <v>33</v>
      </c>
      <c r="D66" s="527" t="s">
        <v>32</v>
      </c>
      <c r="E66" s="527" t="s">
        <v>33</v>
      </c>
      <c r="F66" s="527" t="s">
        <v>32</v>
      </c>
      <c r="G66" s="527" t="s">
        <v>33</v>
      </c>
      <c r="H66" s="527" t="s">
        <v>32</v>
      </c>
      <c r="I66" s="527" t="s">
        <v>33</v>
      </c>
      <c r="J66" s="527" t="s">
        <v>32</v>
      </c>
      <c r="K66" s="527" t="s">
        <v>33</v>
      </c>
      <c r="L66" s="528"/>
      <c r="M66" s="528"/>
      <c r="N66" s="528"/>
      <c r="O66" s="528"/>
      <c r="P66" s="253">
        <f t="shared" si="140"/>
        <v>40</v>
      </c>
      <c r="Q66" s="62">
        <f t="shared" si="149"/>
        <v>32</v>
      </c>
      <c r="R66" s="113" t="str">
        <f t="shared" si="141"/>
        <v>Игумнов</v>
      </c>
      <c r="S66" s="76" t="s">
        <v>10</v>
      </c>
      <c r="T66" s="77" t="s">
        <v>9</v>
      </c>
      <c r="U66" s="73">
        <f t="shared" si="144"/>
        <v>0</v>
      </c>
      <c r="V66" s="227">
        <f t="shared" si="145"/>
        <v>0</v>
      </c>
      <c r="W66" s="62"/>
      <c r="X66" s="79" t="s">
        <v>34</v>
      </c>
      <c r="Y66" s="7"/>
      <c r="Z66" s="7"/>
      <c r="AA66" s="7"/>
      <c r="AB66" s="13"/>
      <c r="AC66" s="13"/>
      <c r="AD66" s="13"/>
    </row>
    <row r="67" ht="14.25">
      <c r="A67" s="415" t="s">
        <v>40</v>
      </c>
      <c r="B67" s="4" t="s">
        <v>1</v>
      </c>
      <c r="C67" s="688">
        <v>8</v>
      </c>
      <c r="D67" s="4" t="s">
        <v>1</v>
      </c>
      <c r="E67" s="688">
        <v>8</v>
      </c>
      <c r="F67" s="527" t="s">
        <v>32</v>
      </c>
      <c r="G67" s="527" t="s">
        <v>33</v>
      </c>
      <c r="H67" s="527" t="s">
        <v>32</v>
      </c>
      <c r="I67" s="527" t="s">
        <v>33</v>
      </c>
      <c r="J67" s="527" t="s">
        <v>32</v>
      </c>
      <c r="K67" s="527" t="s">
        <v>33</v>
      </c>
      <c r="L67" s="528"/>
      <c r="M67" s="528"/>
      <c r="N67" s="528"/>
      <c r="O67" s="528"/>
      <c r="P67" s="253">
        <f t="shared" si="140"/>
        <v>40</v>
      </c>
      <c r="Q67" s="62">
        <f t="shared" si="149"/>
        <v>32</v>
      </c>
      <c r="R67" s="442" t="str">
        <f t="shared" si="141"/>
        <v>Душин</v>
      </c>
      <c r="S67" s="76" t="s">
        <v>10</v>
      </c>
      <c r="T67" s="77" t="s">
        <v>9</v>
      </c>
      <c r="U67" s="90">
        <f t="shared" si="144"/>
        <v>0</v>
      </c>
      <c r="V67" s="90">
        <f>COUNTIF(U67,C67)+COUNTIF(U67,E67)+COUNTIF(U67,G67)+COUNTIF(U67,I67)+COUNTIF(U67,K67)+COUNTIF(U67,M67)+COUNTIF(U67,O67)</f>
        <v>0</v>
      </c>
      <c r="W67" s="62"/>
      <c r="X67" s="74" t="s">
        <v>38</v>
      </c>
      <c r="Y67" s="7"/>
      <c r="Z67" s="7"/>
      <c r="AA67" s="7"/>
      <c r="AB67" s="13"/>
      <c r="AC67" s="13"/>
      <c r="AD67" s="13"/>
    </row>
    <row r="68" ht="14.25">
      <c r="A68" s="415" t="s">
        <v>31</v>
      </c>
      <c r="B68" s="527" t="s">
        <v>32</v>
      </c>
      <c r="C68" s="527" t="s">
        <v>33</v>
      </c>
      <c r="D68" s="527" t="s">
        <v>32</v>
      </c>
      <c r="E68" s="527" t="s">
        <v>33</v>
      </c>
      <c r="F68" s="527" t="s">
        <v>32</v>
      </c>
      <c r="G68" s="527" t="s">
        <v>33</v>
      </c>
      <c r="H68" s="527" t="s">
        <v>32</v>
      </c>
      <c r="I68" s="527" t="s">
        <v>33</v>
      </c>
      <c r="J68" s="527" t="s">
        <v>32</v>
      </c>
      <c r="K68" s="527" t="s">
        <v>33</v>
      </c>
      <c r="L68" s="528"/>
      <c r="M68" s="528"/>
      <c r="N68" s="528"/>
      <c r="O68" s="528"/>
      <c r="P68" s="253">
        <f t="shared" si="140"/>
        <v>40</v>
      </c>
      <c r="Q68" s="62">
        <f t="shared" si="149"/>
        <v>32</v>
      </c>
      <c r="R68" s="442" t="str">
        <f t="shared" si="141"/>
        <v>Нетронин</v>
      </c>
      <c r="S68" s="76" t="s">
        <v>58</v>
      </c>
      <c r="T68" s="77" t="s">
        <v>59</v>
      </c>
      <c r="U68" s="90"/>
      <c r="V68" s="62"/>
      <c r="W68" s="62"/>
      <c r="X68" s="74" t="s">
        <v>34</v>
      </c>
      <c r="Y68" s="7"/>
      <c r="Z68" s="7"/>
      <c r="AA68" s="7"/>
      <c r="AB68" s="13"/>
      <c r="AC68" s="13"/>
      <c r="AD68" s="13"/>
    </row>
    <row r="69" ht="14.25">
      <c r="A69" s="415" t="s">
        <v>42</v>
      </c>
      <c r="B69" s="527" t="s">
        <v>32</v>
      </c>
      <c r="C69" s="527" t="s">
        <v>33</v>
      </c>
      <c r="D69" s="527" t="s">
        <v>32</v>
      </c>
      <c r="E69" s="527" t="s">
        <v>33</v>
      </c>
      <c r="F69" s="527" t="s">
        <v>32</v>
      </c>
      <c r="G69" s="527" t="s">
        <v>33</v>
      </c>
      <c r="H69" s="527" t="s">
        <v>32</v>
      </c>
      <c r="I69" s="527" t="s">
        <v>33</v>
      </c>
      <c r="J69" s="527" t="s">
        <v>32</v>
      </c>
      <c r="K69" s="527" t="s">
        <v>33</v>
      </c>
      <c r="L69" s="528"/>
      <c r="M69" s="528"/>
      <c r="N69" s="528"/>
      <c r="O69" s="528"/>
      <c r="P69" s="253">
        <f t="shared" si="140"/>
        <v>40</v>
      </c>
      <c r="Q69" s="62">
        <f t="shared" si="149"/>
        <v>32</v>
      </c>
      <c r="R69" s="442" t="str">
        <f t="shared" si="141"/>
        <v>Юращик</v>
      </c>
      <c r="S69" s="76" t="s">
        <v>10</v>
      </c>
      <c r="T69" s="77" t="s">
        <v>9</v>
      </c>
      <c r="U69" s="90"/>
      <c r="V69" s="62"/>
      <c r="W69" s="62"/>
      <c r="X69" s="74" t="s">
        <v>38</v>
      </c>
      <c r="Y69" s="7"/>
      <c r="Z69" s="7"/>
      <c r="AA69" s="7"/>
      <c r="AB69" s="13"/>
      <c r="AC69" s="13"/>
      <c r="AD69" s="13"/>
    </row>
    <row r="70" ht="14.4" hidden="1">
      <c r="A70" s="388" t="s">
        <v>84</v>
      </c>
      <c r="B70" s="531"/>
      <c r="C70" s="528"/>
      <c r="D70" s="531"/>
      <c r="E70" s="528"/>
      <c r="F70" s="672"/>
      <c r="G70" s="672"/>
      <c r="H70" s="673"/>
      <c r="I70" s="247"/>
      <c r="J70" s="531"/>
      <c r="K70" s="531"/>
      <c r="L70" s="528"/>
      <c r="M70" s="528"/>
      <c r="N70" s="528"/>
      <c r="O70" s="528"/>
      <c r="P70" s="253">
        <f t="shared" si="140"/>
        <v>0</v>
      </c>
      <c r="Q70" s="62" t="e">
        <f t="shared" si="149"/>
        <v>#REF!</v>
      </c>
      <c r="R70" s="442" t="str">
        <f t="shared" si="141"/>
        <v>Будовская</v>
      </c>
      <c r="S70" s="76" t="s">
        <v>10</v>
      </c>
      <c r="T70" s="77" t="s">
        <v>9</v>
      </c>
      <c r="U70" s="90">
        <f t="shared" si="144"/>
        <v>0</v>
      </c>
      <c r="V70" s="62">
        <f t="shared" ref="V70:V94" si="150">COUNTIF(S70,B70)+COUNTIF(S70,D70)+COUNTIF(S70,F70)+COUNTIF(S70,H70)+COUNTIF(S70,J70)+COUNTIF(S70,L70)+COUNTIF(S70,N70)</f>
        <v>0</v>
      </c>
      <c r="W70" s="62"/>
      <c r="X70" s="74" t="s">
        <v>38</v>
      </c>
      <c r="Y70" s="7"/>
      <c r="Z70" s="7"/>
      <c r="AA70" s="7"/>
      <c r="AB70" s="13"/>
      <c r="AC70" s="13"/>
      <c r="AD70" s="13"/>
    </row>
    <row r="71" s="21" customFormat="1" ht="14.25">
      <c r="A71" s="278" t="s">
        <v>43</v>
      </c>
      <c r="B71" s="72" t="s">
        <v>11</v>
      </c>
      <c r="C71" s="639" t="s">
        <v>81</v>
      </c>
      <c r="D71" s="72" t="s">
        <v>71</v>
      </c>
      <c r="E71" s="251" t="s">
        <v>55</v>
      </c>
      <c r="F71" s="641"/>
      <c r="G71" s="689"/>
      <c r="H71" s="72" t="s">
        <v>11</v>
      </c>
      <c r="I71" s="644" t="s">
        <v>81</v>
      </c>
      <c r="J71" s="291"/>
      <c r="K71" s="291"/>
      <c r="L71" s="690"/>
      <c r="M71" s="254"/>
      <c r="N71" s="674"/>
      <c r="O71" s="674"/>
      <c r="P71" s="253">
        <f t="shared" si="140"/>
        <v>31</v>
      </c>
      <c r="Q71" s="62">
        <f t="shared" si="149"/>
        <v>33</v>
      </c>
      <c r="R71" s="442" t="str">
        <f t="shared" si="141"/>
        <v>Дащенко</v>
      </c>
      <c r="S71" s="71" t="s">
        <v>12</v>
      </c>
      <c r="T71" s="72" t="s">
        <v>11</v>
      </c>
      <c r="U71" s="90">
        <f t="shared" si="144"/>
        <v>0</v>
      </c>
      <c r="V71" s="62">
        <f t="shared" si="150"/>
        <v>0</v>
      </c>
      <c r="W71" s="62"/>
      <c r="X71" s="80" t="s">
        <v>44</v>
      </c>
      <c r="Y71" s="7"/>
      <c r="Z71" s="7"/>
      <c r="AA71" s="7"/>
      <c r="AB71" s="13"/>
      <c r="AC71" s="13"/>
      <c r="AD71" s="13"/>
    </row>
    <row r="72" ht="14.25">
      <c r="A72" s="278" t="s">
        <v>45</v>
      </c>
      <c r="B72" s="77" t="s">
        <v>9</v>
      </c>
      <c r="C72" s="691">
        <v>11</v>
      </c>
      <c r="D72" s="67"/>
      <c r="E72" s="692"/>
      <c r="F72" s="87"/>
      <c r="G72" s="87"/>
      <c r="H72" s="693"/>
      <c r="I72" s="694"/>
      <c r="J72" s="76" t="s">
        <v>10</v>
      </c>
      <c r="K72" s="663">
        <v>11</v>
      </c>
      <c r="L72" s="76" t="s">
        <v>10</v>
      </c>
      <c r="M72" s="663">
        <v>11</v>
      </c>
      <c r="N72" s="87"/>
      <c r="O72" s="87"/>
      <c r="P72" s="285">
        <f t="shared" si="140"/>
        <v>33</v>
      </c>
      <c r="Q72" s="62">
        <f t="shared" si="149"/>
        <v>42</v>
      </c>
      <c r="R72" s="442" t="str">
        <f t="shared" si="141"/>
        <v>Пузырь</v>
      </c>
      <c r="S72" s="76" t="s">
        <v>10</v>
      </c>
      <c r="T72" s="77" t="s">
        <v>9</v>
      </c>
      <c r="U72" s="90">
        <f t="shared" si="144"/>
        <v>0</v>
      </c>
      <c r="V72" s="62">
        <f t="shared" si="150"/>
        <v>0</v>
      </c>
      <c r="W72" s="62"/>
      <c r="X72" s="74" t="s">
        <v>34</v>
      </c>
      <c r="Y72" s="7"/>
      <c r="Z72" s="7"/>
      <c r="AA72" s="7"/>
      <c r="AB72" s="13"/>
      <c r="AC72" s="13"/>
      <c r="AD72" s="13"/>
    </row>
    <row r="73" ht="14.25">
      <c r="A73" s="388" t="s">
        <v>46</v>
      </c>
      <c r="B73" s="646"/>
      <c r="C73" s="647"/>
      <c r="D73" s="76" t="s">
        <v>10</v>
      </c>
      <c r="E73" s="648">
        <v>11</v>
      </c>
      <c r="F73" s="76" t="s">
        <v>10</v>
      </c>
      <c r="G73" s="695">
        <v>11</v>
      </c>
      <c r="H73" s="650"/>
      <c r="I73" s="546"/>
      <c r="J73" s="662"/>
      <c r="K73" s="696"/>
      <c r="L73" s="77" t="s">
        <v>9</v>
      </c>
      <c r="M73" s="652">
        <v>11</v>
      </c>
      <c r="N73" s="77" t="s">
        <v>9</v>
      </c>
      <c r="O73" s="697">
        <v>11</v>
      </c>
      <c r="P73" s="253">
        <f t="shared" si="140"/>
        <v>44</v>
      </c>
      <c r="Q73" s="62">
        <f t="shared" si="149"/>
        <v>22</v>
      </c>
      <c r="R73" s="442" t="str">
        <f t="shared" si="141"/>
        <v>Голышев</v>
      </c>
      <c r="S73" s="76" t="s">
        <v>10</v>
      </c>
      <c r="T73" s="77" t="s">
        <v>9</v>
      </c>
      <c r="U73" s="90">
        <f t="shared" si="144"/>
        <v>0</v>
      </c>
      <c r="V73" s="62">
        <f t="shared" si="150"/>
        <v>0</v>
      </c>
      <c r="W73" s="62"/>
      <c r="X73" s="74" t="s">
        <v>34</v>
      </c>
      <c r="Y73" s="7"/>
      <c r="Z73" s="7"/>
      <c r="AA73" s="7"/>
      <c r="AB73" s="13"/>
      <c r="AC73" s="13"/>
      <c r="AD73" s="13"/>
    </row>
    <row r="74" ht="14.25">
      <c r="A74" s="388" t="s">
        <v>47</v>
      </c>
      <c r="B74" s="651"/>
      <c r="C74" s="647"/>
      <c r="D74" s="76" t="s">
        <v>10</v>
      </c>
      <c r="E74" s="648">
        <v>11</v>
      </c>
      <c r="F74" s="76" t="s">
        <v>10</v>
      </c>
      <c r="G74" s="649">
        <v>11</v>
      </c>
      <c r="H74" s="651"/>
      <c r="I74" s="647"/>
      <c r="J74" s="87"/>
      <c r="K74" s="87"/>
      <c r="L74" s="77" t="s">
        <v>9</v>
      </c>
      <c r="M74" s="698">
        <v>11</v>
      </c>
      <c r="N74" s="77" t="s">
        <v>9</v>
      </c>
      <c r="O74" s="699">
        <v>11</v>
      </c>
      <c r="P74" s="253">
        <f t="shared" si="140"/>
        <v>44</v>
      </c>
      <c r="Q74" s="62">
        <f t="shared" si="149"/>
        <v>31</v>
      </c>
      <c r="R74" s="442" t="str">
        <f t="shared" si="141"/>
        <v>Торубара</v>
      </c>
      <c r="S74" s="76" t="s">
        <v>10</v>
      </c>
      <c r="T74" s="77" t="s">
        <v>9</v>
      </c>
      <c r="U74" s="90">
        <f>COUNTIF(T74,B74)+COUNTIF(T74,D74)+COUNTIF(T74,F74)+COUNTIF(T74,H74)+COUNTIF(T74,N74)+COUNTIF(T74,L74)+COUNTIF(T74,#REF!)</f>
        <v>0</v>
      </c>
      <c r="V74" s="62">
        <f>COUNTIF(S74,B74)+COUNTIF(S74,D74)+COUNTIF(S74,F74)+COUNTIF(S74,H74)+COUNTIF(S74,N74)+COUNTIF(S74,L74)+COUNTIF(S74,#REF!)</f>
        <v>0</v>
      </c>
      <c r="W74" s="62"/>
      <c r="X74" s="74" t="s">
        <v>34</v>
      </c>
      <c r="Y74" s="7"/>
      <c r="Z74" s="7"/>
      <c r="AA74" s="7"/>
      <c r="AB74" s="13"/>
      <c r="AC74" s="13"/>
      <c r="AD74" s="13"/>
    </row>
    <row r="75" ht="14.25">
      <c r="A75" s="278" t="s">
        <v>48</v>
      </c>
      <c r="B75" s="71" t="s">
        <v>8</v>
      </c>
      <c r="C75" s="700">
        <v>11</v>
      </c>
      <c r="D75" s="646"/>
      <c r="E75" s="546"/>
      <c r="F75" s="662"/>
      <c r="G75" s="647"/>
      <c r="H75" s="71" t="s">
        <v>8</v>
      </c>
      <c r="I75" s="648">
        <v>11</v>
      </c>
      <c r="J75" s="71" t="s">
        <v>8</v>
      </c>
      <c r="K75" s="363">
        <v>11</v>
      </c>
      <c r="L75" s="646"/>
      <c r="M75" s="546"/>
      <c r="N75" s="646"/>
      <c r="O75" s="701"/>
      <c r="P75" s="253">
        <f t="shared" si="140"/>
        <v>33</v>
      </c>
      <c r="Q75" s="62">
        <f t="shared" si="149"/>
        <v>42</v>
      </c>
      <c r="R75" s="442" t="str">
        <f t="shared" si="141"/>
        <v>Стрыгин</v>
      </c>
      <c r="S75" s="71" t="s">
        <v>8</v>
      </c>
      <c r="T75" s="72" t="s">
        <v>7</v>
      </c>
      <c r="U75" s="90">
        <f>COUNTIF(T75,B75)+COUNTIF(T75,D75)+COUNTIF(T75,F75)+COUNTIF(T75,#REF!)+COUNTIF(T75,H75)+COUNTIF(T75,L75)+COUNTIF(T75,N75)</f>
        <v>0</v>
      </c>
      <c r="V75" s="62">
        <f>COUNTIF(S75,B75)+COUNTIF(S75,D75)+COUNTIF(S75,F75)+COUNTIF(S75,#REF!)+COUNTIF(S75,H75)+COUNTIF(S75,L75)+COUNTIF(S75,N75)</f>
        <v>0</v>
      </c>
      <c r="W75" s="62"/>
      <c r="X75" s="74" t="s">
        <v>49</v>
      </c>
      <c r="Y75" s="7"/>
      <c r="Z75" s="7"/>
      <c r="AA75" s="7"/>
      <c r="AB75" s="13"/>
      <c r="AC75" s="13"/>
      <c r="AD75" s="13"/>
    </row>
    <row r="76" ht="14.25">
      <c r="A76" s="278" t="s">
        <v>50</v>
      </c>
      <c r="B76" s="87"/>
      <c r="C76" s="87"/>
      <c r="D76" s="654"/>
      <c r="E76" s="647"/>
      <c r="F76" s="72" t="s">
        <v>71</v>
      </c>
      <c r="G76" s="652">
        <v>9</v>
      </c>
      <c r="H76" s="72" t="s">
        <v>11</v>
      </c>
      <c r="I76" s="698">
        <v>11</v>
      </c>
      <c r="J76" s="72" t="s">
        <v>11</v>
      </c>
      <c r="K76" s="699">
        <v>11</v>
      </c>
      <c r="L76" s="702"/>
      <c r="M76" s="680"/>
      <c r="N76" s="651"/>
      <c r="O76" s="701"/>
      <c r="P76" s="253">
        <f t="shared" ref="P76:P95" si="151">C76+E76+G76+I76+K76+M76+O76</f>
        <v>31</v>
      </c>
      <c r="Q76" s="62">
        <f t="shared" si="149"/>
        <v>33</v>
      </c>
      <c r="R76" s="442" t="str">
        <f t="shared" ref="R76:R95" si="152">A76</f>
        <v>Фрик</v>
      </c>
      <c r="S76" s="71" t="s">
        <v>12</v>
      </c>
      <c r="T76" s="72" t="s">
        <v>11</v>
      </c>
      <c r="U76" s="90">
        <f t="shared" si="144"/>
        <v>0</v>
      </c>
      <c r="V76" s="62">
        <f t="shared" si="150"/>
        <v>0</v>
      </c>
      <c r="W76" s="62"/>
      <c r="X76" s="74" t="s">
        <v>44</v>
      </c>
      <c r="Y76" s="7"/>
      <c r="Z76" s="7"/>
      <c r="AA76" s="7"/>
      <c r="AB76" s="13"/>
      <c r="AC76" s="13"/>
      <c r="AD76" s="13"/>
    </row>
    <row r="77" ht="14.25">
      <c r="A77" s="563" t="s">
        <v>51</v>
      </c>
      <c r="B77" s="646"/>
      <c r="C77" s="703"/>
      <c r="D77" s="77" t="s">
        <v>9</v>
      </c>
      <c r="E77" s="652">
        <v>11</v>
      </c>
      <c r="F77" s="77" t="s">
        <v>9</v>
      </c>
      <c r="G77" s="682">
        <v>11</v>
      </c>
      <c r="H77" s="646"/>
      <c r="I77" s="546"/>
      <c r="J77" s="646"/>
      <c r="K77" s="647"/>
      <c r="L77" s="76" t="s">
        <v>10</v>
      </c>
      <c r="M77" s="648">
        <v>11</v>
      </c>
      <c r="N77" s="76" t="s">
        <v>10</v>
      </c>
      <c r="O77" s="704">
        <v>11</v>
      </c>
      <c r="P77" s="253">
        <f t="shared" si="151"/>
        <v>44</v>
      </c>
      <c r="Q77" s="62">
        <f t="shared" si="149"/>
        <v>20</v>
      </c>
      <c r="R77" s="442" t="str">
        <f t="shared" si="152"/>
        <v>Истрашкин</v>
      </c>
      <c r="S77" s="71" t="s">
        <v>10</v>
      </c>
      <c r="T77" s="72" t="s">
        <v>9</v>
      </c>
      <c r="U77" s="90">
        <f t="shared" si="144"/>
        <v>0</v>
      </c>
      <c r="V77" s="62">
        <f t="shared" si="150"/>
        <v>0</v>
      </c>
      <c r="W77" s="62"/>
      <c r="X77" s="74" t="s">
        <v>34</v>
      </c>
      <c r="Y77" s="7"/>
      <c r="Z77" s="7"/>
      <c r="AA77" s="7"/>
      <c r="AB77" s="13"/>
      <c r="AC77" s="13"/>
      <c r="AD77" s="13"/>
    </row>
    <row r="78" ht="14.25">
      <c r="A78" s="207"/>
      <c r="B78" s="515">
        <v>46069</v>
      </c>
      <c r="C78" s="517"/>
      <c r="D78" s="489">
        <v>46070</v>
      </c>
      <c r="E78" s="517"/>
      <c r="F78" s="489">
        <v>46071</v>
      </c>
      <c r="G78" s="517"/>
      <c r="H78" s="515">
        <v>46072</v>
      </c>
      <c r="I78" s="517"/>
      <c r="J78" s="515">
        <v>46073</v>
      </c>
      <c r="K78" s="517"/>
      <c r="L78" s="489">
        <v>46074</v>
      </c>
      <c r="M78" s="517"/>
      <c r="N78" s="489">
        <v>46075</v>
      </c>
      <c r="O78" s="517"/>
      <c r="P78" s="253"/>
      <c r="Q78" s="254"/>
      <c r="R78" s="297"/>
      <c r="S78" s="134"/>
      <c r="T78" s="134"/>
      <c r="U78" s="60" t="s">
        <v>27</v>
      </c>
      <c r="V78" s="61" t="s">
        <v>28</v>
      </c>
      <c r="W78" s="62" t="s">
        <v>29</v>
      </c>
      <c r="X78" s="7"/>
      <c r="Y78" s="7"/>
      <c r="Z78" s="7"/>
      <c r="AA78" s="7"/>
      <c r="AB78" s="13"/>
      <c r="AC78" s="13"/>
      <c r="AD78" s="13"/>
    </row>
    <row r="79" ht="14.25">
      <c r="A79" s="403"/>
      <c r="B79" s="403"/>
      <c r="C79" s="403"/>
      <c r="D79" s="403"/>
      <c r="E79" s="403"/>
      <c r="F79" s="403"/>
      <c r="G79" s="403"/>
      <c r="H79" s="403"/>
      <c r="I79" s="403"/>
      <c r="J79" s="403"/>
      <c r="K79" s="403"/>
      <c r="L79" s="403"/>
      <c r="M79" s="403"/>
      <c r="N79" s="403"/>
      <c r="O79" s="403"/>
      <c r="P79" s="403"/>
      <c r="Q79" s="165"/>
      <c r="R79" s="139"/>
      <c r="S79" s="139"/>
      <c r="T79" s="139"/>
      <c r="U79" s="127"/>
      <c r="V79" s="127"/>
      <c r="W79" s="128"/>
      <c r="X79" s="7"/>
      <c r="Y79" s="7"/>
      <c r="Z79" s="7"/>
      <c r="AA79" s="7"/>
      <c r="AB79" s="13"/>
      <c r="AC79" s="13"/>
      <c r="AD79" s="13"/>
    </row>
    <row r="80" ht="14.25">
      <c r="A80" s="143"/>
      <c r="B80" s="214" t="s">
        <v>17</v>
      </c>
      <c r="C80" s="481"/>
      <c r="D80" s="214" t="s">
        <v>18</v>
      </c>
      <c r="E80" s="481"/>
      <c r="F80" s="214" t="s">
        <v>19</v>
      </c>
      <c r="G80" s="214"/>
      <c r="H80" s="214" t="s">
        <v>20</v>
      </c>
      <c r="I80" s="481"/>
      <c r="J80" s="482" t="s">
        <v>21</v>
      </c>
      <c r="K80" s="482"/>
      <c r="L80" s="214" t="s">
        <v>22</v>
      </c>
      <c r="M80" s="214"/>
      <c r="N80" s="214" t="s">
        <v>23</v>
      </c>
      <c r="O80" s="214"/>
      <c r="P80" s="214" t="s">
        <v>24</v>
      </c>
      <c r="Q80" s="214"/>
      <c r="R80" s="117"/>
      <c r="S80" s="143"/>
      <c r="T80" s="143"/>
      <c r="U80" s="62"/>
      <c r="V80" s="62"/>
      <c r="W80" s="62"/>
      <c r="X80" s="51"/>
      <c r="Y80" s="7"/>
      <c r="Z80" s="7"/>
      <c r="AA80" s="7"/>
      <c r="AB80" s="13"/>
      <c r="AC80" s="13"/>
      <c r="AD80" s="13"/>
    </row>
    <row r="81" ht="14.25">
      <c r="A81" s="143"/>
      <c r="B81" s="705">
        <v>46076</v>
      </c>
      <c r="C81" s="706"/>
      <c r="D81" s="515">
        <v>46077</v>
      </c>
      <c r="E81" s="517"/>
      <c r="F81" s="515">
        <v>46078</v>
      </c>
      <c r="G81" s="517"/>
      <c r="H81" s="515">
        <v>46079</v>
      </c>
      <c r="I81" s="517"/>
      <c r="J81" s="515">
        <v>46080</v>
      </c>
      <c r="K81" s="517"/>
      <c r="L81" s="515">
        <v>46081</v>
      </c>
      <c r="M81" s="517"/>
      <c r="N81" s="515">
        <v>46082</v>
      </c>
      <c r="O81" s="517"/>
      <c r="P81" s="213" t="s">
        <v>25</v>
      </c>
      <c r="Q81" s="214" t="s">
        <v>26</v>
      </c>
      <c r="R81" s="287"/>
      <c r="S81" s="141"/>
      <c r="T81" s="141"/>
      <c r="U81" s="60" t="s">
        <v>27</v>
      </c>
      <c r="V81" s="61" t="s">
        <v>28</v>
      </c>
      <c r="W81" s="62" t="s">
        <v>29</v>
      </c>
      <c r="X81" s="63" t="s">
        <v>30</v>
      </c>
      <c r="Y81" s="7"/>
      <c r="Z81" s="7"/>
      <c r="AA81" s="7"/>
      <c r="AB81" s="13"/>
      <c r="AC81" s="13"/>
      <c r="AD81" s="13"/>
    </row>
    <row r="82" ht="14.25">
      <c r="A82" s="415" t="s">
        <v>62</v>
      </c>
      <c r="B82" s="526"/>
      <c r="C82" s="526"/>
      <c r="D82" s="198" t="s">
        <v>32</v>
      </c>
      <c r="E82" s="527" t="s">
        <v>33</v>
      </c>
      <c r="F82" s="198" t="s">
        <v>32</v>
      </c>
      <c r="G82" s="527" t="s">
        <v>33</v>
      </c>
      <c r="H82" s="198" t="s">
        <v>32</v>
      </c>
      <c r="I82" s="527" t="s">
        <v>33</v>
      </c>
      <c r="J82" s="198" t="s">
        <v>32</v>
      </c>
      <c r="K82" s="527" t="s">
        <v>33</v>
      </c>
      <c r="L82" s="273"/>
      <c r="M82" s="625"/>
      <c r="N82" s="273"/>
      <c r="O82" s="625"/>
      <c r="P82" s="493">
        <f t="shared" si="151"/>
        <v>32</v>
      </c>
      <c r="Q82" s="62">
        <f t="shared" si="149"/>
        <v>0</v>
      </c>
      <c r="R82" s="219" t="str">
        <f t="shared" si="152"/>
        <v>Раимова</v>
      </c>
      <c r="S82" s="76" t="s">
        <v>10</v>
      </c>
      <c r="T82" s="77" t="s">
        <v>9</v>
      </c>
      <c r="U82" s="85">
        <f>COUNTIF(T80,B80)+COUNTIF(T80,D80)+COUNTIF(T80,F80)+COUNTIF(T80,H80)+COUNTIF(T80,J80)+COUNTIF(T80,L80)+COUNTIF(T80,N80)</f>
        <v>0</v>
      </c>
      <c r="V82" s="227">
        <f>COUNTIF(S80,B80)+COUNTIF(S80,D80)+COUNTIF(S80,F80)+COUNTIF(S80,H80)+COUNTIF(S80,J80)+COUNTIF(S80,L80)+COUNTIF(S80,N80)</f>
        <v>0</v>
      </c>
      <c r="W82" s="86"/>
      <c r="X82" s="74" t="s">
        <v>34</v>
      </c>
      <c r="Y82" s="7"/>
      <c r="Z82" s="7"/>
      <c r="AA82" s="7"/>
      <c r="AB82" s="13"/>
      <c r="AC82" s="13"/>
      <c r="AD82" s="13"/>
    </row>
    <row r="83" ht="14.25">
      <c r="A83" s="525" t="s">
        <v>35</v>
      </c>
      <c r="B83" s="526"/>
      <c r="C83" s="526"/>
      <c r="D83" s="527" t="s">
        <v>32</v>
      </c>
      <c r="E83" s="527" t="s">
        <v>33</v>
      </c>
      <c r="F83" s="527" t="s">
        <v>32</v>
      </c>
      <c r="G83" s="527" t="s">
        <v>33</v>
      </c>
      <c r="H83" s="527" t="s">
        <v>32</v>
      </c>
      <c r="I83" s="527" t="s">
        <v>33</v>
      </c>
      <c r="J83" s="527" t="s">
        <v>32</v>
      </c>
      <c r="K83" s="527" t="s">
        <v>33</v>
      </c>
      <c r="L83" s="528"/>
      <c r="M83" s="528"/>
      <c r="N83" s="528"/>
      <c r="O83" s="528"/>
      <c r="P83" s="253">
        <f t="shared" si="151"/>
        <v>32</v>
      </c>
      <c r="Q83" s="62">
        <f t="shared" si="149"/>
        <v>-2.5</v>
      </c>
      <c r="R83" s="442" t="str">
        <f t="shared" si="152"/>
        <v>Рычков</v>
      </c>
      <c r="S83" s="76" t="s">
        <v>10</v>
      </c>
      <c r="T83" s="77" t="s">
        <v>9</v>
      </c>
      <c r="U83" s="90">
        <f t="shared" ref="U83:U94" si="153">COUNTIF(T83,B83)+COUNTIF(T83,D83)+COUNTIF(T83,F83)+COUNTIF(T83,H83)+COUNTIF(T83,J83)+COUNTIF(T83,L83)+COUNTIF(T83,N83)</f>
        <v>0</v>
      </c>
      <c r="V83" s="62">
        <f t="shared" si="150"/>
        <v>0</v>
      </c>
      <c r="W83" s="62"/>
      <c r="X83" s="74" t="s">
        <v>34</v>
      </c>
      <c r="Y83" s="7"/>
      <c r="Z83" s="7"/>
      <c r="AA83" s="7"/>
      <c r="AB83" s="13"/>
      <c r="AC83" s="13"/>
      <c r="AD83" s="13"/>
    </row>
    <row r="84" ht="14.25">
      <c r="A84" s="415" t="s">
        <v>39</v>
      </c>
      <c r="B84" s="526"/>
      <c r="C84" s="526"/>
      <c r="D84" s="527" t="s">
        <v>32</v>
      </c>
      <c r="E84" s="527" t="s">
        <v>33</v>
      </c>
      <c r="F84" s="527" t="s">
        <v>32</v>
      </c>
      <c r="G84" s="527" t="s">
        <v>33</v>
      </c>
      <c r="H84" s="527" t="s">
        <v>32</v>
      </c>
      <c r="I84" s="527" t="s">
        <v>33</v>
      </c>
      <c r="J84" s="527" t="s">
        <v>32</v>
      </c>
      <c r="K84" s="527" t="s">
        <v>33</v>
      </c>
      <c r="L84" s="528"/>
      <c r="M84" s="528"/>
      <c r="N84" s="528"/>
      <c r="O84" s="528"/>
      <c r="P84" s="253">
        <f t="shared" si="151"/>
        <v>32</v>
      </c>
      <c r="Q84" s="62">
        <f t="shared" si="149"/>
        <v>0</v>
      </c>
      <c r="R84" s="442" t="str">
        <f t="shared" si="152"/>
        <v>Игумнов</v>
      </c>
      <c r="S84" s="76" t="s">
        <v>10</v>
      </c>
      <c r="T84" s="77" t="s">
        <v>9</v>
      </c>
      <c r="U84" s="90">
        <f t="shared" si="153"/>
        <v>0</v>
      </c>
      <c r="V84" s="62">
        <f t="shared" si="150"/>
        <v>0</v>
      </c>
      <c r="W84" s="62"/>
      <c r="X84" s="79" t="s">
        <v>34</v>
      </c>
      <c r="Y84" s="7"/>
      <c r="Z84" s="7"/>
      <c r="AA84" s="7"/>
      <c r="AB84" s="13"/>
      <c r="AC84" s="13"/>
      <c r="AD84" s="13"/>
    </row>
    <row r="85" ht="14.25">
      <c r="A85" s="415" t="s">
        <v>40</v>
      </c>
      <c r="B85" s="526"/>
      <c r="C85" s="526"/>
      <c r="D85" s="527" t="s">
        <v>32</v>
      </c>
      <c r="E85" s="527" t="s">
        <v>33</v>
      </c>
      <c r="F85" s="527" t="s">
        <v>32</v>
      </c>
      <c r="G85" s="527" t="s">
        <v>33</v>
      </c>
      <c r="H85" s="527" t="s">
        <v>32</v>
      </c>
      <c r="I85" s="527" t="s">
        <v>33</v>
      </c>
      <c r="J85" s="527" t="s">
        <v>32</v>
      </c>
      <c r="K85" s="527" t="s">
        <v>33</v>
      </c>
      <c r="L85" s="528"/>
      <c r="M85" s="528"/>
      <c r="N85" s="528"/>
      <c r="O85" s="528"/>
      <c r="P85" s="253">
        <f t="shared" si="151"/>
        <v>32</v>
      </c>
      <c r="Q85" s="62">
        <f t="shared" si="149"/>
        <v>0</v>
      </c>
      <c r="R85" s="442" t="str">
        <f t="shared" si="152"/>
        <v>Душин</v>
      </c>
      <c r="S85" s="76" t="s">
        <v>10</v>
      </c>
      <c r="T85" s="77" t="s">
        <v>9</v>
      </c>
      <c r="U85" s="90">
        <f t="shared" si="153"/>
        <v>0</v>
      </c>
      <c r="V85" s="62">
        <f t="shared" si="150"/>
        <v>0</v>
      </c>
      <c r="W85" s="62"/>
      <c r="X85" s="74" t="s">
        <v>38</v>
      </c>
      <c r="Y85" s="7"/>
      <c r="Z85" s="7"/>
      <c r="AA85" s="7"/>
      <c r="AB85" s="13"/>
      <c r="AC85" s="13"/>
      <c r="AD85" s="13"/>
    </row>
    <row r="86" ht="14.25">
      <c r="A86" s="415" t="s">
        <v>31</v>
      </c>
      <c r="B86" s="526"/>
      <c r="C86" s="526"/>
      <c r="D86" s="527" t="s">
        <v>32</v>
      </c>
      <c r="E86" s="527" t="s">
        <v>33</v>
      </c>
      <c r="F86" s="527" t="s">
        <v>32</v>
      </c>
      <c r="G86" s="527" t="s">
        <v>33</v>
      </c>
      <c r="H86" s="527" t="s">
        <v>32</v>
      </c>
      <c r="I86" s="527" t="s">
        <v>33</v>
      </c>
      <c r="J86" s="527" t="s">
        <v>32</v>
      </c>
      <c r="K86" s="527" t="s">
        <v>33</v>
      </c>
      <c r="L86" s="528"/>
      <c r="M86" s="528"/>
      <c r="N86" s="528"/>
      <c r="O86" s="528"/>
      <c r="P86" s="253">
        <f t="shared" si="151"/>
        <v>32</v>
      </c>
      <c r="Q86" s="62">
        <f t="shared" si="149"/>
        <v>0</v>
      </c>
      <c r="R86" s="442" t="str">
        <f t="shared" si="152"/>
        <v>Нетронин</v>
      </c>
      <c r="S86" s="76" t="s">
        <v>58</v>
      </c>
      <c r="T86" s="77" t="s">
        <v>59</v>
      </c>
      <c r="U86" s="90"/>
      <c r="V86" s="62"/>
      <c r="W86" s="62"/>
      <c r="X86" s="74" t="s">
        <v>34</v>
      </c>
      <c r="Y86" s="7"/>
      <c r="Z86" s="7"/>
      <c r="AA86" s="7"/>
      <c r="AB86" s="13"/>
      <c r="AC86" s="13"/>
      <c r="AD86" s="13"/>
    </row>
    <row r="87" ht="14.25">
      <c r="A87" s="415" t="s">
        <v>42</v>
      </c>
      <c r="B87" s="526"/>
      <c r="C87" s="526"/>
      <c r="D87" s="527" t="s">
        <v>32</v>
      </c>
      <c r="E87" s="527" t="s">
        <v>33</v>
      </c>
      <c r="F87" s="527" t="s">
        <v>32</v>
      </c>
      <c r="G87" s="527" t="s">
        <v>33</v>
      </c>
      <c r="H87" s="527" t="s">
        <v>32</v>
      </c>
      <c r="I87" s="527" t="s">
        <v>33</v>
      </c>
      <c r="J87" s="527" t="s">
        <v>32</v>
      </c>
      <c r="K87" s="527" t="s">
        <v>33</v>
      </c>
      <c r="L87" s="528"/>
      <c r="M87" s="528"/>
      <c r="N87" s="528"/>
      <c r="O87" s="528"/>
      <c r="P87" s="253">
        <f t="shared" si="151"/>
        <v>32</v>
      </c>
      <c r="Q87" s="62">
        <f t="shared" si="149"/>
        <v>0</v>
      </c>
      <c r="R87" s="442" t="str">
        <f t="shared" si="152"/>
        <v>Юращик</v>
      </c>
      <c r="S87" s="76" t="s">
        <v>10</v>
      </c>
      <c r="T87" s="77" t="s">
        <v>9</v>
      </c>
      <c r="U87" s="90"/>
      <c r="V87" s="62"/>
      <c r="W87" s="62"/>
      <c r="X87" s="74" t="s">
        <v>38</v>
      </c>
      <c r="Y87" s="7"/>
      <c r="Z87" s="7"/>
      <c r="AA87" s="7"/>
      <c r="AB87" s="13"/>
      <c r="AC87" s="13"/>
      <c r="AD87" s="13"/>
    </row>
    <row r="88" ht="14.4" hidden="1">
      <c r="A88" s="388" t="s">
        <v>84</v>
      </c>
      <c r="B88" s="673"/>
      <c r="C88" s="247"/>
      <c r="D88" s="674"/>
      <c r="E88" s="254"/>
      <c r="F88" s="254"/>
      <c r="G88" s="254"/>
      <c r="H88" s="673"/>
      <c r="I88" s="673"/>
      <c r="J88" s="675"/>
      <c r="K88" s="621"/>
      <c r="L88" s="674"/>
      <c r="M88" s="254"/>
      <c r="N88" s="254"/>
      <c r="O88" s="254"/>
      <c r="P88" s="253">
        <f t="shared" si="151"/>
        <v>0</v>
      </c>
      <c r="Q88" s="62" t="e">
        <f t="shared" si="149"/>
        <v>#REF!</v>
      </c>
      <c r="R88" s="442" t="str">
        <f t="shared" si="152"/>
        <v>Будовская</v>
      </c>
      <c r="S88" s="76" t="s">
        <v>10</v>
      </c>
      <c r="T88" s="77" t="s">
        <v>9</v>
      </c>
      <c r="U88" s="90">
        <f t="shared" si="153"/>
        <v>0</v>
      </c>
      <c r="V88" s="62">
        <f t="shared" si="150"/>
        <v>0</v>
      </c>
      <c r="W88" s="62"/>
      <c r="X88" s="74" t="s">
        <v>38</v>
      </c>
      <c r="Y88" s="7"/>
      <c r="Z88" s="7"/>
      <c r="AA88" s="7"/>
      <c r="AB88" s="13"/>
      <c r="AC88" s="13"/>
      <c r="AD88" s="13"/>
    </row>
    <row r="89" s="21" customFormat="1" ht="14.25">
      <c r="A89" s="278" t="s">
        <v>43</v>
      </c>
      <c r="B89" s="72" t="s">
        <v>11</v>
      </c>
      <c r="C89" s="639" t="s">
        <v>81</v>
      </c>
      <c r="D89" s="446"/>
      <c r="E89" s="707"/>
      <c r="F89" s="641"/>
      <c r="G89" s="689"/>
      <c r="H89" s="87"/>
      <c r="I89" s="87"/>
      <c r="J89" s="71" t="s">
        <v>12</v>
      </c>
      <c r="K89" s="708" t="s">
        <v>81</v>
      </c>
      <c r="L89" s="71" t="s">
        <v>12</v>
      </c>
      <c r="M89" s="709" t="s">
        <v>81</v>
      </c>
      <c r="N89" s="254"/>
      <c r="O89" s="254"/>
      <c r="P89" s="253">
        <f t="shared" si="151"/>
        <v>33</v>
      </c>
      <c r="Q89" s="62">
        <f t="shared" si="149"/>
        <v>0</v>
      </c>
      <c r="R89" s="442" t="str">
        <f t="shared" si="152"/>
        <v>Дащенко</v>
      </c>
      <c r="S89" s="71" t="s">
        <v>12</v>
      </c>
      <c r="T89" s="72" t="s">
        <v>11</v>
      </c>
      <c r="U89" s="90">
        <f t="shared" si="153"/>
        <v>0</v>
      </c>
      <c r="V89" s="62">
        <f t="shared" si="150"/>
        <v>0</v>
      </c>
      <c r="W89" s="62"/>
      <c r="X89" s="80" t="s">
        <v>44</v>
      </c>
      <c r="Y89" s="7"/>
      <c r="Z89" s="7"/>
      <c r="AA89" s="7"/>
      <c r="AB89" s="13"/>
      <c r="AC89" s="13"/>
      <c r="AD89" s="13"/>
    </row>
    <row r="90" ht="14.25">
      <c r="A90" s="278" t="s">
        <v>45</v>
      </c>
      <c r="B90" s="77" t="s">
        <v>9</v>
      </c>
      <c r="C90" s="687">
        <v>11</v>
      </c>
      <c r="D90" s="77" t="s">
        <v>32</v>
      </c>
      <c r="E90" s="710">
        <v>9</v>
      </c>
      <c r="F90" s="87"/>
      <c r="G90" s="87"/>
      <c r="H90" s="77" t="s">
        <v>9</v>
      </c>
      <c r="I90" s="711">
        <v>11</v>
      </c>
      <c r="J90" s="77" t="s">
        <v>9</v>
      </c>
      <c r="K90" s="682">
        <v>11</v>
      </c>
      <c r="L90" s="646"/>
      <c r="M90" s="546"/>
      <c r="N90" s="712"/>
      <c r="O90" s="713"/>
      <c r="P90" s="253">
        <f t="shared" si="151"/>
        <v>42</v>
      </c>
      <c r="Q90" s="62">
        <f t="shared" si="149"/>
        <v>0</v>
      </c>
      <c r="R90" s="442" t="str">
        <f t="shared" si="152"/>
        <v>Пузырь</v>
      </c>
      <c r="S90" s="76" t="s">
        <v>10</v>
      </c>
      <c r="T90" s="77" t="s">
        <v>9</v>
      </c>
      <c r="U90" s="90">
        <f t="shared" si="153"/>
        <v>0</v>
      </c>
      <c r="V90" s="62">
        <f t="shared" si="150"/>
        <v>0</v>
      </c>
      <c r="W90" s="62"/>
      <c r="X90" s="74" t="s">
        <v>34</v>
      </c>
      <c r="Y90" s="7"/>
      <c r="Z90" s="7"/>
      <c r="AA90" s="7"/>
      <c r="AB90" s="13"/>
      <c r="AC90" s="13"/>
      <c r="AD90" s="13"/>
    </row>
    <row r="91" ht="14.25">
      <c r="A91" s="278" t="s">
        <v>46</v>
      </c>
      <c r="B91" s="549"/>
      <c r="C91" s="362"/>
      <c r="D91" s="549"/>
      <c r="E91" s="714"/>
      <c r="F91" s="76" t="s">
        <v>10</v>
      </c>
      <c r="G91" s="678">
        <v>11</v>
      </c>
      <c r="H91" s="76" t="s">
        <v>10</v>
      </c>
      <c r="I91" s="700">
        <v>11</v>
      </c>
      <c r="J91" s="646"/>
      <c r="K91" s="546"/>
      <c r="L91" s="651"/>
      <c r="M91" s="546"/>
      <c r="N91" s="715"/>
      <c r="O91" s="716"/>
      <c r="P91" s="253">
        <f t="shared" si="151"/>
        <v>22</v>
      </c>
      <c r="Q91" s="62">
        <f t="shared" si="149"/>
        <v>0</v>
      </c>
      <c r="R91" s="442" t="str">
        <f t="shared" si="152"/>
        <v>Голышев</v>
      </c>
      <c r="S91" s="76" t="s">
        <v>10</v>
      </c>
      <c r="T91" s="77" t="s">
        <v>9</v>
      </c>
      <c r="U91" s="90">
        <f t="shared" si="153"/>
        <v>0</v>
      </c>
      <c r="V91" s="62">
        <f t="shared" si="150"/>
        <v>0</v>
      </c>
      <c r="W91" s="62"/>
      <c r="X91" s="74" t="s">
        <v>34</v>
      </c>
      <c r="Y91" s="7"/>
      <c r="Z91" s="7"/>
      <c r="AA91" s="7"/>
      <c r="AB91" s="13"/>
      <c r="AC91" s="13"/>
      <c r="AD91" s="13"/>
    </row>
    <row r="92" ht="14.25">
      <c r="A92" s="278" t="s">
        <v>47</v>
      </c>
      <c r="B92" s="549"/>
      <c r="C92" s="362"/>
      <c r="D92" s="87"/>
      <c r="E92" s="87"/>
      <c r="F92" s="77" t="s">
        <v>32</v>
      </c>
      <c r="G92" s="652">
        <v>9</v>
      </c>
      <c r="H92" s="77" t="s">
        <v>9</v>
      </c>
      <c r="I92" s="359">
        <v>11</v>
      </c>
      <c r="J92" s="654"/>
      <c r="K92" s="647"/>
      <c r="L92" s="77" t="s">
        <v>9</v>
      </c>
      <c r="M92" s="682">
        <v>11</v>
      </c>
      <c r="N92" s="717"/>
      <c r="O92" s="718"/>
      <c r="P92" s="253">
        <f t="shared" si="151"/>
        <v>31</v>
      </c>
      <c r="Q92" s="62">
        <f t="shared" si="149"/>
        <v>0</v>
      </c>
      <c r="R92" s="442" t="str">
        <f t="shared" si="152"/>
        <v>Торубара</v>
      </c>
      <c r="S92" s="76" t="s">
        <v>10</v>
      </c>
      <c r="T92" s="77" t="s">
        <v>9</v>
      </c>
      <c r="U92" s="90">
        <f>COUNTIF(T92,B92)+COUNTIF(T92,H92)+COUNTIF(T92,F92)+COUNTIF(T92,#REF!)+COUNTIF(T92,J92)+COUNTIF(T92,L92)+COUNTIF(T92,N92)</f>
        <v>0</v>
      </c>
      <c r="V92" s="62">
        <f>COUNTIF(S92,B92)+COUNTIF(S92,H92)+COUNTIF(S92,F92)+COUNTIF(S92,#REF!)+COUNTIF(S92,J92)+COUNTIF(S92,L92)+COUNTIF(S92,N92)</f>
        <v>0</v>
      </c>
      <c r="W92" s="62"/>
      <c r="X92" s="74" t="s">
        <v>34</v>
      </c>
      <c r="Y92" s="7"/>
      <c r="Z92" s="7"/>
      <c r="AA92" s="7"/>
      <c r="AB92" s="13"/>
      <c r="AC92" s="13"/>
      <c r="AD92" s="13"/>
    </row>
    <row r="93" ht="14.25">
      <c r="A93" s="278" t="s">
        <v>48</v>
      </c>
      <c r="B93" s="71" t="s">
        <v>8</v>
      </c>
      <c r="C93" s="361">
        <v>11</v>
      </c>
      <c r="D93" s="71" t="s">
        <v>8</v>
      </c>
      <c r="E93" s="361">
        <v>11</v>
      </c>
      <c r="F93" s="719"/>
      <c r="G93" s="546"/>
      <c r="H93" s="646"/>
      <c r="I93" s="703"/>
      <c r="J93" s="72" t="s">
        <v>54</v>
      </c>
      <c r="K93" s="652">
        <v>9</v>
      </c>
      <c r="L93" s="72" t="s">
        <v>7</v>
      </c>
      <c r="M93" s="682">
        <v>11</v>
      </c>
      <c r="N93" s="720"/>
      <c r="O93" s="280"/>
      <c r="P93" s="253">
        <f t="shared" si="151"/>
        <v>42</v>
      </c>
      <c r="Q93" s="62">
        <f t="shared" si="149"/>
        <v>0</v>
      </c>
      <c r="R93" s="442" t="str">
        <f t="shared" si="152"/>
        <v>Стрыгин</v>
      </c>
      <c r="S93" s="71" t="s">
        <v>8</v>
      </c>
      <c r="T93" s="72" t="s">
        <v>7</v>
      </c>
      <c r="U93" s="90">
        <f t="shared" si="153"/>
        <v>0</v>
      </c>
      <c r="V93" s="62">
        <f t="shared" si="150"/>
        <v>0</v>
      </c>
      <c r="W93" s="62"/>
      <c r="X93" s="74" t="s">
        <v>49</v>
      </c>
      <c r="Y93" s="7"/>
      <c r="Z93" s="7"/>
      <c r="AA93" s="7"/>
      <c r="AB93" s="13"/>
      <c r="AC93" s="13"/>
      <c r="AD93" s="13"/>
    </row>
    <row r="94" ht="14.25">
      <c r="A94" s="278" t="s">
        <v>50</v>
      </c>
      <c r="B94" s="87"/>
      <c r="C94" s="87"/>
      <c r="D94" s="87"/>
      <c r="E94" s="291"/>
      <c r="F94" s="72" t="s">
        <v>11</v>
      </c>
      <c r="G94" s="682">
        <v>11</v>
      </c>
      <c r="H94" s="651"/>
      <c r="I94" s="696"/>
      <c r="J94" s="71" t="s">
        <v>12</v>
      </c>
      <c r="K94" s="648">
        <v>11</v>
      </c>
      <c r="L94" s="71" t="s">
        <v>12</v>
      </c>
      <c r="M94" s="649">
        <v>11</v>
      </c>
      <c r="N94" s="720"/>
      <c r="O94" s="280"/>
      <c r="P94" s="253">
        <f t="shared" si="151"/>
        <v>33</v>
      </c>
      <c r="Q94" s="62">
        <f t="shared" si="149"/>
        <v>0</v>
      </c>
      <c r="R94" s="442" t="str">
        <f t="shared" si="152"/>
        <v>Фрик</v>
      </c>
      <c r="S94" s="71" t="s">
        <v>12</v>
      </c>
      <c r="T94" s="72" t="s">
        <v>11</v>
      </c>
      <c r="U94" s="90">
        <f t="shared" si="153"/>
        <v>0</v>
      </c>
      <c r="V94" s="62">
        <f t="shared" si="150"/>
        <v>0</v>
      </c>
      <c r="W94" s="62"/>
      <c r="X94" s="74" t="s">
        <v>44</v>
      </c>
      <c r="Y94" s="7"/>
      <c r="Z94" s="7"/>
      <c r="AA94" s="7"/>
      <c r="AB94" s="13"/>
      <c r="AC94" s="13"/>
      <c r="AD94" s="13"/>
    </row>
    <row r="95" ht="14.25">
      <c r="A95" s="563" t="s">
        <v>51</v>
      </c>
      <c r="B95" s="646"/>
      <c r="C95" s="703"/>
      <c r="D95" s="87"/>
      <c r="E95" s="87"/>
      <c r="F95" s="76" t="s">
        <v>85</v>
      </c>
      <c r="G95" s="721">
        <v>9</v>
      </c>
      <c r="H95" s="76" t="s">
        <v>10</v>
      </c>
      <c r="I95" s="722">
        <v>11</v>
      </c>
      <c r="J95" s="657"/>
      <c r="K95" s="546"/>
      <c r="L95" s="646"/>
      <c r="M95" s="546"/>
      <c r="N95" s="715"/>
      <c r="O95" s="716"/>
      <c r="P95" s="253">
        <f t="shared" si="151"/>
        <v>20</v>
      </c>
      <c r="Q95" s="62">
        <f t="shared" si="149"/>
        <v>0</v>
      </c>
      <c r="R95" s="442" t="str">
        <f t="shared" si="152"/>
        <v>Истрашкин</v>
      </c>
      <c r="S95" s="71" t="s">
        <v>10</v>
      </c>
      <c r="T95" s="72" t="s">
        <v>9</v>
      </c>
      <c r="U95" s="90">
        <f>COUNTIF(T95,B95)+COUNTIF(T95,#REF!)+COUNTIF(T95,D95)+COUNTIF(T95,F95)+COUNTIF(T95,J95)+COUNTIF(T95,L95)+COUNTIF(T95,N95)</f>
        <v>0</v>
      </c>
      <c r="V95" s="62">
        <f>COUNTIF(S95,B95)+COUNTIF(S95,#REF!)+COUNTIF(S95,D95)+COUNTIF(S95,F95)+COUNTIF(S95,J95)+COUNTIF(S95,L95)+COUNTIF(S95,N95)</f>
        <v>0</v>
      </c>
      <c r="W95" s="62"/>
      <c r="X95" s="74" t="s">
        <v>34</v>
      </c>
      <c r="Y95" s="7"/>
      <c r="Z95" s="7"/>
      <c r="AA95" s="7"/>
      <c r="AB95" s="13"/>
      <c r="AC95" s="13"/>
      <c r="AD95" s="13"/>
    </row>
    <row r="96" ht="14.25">
      <c r="A96" s="207"/>
      <c r="B96" s="705">
        <v>46076</v>
      </c>
      <c r="C96" s="706"/>
      <c r="D96" s="489">
        <v>46077</v>
      </c>
      <c r="E96" s="669"/>
      <c r="F96" s="489">
        <v>46078</v>
      </c>
      <c r="G96" s="517"/>
      <c r="H96" s="489">
        <v>46079</v>
      </c>
      <c r="I96" s="669"/>
      <c r="J96" s="515">
        <v>46080</v>
      </c>
      <c r="K96" s="517"/>
      <c r="L96" s="515">
        <v>46081</v>
      </c>
      <c r="M96" s="517"/>
      <c r="N96" s="515">
        <v>46082</v>
      </c>
      <c r="O96" s="517"/>
      <c r="P96" s="253"/>
      <c r="Q96" s="254"/>
      <c r="R96" s="297"/>
      <c r="S96" s="134"/>
      <c r="T96" s="134"/>
      <c r="U96" s="60" t="s">
        <v>27</v>
      </c>
      <c r="V96" s="61" t="s">
        <v>28</v>
      </c>
      <c r="W96" s="62" t="s">
        <v>29</v>
      </c>
      <c r="X96" s="7"/>
      <c r="Y96" s="7"/>
      <c r="Z96" s="7"/>
      <c r="AA96" s="7"/>
      <c r="AB96" s="13"/>
      <c r="AC96" s="13"/>
      <c r="AD96" s="13"/>
    </row>
    <row r="97" ht="14.25">
      <c r="A97" s="139"/>
      <c r="B97" s="350"/>
      <c r="C97" s="350"/>
      <c r="D97" s="350"/>
      <c r="E97" s="350"/>
      <c r="F97" s="350"/>
      <c r="G97" s="350"/>
      <c r="H97" s="350"/>
      <c r="I97" s="350"/>
      <c r="J97" s="350"/>
      <c r="K97" s="350"/>
      <c r="L97" s="350"/>
      <c r="M97" s="350"/>
      <c r="N97" s="350"/>
      <c r="O97" s="350"/>
      <c r="P97" s="139"/>
      <c r="Q97" s="127"/>
      <c r="R97" s="139"/>
      <c r="S97" s="139"/>
      <c r="T97" s="139"/>
      <c r="U97" s="127"/>
      <c r="V97" s="127"/>
      <c r="W97" s="128"/>
      <c r="X97" s="7"/>
      <c r="Y97" s="7"/>
      <c r="Z97" s="7"/>
      <c r="AA97" s="7"/>
      <c r="AB97" s="13"/>
      <c r="AC97" s="13"/>
      <c r="AD97" s="13"/>
    </row>
    <row r="98" ht="14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53"/>
      <c r="R98" s="7"/>
      <c r="S98" s="7"/>
      <c r="T98" s="7"/>
      <c r="U98" s="153"/>
      <c r="V98" s="153"/>
      <c r="W98" s="12"/>
      <c r="X98" s="7"/>
      <c r="Y98" s="7"/>
      <c r="Z98" s="7"/>
      <c r="AA98" s="7"/>
      <c r="AB98" s="13"/>
      <c r="AC98" s="13"/>
      <c r="AD98" s="13"/>
    </row>
    <row r="99" ht="14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53"/>
      <c r="R99" s="7"/>
      <c r="S99" s="7"/>
      <c r="T99" s="7"/>
      <c r="U99" s="153"/>
      <c r="V99" s="153"/>
      <c r="W99" s="12"/>
      <c r="X99" s="7"/>
      <c r="Y99" s="7"/>
      <c r="Z99" s="7"/>
      <c r="AA99" s="7"/>
      <c r="AB99" s="13"/>
      <c r="AC99" s="13"/>
      <c r="AD99" s="13"/>
    </row>
    <row r="100" ht="14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3"/>
      <c r="R100" s="7"/>
      <c r="S100" s="7"/>
      <c r="T100" s="7"/>
      <c r="U100" s="153"/>
      <c r="V100" s="153"/>
      <c r="W100" s="12"/>
      <c r="X100" s="7"/>
      <c r="Y100" s="7"/>
      <c r="Z100" s="7"/>
      <c r="AA100" s="7"/>
      <c r="AB100" s="13"/>
      <c r="AC100" s="13"/>
      <c r="AD100" s="13"/>
    </row>
    <row r="101" ht="14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3"/>
      <c r="R101" s="7"/>
      <c r="S101" s="7"/>
      <c r="T101" s="7"/>
      <c r="U101" s="153"/>
      <c r="V101" s="153"/>
      <c r="W101" s="12"/>
      <c r="X101" s="7"/>
      <c r="Y101" s="7"/>
      <c r="Z101" s="7"/>
      <c r="AA101" s="7"/>
      <c r="AB101" s="13"/>
      <c r="AC101" s="13"/>
      <c r="AD101" s="13"/>
    </row>
    <row r="102" ht="14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3"/>
      <c r="R102" s="7"/>
      <c r="S102" s="7"/>
      <c r="T102" s="7"/>
      <c r="U102" s="153"/>
      <c r="V102" s="153"/>
      <c r="W102" s="12"/>
      <c r="X102" s="7"/>
      <c r="Y102" s="7"/>
      <c r="Z102" s="7"/>
      <c r="AA102" s="7"/>
      <c r="AB102" s="13"/>
      <c r="AC102" s="13"/>
      <c r="AD102" s="13"/>
    </row>
    <row r="103" ht="14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3"/>
      <c r="R103" s="7"/>
      <c r="S103" s="7"/>
      <c r="T103" s="7"/>
      <c r="U103" s="153"/>
      <c r="V103" s="153"/>
      <c r="W103" s="12"/>
      <c r="X103" s="7"/>
      <c r="Y103" s="7"/>
      <c r="Z103" s="7"/>
      <c r="AA103" s="7"/>
      <c r="AB103" s="13"/>
      <c r="AC103" s="13"/>
      <c r="AD103" s="13"/>
    </row>
    <row r="104" ht="14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3"/>
      <c r="R104" s="7"/>
      <c r="S104" s="7"/>
      <c r="T104" s="7"/>
      <c r="U104" s="153"/>
      <c r="V104" s="153"/>
      <c r="W104" s="12"/>
      <c r="X104" s="7"/>
      <c r="Y104" s="7"/>
      <c r="Z104" s="7"/>
      <c r="AA104" s="7"/>
      <c r="AB104" s="13"/>
      <c r="AC104" s="13"/>
      <c r="AD104" s="13"/>
    </row>
    <row r="105" ht="14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3"/>
      <c r="R105" s="7"/>
      <c r="S105" s="7"/>
      <c r="T105" s="7"/>
      <c r="U105" s="153"/>
      <c r="V105" s="153"/>
      <c r="W105" s="12"/>
      <c r="X105" s="7"/>
      <c r="Y105" s="7"/>
      <c r="Z105" s="7"/>
      <c r="AA105" s="7"/>
      <c r="AB105" s="13"/>
      <c r="AC105" s="13"/>
      <c r="AD105" s="13"/>
    </row>
    <row r="106" ht="14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 ht="14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 ht="14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 ht="14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153"/>
      <c r="R644" s="7"/>
      <c r="S644" s="7"/>
      <c r="T644" s="7"/>
      <c r="U644" s="153"/>
      <c r="V644" s="153"/>
      <c r="W644" s="12"/>
      <c r="X644" s="7"/>
      <c r="Y644" s="7"/>
      <c r="Z644" s="7"/>
      <c r="AA644" s="7"/>
      <c r="AB644" s="13"/>
      <c r="AC644" s="13"/>
      <c r="AD644" s="13"/>
    </row>
    <row r="645" ht="14.4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153"/>
      <c r="R645" s="7"/>
      <c r="S645" s="7"/>
      <c r="T645" s="7"/>
      <c r="U645" s="153"/>
      <c r="V645" s="153"/>
      <c r="W645" s="12"/>
      <c r="X645" s="7"/>
      <c r="Y645" s="7"/>
      <c r="Z645" s="7"/>
      <c r="AA645" s="7"/>
      <c r="AB645" s="13"/>
      <c r="AC645" s="13"/>
      <c r="AD645" s="13"/>
    </row>
    <row r="646" ht="14.4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153"/>
      <c r="R646" s="7"/>
      <c r="S646" s="7"/>
      <c r="T646" s="7"/>
      <c r="U646" s="153"/>
      <c r="V646" s="153"/>
      <c r="W646" s="12"/>
      <c r="X646" s="7"/>
      <c r="Y646" s="7"/>
      <c r="Z646" s="7"/>
      <c r="AA646" s="7"/>
      <c r="AB646" s="13"/>
      <c r="AC646" s="13"/>
      <c r="AD646" s="13"/>
    </row>
    <row r="647" ht="14.4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153"/>
      <c r="R647" s="7"/>
      <c r="S647" s="7"/>
      <c r="T647" s="7"/>
      <c r="U647" s="153"/>
      <c r="V647" s="153"/>
      <c r="W647" s="12"/>
      <c r="X647" s="7"/>
      <c r="Y647" s="7"/>
      <c r="Z647" s="7"/>
      <c r="AA647" s="7"/>
      <c r="AB647" s="13"/>
      <c r="AC647" s="13"/>
      <c r="AD647" s="13"/>
    </row>
    <row r="648" ht="14.4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153"/>
      <c r="R648" s="7"/>
      <c r="S648" s="7"/>
      <c r="T648" s="7"/>
      <c r="U648" s="153"/>
      <c r="V648" s="153"/>
      <c r="W648" s="12"/>
      <c r="X648" s="7"/>
      <c r="Y648" s="7"/>
      <c r="Z648" s="7"/>
      <c r="AA648" s="7"/>
      <c r="AB648" s="13"/>
      <c r="AC648" s="13"/>
      <c r="AD648" s="13"/>
    </row>
    <row r="649" ht="14.4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153"/>
      <c r="R649" s="7"/>
      <c r="S649" s="7"/>
      <c r="T649" s="7"/>
      <c r="U649" s="153"/>
      <c r="V649" s="153"/>
      <c r="W649" s="12"/>
      <c r="X649" s="7"/>
      <c r="Y649" s="7"/>
      <c r="Z649" s="7"/>
      <c r="AA649" s="7"/>
      <c r="AB649" s="13"/>
      <c r="AC649" s="13"/>
      <c r="AD649" s="13"/>
    </row>
    <row r="650" ht="14.4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153"/>
      <c r="R650" s="7"/>
      <c r="S650" s="7"/>
      <c r="T650" s="7"/>
      <c r="U650" s="153"/>
      <c r="V650" s="153"/>
      <c r="W650" s="12"/>
      <c r="X650" s="7"/>
      <c r="Y650" s="7"/>
      <c r="Z650" s="7"/>
      <c r="AA650" s="7"/>
      <c r="AB650" s="13"/>
      <c r="AC650" s="13"/>
      <c r="AD650" s="13"/>
    </row>
    <row r="651" ht="14.4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153"/>
      <c r="R651" s="7"/>
      <c r="S651" s="7"/>
      <c r="T651" s="7"/>
      <c r="U651" s="153"/>
      <c r="V651" s="153"/>
      <c r="W651" s="12"/>
      <c r="X651" s="7"/>
      <c r="Y651" s="7"/>
      <c r="Z651" s="7"/>
      <c r="AA651" s="7"/>
      <c r="AB651" s="13"/>
      <c r="AC651" s="13"/>
      <c r="AD651" s="13"/>
    </row>
    <row r="652" ht="14.4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153"/>
      <c r="R652" s="7"/>
      <c r="S652" s="7"/>
      <c r="T652" s="7"/>
      <c r="U652" s="153"/>
      <c r="V652" s="153"/>
      <c r="W652" s="12"/>
      <c r="X652" s="7"/>
      <c r="Y652" s="7"/>
      <c r="Z652" s="7"/>
      <c r="AA652" s="7"/>
      <c r="AB652" s="13"/>
      <c r="AC652" s="13"/>
      <c r="AD652" s="13"/>
    </row>
    <row r="653" ht="14.4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153"/>
      <c r="R653" s="7"/>
      <c r="S653" s="7"/>
      <c r="T653" s="7"/>
      <c r="U653" s="153"/>
      <c r="V653" s="153"/>
      <c r="W653" s="12"/>
      <c r="X653" s="7"/>
      <c r="Y653" s="7"/>
      <c r="Z653" s="7"/>
      <c r="AA653" s="7"/>
      <c r="AB653" s="13"/>
      <c r="AC653" s="13"/>
      <c r="AD653" s="13"/>
    </row>
    <row r="654" ht="14.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153"/>
      <c r="R654" s="7"/>
      <c r="S654" s="7"/>
      <c r="T654" s="7"/>
      <c r="U654" s="153"/>
      <c r="V654" s="153"/>
      <c r="W654" s="12"/>
      <c r="X654" s="7"/>
      <c r="Y654" s="7"/>
      <c r="Z654" s="7"/>
      <c r="AA654" s="7"/>
      <c r="AB654" s="13"/>
      <c r="AC654" s="13"/>
      <c r="AD654" s="13"/>
    </row>
    <row r="655" ht="14.4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153"/>
      <c r="R655" s="7"/>
      <c r="S655" s="7"/>
      <c r="T655" s="7"/>
      <c r="U655" s="153"/>
      <c r="V655" s="153"/>
      <c r="W655" s="12"/>
      <c r="X655" s="7"/>
      <c r="Y655" s="7"/>
      <c r="Z655" s="7"/>
      <c r="AA655" s="7"/>
      <c r="AB655" s="13"/>
      <c r="AC655" s="13"/>
      <c r="AD655" s="13"/>
    </row>
    <row r="656" ht="14.4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7"/>
      <c r="Q656" s="153"/>
      <c r="R656" s="7"/>
      <c r="S656" s="7"/>
      <c r="T656" s="7"/>
      <c r="U656" s="153"/>
      <c r="V656" s="153"/>
      <c r="W656" s="12"/>
      <c r="X656" s="7"/>
      <c r="Y656" s="7"/>
      <c r="Z656" s="7"/>
      <c r="AA656" s="7"/>
      <c r="AB656" s="13"/>
      <c r="AC656" s="13"/>
      <c r="AD656" s="13"/>
    </row>
    <row r="657" ht="14.4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7"/>
      <c r="Q657" s="153"/>
      <c r="R657" s="7"/>
      <c r="S657" s="7"/>
      <c r="T657" s="7"/>
      <c r="U657" s="153"/>
      <c r="V657" s="153"/>
      <c r="W657" s="12"/>
      <c r="X657" s="7"/>
      <c r="Y657" s="7"/>
      <c r="Z657" s="7"/>
      <c r="AA657" s="7"/>
      <c r="AB657" s="13"/>
      <c r="AC657" s="13"/>
      <c r="AD657" s="13"/>
    </row>
    <row r="658" ht="14.4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7"/>
      <c r="Q658" s="153"/>
      <c r="R658" s="7"/>
      <c r="S658" s="7"/>
      <c r="T658" s="7"/>
      <c r="U658" s="153"/>
      <c r="V658" s="153"/>
      <c r="W658" s="12"/>
      <c r="X658" s="7"/>
      <c r="Y658" s="7"/>
      <c r="Z658" s="7"/>
      <c r="AA658" s="7"/>
      <c r="AB658" s="13"/>
      <c r="AC658" s="13"/>
      <c r="AD658" s="13"/>
    </row>
    <row r="659" ht="14.4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7"/>
      <c r="Q659" s="153"/>
      <c r="R659" s="7"/>
      <c r="S659" s="7"/>
      <c r="T659" s="7"/>
      <c r="U659" s="153"/>
      <c r="V659" s="153"/>
      <c r="W659" s="12"/>
      <c r="X659" s="7"/>
      <c r="Y659" s="7"/>
      <c r="Z659" s="7"/>
      <c r="AA659" s="7"/>
      <c r="AB659" s="13"/>
      <c r="AC659" s="13"/>
      <c r="AD659" s="13"/>
    </row>
    <row r="660" ht="14.4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7"/>
      <c r="Q660" s="153"/>
      <c r="R660" s="7"/>
      <c r="S660" s="7"/>
      <c r="T660" s="7"/>
      <c r="U660" s="153"/>
      <c r="V660" s="153"/>
      <c r="W660" s="12"/>
      <c r="X660" s="7"/>
      <c r="Y660" s="7"/>
      <c r="Z660" s="7"/>
      <c r="AA660" s="7"/>
      <c r="AB660" s="13"/>
      <c r="AC660" s="13"/>
      <c r="AD660" s="13"/>
    </row>
    <row r="661" ht="14.4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7"/>
      <c r="Q661" s="153"/>
      <c r="R661" s="7"/>
      <c r="S661" s="7"/>
      <c r="T661" s="7"/>
      <c r="U661" s="153"/>
      <c r="V661" s="153"/>
      <c r="W661" s="12"/>
      <c r="X661" s="7"/>
      <c r="Y661" s="7"/>
      <c r="Z661" s="7"/>
      <c r="AA661" s="7"/>
      <c r="AB661" s="13"/>
      <c r="AC661" s="13"/>
      <c r="AD661" s="13"/>
    </row>
    <row r="662" ht="14.4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7"/>
      <c r="Q662" s="153"/>
      <c r="R662" s="7"/>
      <c r="S662" s="7"/>
      <c r="T662" s="7"/>
      <c r="U662" s="153"/>
      <c r="V662" s="153"/>
      <c r="W662" s="12"/>
      <c r="X662" s="7"/>
      <c r="Y662" s="7"/>
      <c r="Z662" s="7"/>
      <c r="AA662" s="7"/>
      <c r="AB662" s="13"/>
      <c r="AC662" s="13"/>
      <c r="AD662" s="13"/>
    </row>
    <row r="663" ht="14.4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7"/>
      <c r="Q663" s="153"/>
      <c r="R663" s="7"/>
      <c r="S663" s="7"/>
      <c r="T663" s="7"/>
      <c r="U663" s="153"/>
      <c r="V663" s="153"/>
      <c r="W663" s="12"/>
      <c r="X663" s="7"/>
      <c r="Y663" s="7"/>
      <c r="Z663" s="7"/>
      <c r="AA663" s="7"/>
      <c r="AB663" s="13"/>
      <c r="AC663" s="13"/>
      <c r="AD663" s="13"/>
    </row>
    <row r="664" ht="14.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7"/>
      <c r="Q664" s="153"/>
      <c r="R664" s="7"/>
      <c r="S664" s="7"/>
      <c r="T664" s="7"/>
      <c r="U664" s="153"/>
      <c r="V664" s="153"/>
      <c r="W664" s="12"/>
      <c r="X664" s="7"/>
      <c r="Y664" s="7"/>
      <c r="Z664" s="7"/>
      <c r="AA664" s="7"/>
      <c r="AB664" s="13"/>
      <c r="AC664" s="13"/>
      <c r="AD664" s="13"/>
    </row>
    <row r="665" ht="14.4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7"/>
      <c r="Q665" s="153"/>
      <c r="R665" s="7"/>
      <c r="S665" s="7"/>
      <c r="T665" s="7"/>
      <c r="U665" s="153"/>
      <c r="V665" s="153"/>
      <c r="W665" s="12"/>
      <c r="X665" s="7"/>
      <c r="Y665" s="7"/>
      <c r="Z665" s="7"/>
      <c r="AA665" s="7"/>
      <c r="AB665" s="13"/>
      <c r="AC665" s="13"/>
      <c r="AD665" s="13"/>
    </row>
    <row r="666" ht="14.4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7"/>
      <c r="Q666" s="153"/>
      <c r="R666" s="7"/>
      <c r="S666" s="7"/>
      <c r="T666" s="7"/>
      <c r="U666" s="153"/>
      <c r="V666" s="153"/>
      <c r="W666" s="12"/>
      <c r="X666" s="7"/>
      <c r="Y666" s="7"/>
      <c r="Z666" s="7"/>
      <c r="AA666" s="7"/>
      <c r="AB666" s="13"/>
      <c r="AC666" s="13"/>
      <c r="AD666" s="13"/>
    </row>
    <row r="667" ht="14.4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7"/>
      <c r="Q667" s="153"/>
      <c r="R667" s="7"/>
      <c r="S667" s="7"/>
      <c r="T667" s="7"/>
      <c r="U667" s="153"/>
      <c r="V667" s="153"/>
      <c r="W667" s="12"/>
      <c r="X667" s="7"/>
      <c r="Y667" s="7"/>
      <c r="Z667" s="7"/>
      <c r="AA667" s="7"/>
      <c r="AB667" s="13"/>
      <c r="AC667" s="13"/>
      <c r="AD667" s="13"/>
    </row>
    <row r="668" ht="14.4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7"/>
      <c r="Q668" s="153"/>
      <c r="R668" s="7"/>
      <c r="S668" s="7"/>
      <c r="T668" s="7"/>
      <c r="U668" s="153"/>
      <c r="V668" s="153"/>
      <c r="W668" s="12"/>
      <c r="X668" s="7"/>
      <c r="Y668" s="7"/>
      <c r="Z668" s="7"/>
      <c r="AA668" s="7"/>
      <c r="AB668" s="13"/>
      <c r="AC668" s="13"/>
      <c r="AD668" s="13"/>
    </row>
    <row r="669" ht="14.4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7"/>
      <c r="Q669" s="153"/>
      <c r="R669" s="7"/>
      <c r="S669" s="7"/>
      <c r="T669" s="7"/>
      <c r="U669" s="153"/>
      <c r="V669" s="153"/>
      <c r="W669" s="12"/>
      <c r="X669" s="7"/>
      <c r="Y669" s="7"/>
      <c r="Z669" s="7"/>
      <c r="AA669" s="7"/>
      <c r="AB669" s="13"/>
      <c r="AC669" s="13"/>
      <c r="AD669" s="13"/>
    </row>
    <row r="670" ht="14.4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7"/>
      <c r="Q670" s="153"/>
      <c r="R670" s="7"/>
      <c r="S670" s="7"/>
      <c r="T670" s="7"/>
      <c r="U670" s="153"/>
      <c r="V670" s="153"/>
      <c r="W670" s="12"/>
      <c r="X670" s="7"/>
      <c r="Y670" s="7"/>
      <c r="Z670" s="7"/>
      <c r="AA670" s="7"/>
      <c r="AB670" s="13"/>
      <c r="AC670" s="13"/>
      <c r="AD670" s="13"/>
    </row>
    <row r="671" ht="14.4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7"/>
      <c r="Q671" s="153"/>
      <c r="R671" s="7"/>
      <c r="S671" s="7"/>
      <c r="T671" s="7"/>
      <c r="U671" s="153"/>
      <c r="V671" s="153"/>
      <c r="W671" s="12"/>
      <c r="X671" s="7"/>
      <c r="Y671" s="7"/>
      <c r="Z671" s="7"/>
      <c r="AA671" s="7"/>
      <c r="AB671" s="13"/>
      <c r="AC671" s="13"/>
      <c r="AD671" s="13"/>
    </row>
    <row r="672" ht="14.4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7"/>
      <c r="Q672" s="153"/>
      <c r="R672" s="7"/>
      <c r="S672" s="7"/>
      <c r="T672" s="7"/>
      <c r="U672" s="153"/>
      <c r="V672" s="153"/>
      <c r="W672" s="12"/>
      <c r="X672" s="7"/>
      <c r="Y672" s="7"/>
      <c r="Z672" s="7"/>
      <c r="AA672" s="7"/>
      <c r="AB672" s="13"/>
      <c r="AC672" s="13"/>
      <c r="AD672" s="13"/>
    </row>
    <row r="673" ht="14.4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7"/>
      <c r="Q673" s="153"/>
      <c r="R673" s="7"/>
      <c r="S673" s="7"/>
      <c r="T673" s="7"/>
      <c r="U673" s="153"/>
      <c r="V673" s="153"/>
      <c r="W673" s="12"/>
      <c r="X673" s="7"/>
      <c r="Y673" s="7"/>
      <c r="Z673" s="7"/>
      <c r="AA673" s="7"/>
      <c r="AB673" s="13"/>
      <c r="AC673" s="13"/>
      <c r="AD673" s="13"/>
    </row>
    <row r="674" ht="14.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7"/>
      <c r="Q674" s="153"/>
      <c r="R674" s="7"/>
      <c r="S674" s="7"/>
      <c r="T674" s="7"/>
      <c r="U674" s="153"/>
      <c r="V674" s="153"/>
      <c r="W674" s="12"/>
      <c r="X674" s="7"/>
      <c r="Y674" s="7"/>
      <c r="Z674" s="7"/>
      <c r="AA674" s="7"/>
      <c r="AB674" s="13"/>
      <c r="AC674" s="13"/>
      <c r="AD674" s="13"/>
    </row>
    <row r="675" ht="14.4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7"/>
      <c r="Q675" s="153"/>
      <c r="R675" s="7"/>
      <c r="S675" s="7"/>
      <c r="T675" s="7"/>
      <c r="U675" s="153"/>
      <c r="V675" s="153"/>
      <c r="W675" s="12"/>
      <c r="X675" s="7"/>
      <c r="Y675" s="7"/>
      <c r="Z675" s="7"/>
      <c r="AA675" s="7"/>
      <c r="AB675" s="13"/>
      <c r="AC675" s="13"/>
      <c r="AD675" s="13"/>
    </row>
    <row r="676" ht="14.4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7"/>
      <c r="Q676" s="153"/>
      <c r="R676" s="7"/>
      <c r="S676" s="7"/>
      <c r="T676" s="7"/>
      <c r="U676" s="153"/>
      <c r="V676" s="153"/>
      <c r="W676" s="12"/>
      <c r="X676" s="7"/>
      <c r="Y676" s="7"/>
      <c r="Z676" s="7"/>
      <c r="AA676" s="7"/>
      <c r="AB676" s="13"/>
      <c r="AC676" s="13"/>
      <c r="AD676" s="13"/>
    </row>
    <row r="677" ht="14.4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7"/>
      <c r="Q677" s="153"/>
      <c r="R677" s="7"/>
      <c r="S677" s="7"/>
      <c r="T677" s="7"/>
      <c r="U677" s="153"/>
      <c r="V677" s="153"/>
      <c r="W677" s="12"/>
      <c r="X677" s="7"/>
      <c r="Y677" s="7"/>
      <c r="Z677" s="7"/>
      <c r="AA677" s="7"/>
      <c r="AB677" s="13"/>
      <c r="AC677" s="13"/>
      <c r="AD677" s="13"/>
    </row>
    <row r="678" ht="14.4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7"/>
      <c r="Q678" s="153"/>
      <c r="R678" s="7"/>
      <c r="S678" s="7"/>
      <c r="T678" s="7"/>
      <c r="U678" s="153"/>
      <c r="V678" s="153"/>
      <c r="W678" s="12"/>
      <c r="X678" s="7"/>
      <c r="Y678" s="7"/>
      <c r="Z678" s="7"/>
      <c r="AA678" s="7"/>
      <c r="AB678" s="13"/>
      <c r="AC678" s="13"/>
      <c r="AD678" s="13"/>
    </row>
    <row r="679" ht="14.4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7"/>
      <c r="Q679" s="153"/>
      <c r="R679" s="7"/>
      <c r="S679" s="7"/>
      <c r="T679" s="7"/>
      <c r="U679" s="153"/>
      <c r="V679" s="153"/>
      <c r="W679" s="12"/>
      <c r="X679" s="7"/>
      <c r="Y679" s="7"/>
      <c r="Z679" s="7"/>
      <c r="AA679" s="7"/>
      <c r="AB679" s="13"/>
      <c r="AC679" s="13"/>
      <c r="AD679" s="13"/>
    </row>
    <row r="680" ht="14.4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7"/>
      <c r="Q680" s="153"/>
      <c r="R680" s="7"/>
      <c r="S680" s="7"/>
      <c r="T680" s="7"/>
      <c r="U680" s="153"/>
      <c r="V680" s="153"/>
      <c r="W680" s="12"/>
      <c r="X680" s="7"/>
      <c r="Y680" s="7"/>
      <c r="Z680" s="7"/>
      <c r="AA680" s="7"/>
      <c r="AB680" s="13"/>
      <c r="AC680" s="13"/>
      <c r="AD680" s="13"/>
    </row>
    <row r="681" ht="14.4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7"/>
      <c r="Q681" s="153"/>
      <c r="R681" s="7"/>
      <c r="S681" s="7"/>
      <c r="T681" s="7"/>
      <c r="U681" s="153"/>
      <c r="V681" s="153"/>
      <c r="W681" s="12"/>
      <c r="X681" s="7"/>
      <c r="Y681" s="7"/>
      <c r="Z681" s="7"/>
      <c r="AA681" s="7"/>
      <c r="AB681" s="13"/>
      <c r="AC681" s="13"/>
      <c r="AD681" s="13"/>
    </row>
    <row r="682" ht="14.4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7"/>
      <c r="Q682" s="153"/>
      <c r="R682" s="7"/>
      <c r="S682" s="7"/>
      <c r="T682" s="7"/>
      <c r="U682" s="153"/>
      <c r="V682" s="153"/>
      <c r="W682" s="12"/>
      <c r="X682" s="7"/>
      <c r="Y682" s="7"/>
      <c r="Z682" s="7"/>
      <c r="AA682" s="7"/>
      <c r="AB682" s="13"/>
      <c r="AC682" s="13"/>
      <c r="AD682" s="13"/>
    </row>
    <row r="683" ht="14.4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7"/>
      <c r="Q683" s="153"/>
      <c r="R683" s="7"/>
      <c r="S683" s="7"/>
      <c r="T683" s="7"/>
      <c r="U683" s="153"/>
      <c r="V683" s="153"/>
      <c r="W683" s="12"/>
      <c r="X683" s="7"/>
      <c r="Y683" s="7"/>
      <c r="Z683" s="7"/>
      <c r="AA683" s="7"/>
      <c r="AB683" s="13"/>
      <c r="AC683" s="13"/>
      <c r="AD683" s="13"/>
    </row>
    <row r="684" ht="14.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7"/>
      <c r="Q684" s="153"/>
      <c r="R684" s="7"/>
      <c r="S684" s="7"/>
      <c r="T684" s="7"/>
      <c r="U684" s="153"/>
      <c r="V684" s="153"/>
      <c r="W684" s="12"/>
      <c r="X684" s="7"/>
      <c r="Y684" s="7"/>
      <c r="Z684" s="7"/>
      <c r="AA684" s="7"/>
      <c r="AB684" s="13"/>
      <c r="AC684" s="13"/>
      <c r="AD684" s="13"/>
    </row>
    <row r="685" ht="14.4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7"/>
      <c r="Q685" s="153"/>
      <c r="R685" s="7"/>
      <c r="S685" s="7"/>
      <c r="T685" s="7"/>
      <c r="U685" s="153"/>
      <c r="V685" s="153"/>
      <c r="W685" s="12"/>
      <c r="X685" s="7"/>
      <c r="Y685" s="7"/>
      <c r="Z685" s="7"/>
      <c r="AA685" s="7"/>
      <c r="AB685" s="13"/>
      <c r="AC685" s="13"/>
      <c r="AD685" s="13"/>
    </row>
    <row r="686" ht="14.4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7"/>
      <c r="Q686" s="153"/>
      <c r="R686" s="7"/>
      <c r="S686" s="7"/>
      <c r="T686" s="7"/>
      <c r="U686" s="153"/>
      <c r="V686" s="153"/>
      <c r="W686" s="12"/>
      <c r="X686" s="7"/>
      <c r="Y686" s="7"/>
      <c r="Z686" s="7"/>
      <c r="AA686" s="7"/>
      <c r="AB686" s="13"/>
      <c r="AC686" s="13"/>
      <c r="AD686" s="13"/>
    </row>
    <row r="687" ht="14.4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7"/>
      <c r="Q687" s="153"/>
      <c r="R687" s="7"/>
      <c r="S687" s="7"/>
      <c r="T687" s="7"/>
      <c r="U687" s="153"/>
      <c r="V687" s="153"/>
      <c r="W687" s="12"/>
      <c r="X687" s="7"/>
      <c r="Y687" s="7"/>
      <c r="Z687" s="7"/>
      <c r="AA687" s="7"/>
      <c r="AB687" s="13"/>
      <c r="AC687" s="13"/>
      <c r="AD687" s="13"/>
    </row>
    <row r="688" ht="14.4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7"/>
      <c r="Q688" s="153"/>
      <c r="R688" s="7"/>
      <c r="S688" s="7"/>
      <c r="T688" s="7"/>
      <c r="U688" s="153"/>
      <c r="V688" s="153"/>
      <c r="W688" s="12"/>
      <c r="X688" s="7"/>
      <c r="Y688" s="7"/>
      <c r="Z688" s="7"/>
      <c r="AA688" s="7"/>
      <c r="AB688" s="13"/>
      <c r="AC688" s="13"/>
      <c r="AD688" s="13"/>
    </row>
    <row r="689" ht="14.4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7"/>
      <c r="Q689" s="153"/>
      <c r="R689" s="7"/>
      <c r="S689" s="7"/>
      <c r="T689" s="7"/>
      <c r="U689" s="153"/>
      <c r="V689" s="153"/>
      <c r="W689" s="12"/>
      <c r="X689" s="7"/>
      <c r="Y689" s="7"/>
      <c r="Z689" s="7"/>
      <c r="AA689" s="7"/>
      <c r="AB689" s="13"/>
      <c r="AC689" s="13"/>
      <c r="AD689" s="13"/>
    </row>
    <row r="690" ht="14.4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7"/>
      <c r="Q690" s="153"/>
      <c r="R690" s="7"/>
      <c r="S690" s="7"/>
      <c r="T690" s="7"/>
      <c r="U690" s="153"/>
      <c r="V690" s="153"/>
      <c r="W690" s="12"/>
      <c r="X690" s="7"/>
      <c r="Y690" s="7"/>
      <c r="Z690" s="7"/>
      <c r="AA690" s="7"/>
      <c r="AB690" s="13"/>
      <c r="AC690" s="13"/>
      <c r="AD690" s="13"/>
    </row>
    <row r="691" ht="14.4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7"/>
      <c r="Q691" s="153"/>
      <c r="R691" s="7"/>
      <c r="S691" s="7"/>
      <c r="T691" s="7"/>
      <c r="U691" s="153"/>
      <c r="V691" s="153"/>
      <c r="W691" s="12"/>
      <c r="X691" s="7"/>
      <c r="Y691" s="7"/>
      <c r="Z691" s="7"/>
      <c r="AA691" s="7"/>
      <c r="AB691" s="13"/>
      <c r="AC691" s="13"/>
      <c r="AD691" s="13"/>
    </row>
    <row r="692" ht="14.4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7"/>
      <c r="Q692" s="153"/>
      <c r="R692" s="7"/>
      <c r="S692" s="7"/>
      <c r="T692" s="7"/>
      <c r="U692" s="153"/>
      <c r="V692" s="153"/>
      <c r="W692" s="12"/>
      <c r="X692" s="7"/>
      <c r="Y692" s="7"/>
      <c r="Z692" s="7"/>
      <c r="AA692" s="7"/>
      <c r="AB692" s="13"/>
      <c r="AC692" s="13"/>
      <c r="AD692" s="13"/>
    </row>
    <row r="693" ht="14.4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7"/>
      <c r="Q693" s="153"/>
      <c r="R693" s="7"/>
      <c r="S693" s="7"/>
      <c r="T693" s="7"/>
      <c r="U693" s="153"/>
      <c r="V693" s="153"/>
      <c r="W693" s="12"/>
      <c r="X693" s="7"/>
      <c r="Y693" s="7"/>
      <c r="Z693" s="7"/>
      <c r="AA693" s="7"/>
      <c r="AB693" s="13"/>
      <c r="AC693" s="13"/>
      <c r="AD693" s="13"/>
    </row>
    <row r="694" ht="14.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7"/>
      <c r="Q694" s="153"/>
      <c r="R694" s="7"/>
      <c r="S694" s="7"/>
      <c r="T694" s="7"/>
      <c r="U694" s="153"/>
      <c r="V694" s="153"/>
      <c r="W694" s="12"/>
      <c r="X694" s="21"/>
      <c r="Y694" s="7"/>
      <c r="Z694" s="7"/>
      <c r="AA694" s="7"/>
      <c r="AB694" s="13"/>
      <c r="AC694" s="13"/>
      <c r="AD694" s="13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154"/>
      <c r="R815" s="21"/>
      <c r="S815" s="21"/>
      <c r="T815" s="21"/>
      <c r="U815" s="154"/>
      <c r="V815" s="154"/>
      <c r="W815" s="154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154"/>
      <c r="R816" s="21"/>
      <c r="S816" s="21"/>
      <c r="T816" s="21"/>
      <c r="U816" s="154"/>
      <c r="V816" s="154"/>
      <c r="W816" s="154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154"/>
      <c r="R817" s="21"/>
      <c r="S817" s="21"/>
      <c r="T817" s="21"/>
      <c r="U817" s="154"/>
      <c r="V817" s="154"/>
      <c r="W817" s="154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154"/>
      <c r="R818" s="21"/>
      <c r="S818" s="21"/>
      <c r="T818" s="21"/>
      <c r="U818" s="154"/>
      <c r="V818" s="154"/>
      <c r="W818" s="154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154"/>
      <c r="R819" s="21"/>
      <c r="S819" s="21"/>
      <c r="T819" s="21"/>
      <c r="U819" s="154"/>
      <c r="V819" s="154"/>
      <c r="W819" s="154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154"/>
      <c r="R820" s="21"/>
      <c r="S820" s="21"/>
      <c r="T820" s="21"/>
      <c r="U820" s="154"/>
      <c r="V820" s="154"/>
      <c r="W820" s="154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154"/>
      <c r="R821" s="21"/>
      <c r="S821" s="21"/>
      <c r="T821" s="21"/>
      <c r="U821" s="154"/>
      <c r="V821" s="154"/>
      <c r="W821" s="154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154"/>
      <c r="R822" s="21"/>
      <c r="S822" s="21"/>
      <c r="T822" s="21"/>
      <c r="U822" s="154"/>
      <c r="V822" s="154"/>
      <c r="W822" s="154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154"/>
      <c r="R823" s="21"/>
      <c r="S823" s="21"/>
      <c r="T823" s="21"/>
      <c r="U823" s="154"/>
      <c r="V823" s="154"/>
      <c r="W823" s="154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154"/>
      <c r="R824" s="21"/>
      <c r="S824" s="21"/>
      <c r="T824" s="21"/>
      <c r="U824" s="154"/>
      <c r="V824" s="154"/>
      <c r="W824" s="154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154"/>
      <c r="R825" s="21"/>
      <c r="S825" s="21"/>
      <c r="T825" s="21"/>
      <c r="U825" s="154"/>
      <c r="V825" s="154"/>
      <c r="W825" s="154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154"/>
      <c r="R826" s="21"/>
      <c r="S826" s="21"/>
      <c r="T826" s="21"/>
      <c r="U826" s="154"/>
      <c r="V826" s="154"/>
      <c r="W826" s="154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154"/>
      <c r="R827" s="21"/>
      <c r="S827" s="21"/>
      <c r="T827" s="21"/>
      <c r="U827" s="154"/>
      <c r="V827" s="154"/>
      <c r="W827" s="154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154"/>
      <c r="R828" s="21"/>
      <c r="S828" s="21"/>
      <c r="T828" s="21"/>
      <c r="U828" s="154"/>
      <c r="V828" s="154"/>
      <c r="W828" s="154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154"/>
      <c r="R829" s="21"/>
      <c r="S829" s="21"/>
      <c r="T829" s="21"/>
      <c r="U829" s="154"/>
      <c r="V829" s="154"/>
      <c r="W829" s="154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154"/>
      <c r="R830" s="21"/>
      <c r="S830" s="21"/>
      <c r="T830" s="21"/>
      <c r="U830" s="154"/>
      <c r="V830" s="154"/>
      <c r="W830" s="154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154"/>
      <c r="R831" s="21"/>
      <c r="S831" s="21"/>
      <c r="T831" s="21"/>
      <c r="U831" s="154"/>
      <c r="V831" s="154"/>
      <c r="W831" s="154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154"/>
      <c r="R832" s="21"/>
      <c r="S832" s="21"/>
      <c r="T832" s="21"/>
      <c r="U832" s="154"/>
      <c r="V832" s="154"/>
      <c r="W832" s="154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154"/>
      <c r="R833" s="21"/>
      <c r="S833" s="21"/>
      <c r="T833" s="21"/>
      <c r="U833" s="154"/>
      <c r="V833" s="154"/>
      <c r="W833" s="154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154"/>
      <c r="R834" s="21"/>
      <c r="S834" s="21"/>
      <c r="T834" s="21"/>
      <c r="U834" s="154"/>
      <c r="V834" s="154"/>
      <c r="W834" s="154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154"/>
      <c r="R835" s="21"/>
      <c r="S835" s="21"/>
      <c r="T835" s="21"/>
      <c r="U835" s="154"/>
      <c r="V835" s="154"/>
      <c r="W835" s="154"/>
      <c r="X835" s="21"/>
      <c r="Y835" s="21"/>
      <c r="Z835" s="21"/>
      <c r="AA835" s="21"/>
      <c r="AB835" s="21"/>
      <c r="AC835" s="21"/>
      <c r="AD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154"/>
      <c r="R836" s="21"/>
      <c r="S836" s="21"/>
      <c r="T836" s="21"/>
      <c r="U836" s="154"/>
      <c r="V836" s="154"/>
      <c r="W836" s="154"/>
      <c r="X836" s="21"/>
      <c r="Y836" s="21"/>
      <c r="Z836" s="21"/>
      <c r="AA836" s="21"/>
      <c r="AB836" s="21"/>
      <c r="AC836" s="21"/>
      <c r="AD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154"/>
      <c r="R837" s="21"/>
      <c r="S837" s="21"/>
      <c r="T837" s="21"/>
      <c r="U837" s="154"/>
      <c r="V837" s="154"/>
      <c r="W837" s="154"/>
      <c r="X837" s="21"/>
      <c r="Y837" s="21"/>
      <c r="Z837" s="21"/>
      <c r="AA837" s="21"/>
      <c r="AB837" s="21"/>
      <c r="AC837" s="21"/>
      <c r="AD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154"/>
      <c r="R838" s="21"/>
      <c r="S838" s="21"/>
      <c r="T838" s="21"/>
      <c r="U838" s="154"/>
      <c r="V838" s="154"/>
      <c r="W838" s="154"/>
      <c r="X838" s="21"/>
      <c r="Y838" s="21"/>
      <c r="Z838" s="21"/>
      <c r="AA838" s="21"/>
      <c r="AB838" s="21"/>
      <c r="AC838" s="21"/>
      <c r="AD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154"/>
      <c r="R839" s="21"/>
      <c r="S839" s="21"/>
      <c r="T839" s="21"/>
      <c r="U839" s="154"/>
      <c r="V839" s="154"/>
      <c r="W839" s="154"/>
      <c r="X839" s="21"/>
      <c r="Y839" s="21"/>
      <c r="Z839" s="21"/>
      <c r="AA839" s="21"/>
      <c r="AB839" s="21"/>
      <c r="AC839" s="21"/>
      <c r="AD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154"/>
      <c r="R840" s="21"/>
      <c r="S840" s="21"/>
      <c r="T840" s="21"/>
      <c r="U840" s="154"/>
      <c r="V840" s="154"/>
      <c r="W840" s="154"/>
      <c r="X840" s="21"/>
      <c r="Y840" s="21"/>
      <c r="Z840" s="21"/>
      <c r="AA840" s="21"/>
      <c r="AB840" s="21"/>
      <c r="AC840" s="21"/>
      <c r="AD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154"/>
      <c r="R841" s="21"/>
      <c r="S841" s="21"/>
      <c r="T841" s="21"/>
      <c r="U841" s="154"/>
      <c r="V841" s="154"/>
      <c r="W841" s="154"/>
      <c r="X841" s="21"/>
      <c r="Y841" s="21"/>
      <c r="Z841" s="21"/>
      <c r="AA841" s="21"/>
      <c r="AB841" s="21"/>
      <c r="AC841" s="21"/>
      <c r="AD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154"/>
      <c r="R842" s="21"/>
      <c r="S842" s="21"/>
      <c r="T842" s="21"/>
      <c r="U842" s="154"/>
      <c r="V842" s="154"/>
      <c r="W842" s="154"/>
      <c r="X842" s="21"/>
      <c r="Y842" s="21"/>
      <c r="Z842" s="21"/>
      <c r="AA842" s="21"/>
      <c r="AB842" s="21"/>
      <c r="AC842" s="21"/>
      <c r="AD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154"/>
      <c r="R843" s="21"/>
      <c r="S843" s="21"/>
      <c r="T843" s="21"/>
      <c r="U843" s="154"/>
      <c r="V843" s="154"/>
      <c r="W843" s="154"/>
      <c r="X843" s="21"/>
      <c r="Y843" s="21"/>
      <c r="Z843" s="21"/>
      <c r="AA843" s="21"/>
      <c r="AB843" s="21"/>
      <c r="AC843" s="21"/>
      <c r="AD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154"/>
      <c r="R844" s="21"/>
      <c r="S844" s="21"/>
      <c r="T844" s="21"/>
      <c r="U844" s="154"/>
      <c r="V844" s="154"/>
      <c r="W844" s="154"/>
      <c r="X844" s="21"/>
      <c r="Y844" s="21"/>
      <c r="Z844" s="21"/>
      <c r="AA844" s="21"/>
      <c r="AB844" s="21"/>
      <c r="AC844" s="21"/>
      <c r="AD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154"/>
      <c r="R845" s="21"/>
      <c r="S845" s="21"/>
      <c r="T845" s="21"/>
      <c r="U845" s="154"/>
      <c r="V845" s="154"/>
      <c r="W845" s="154"/>
      <c r="X845" s="21"/>
      <c r="Y845" s="21"/>
      <c r="Z845" s="21"/>
      <c r="AA845" s="21"/>
      <c r="AB845" s="21"/>
      <c r="AC845" s="21"/>
      <c r="AD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154"/>
      <c r="R846" s="21"/>
      <c r="S846" s="21"/>
      <c r="T846" s="21"/>
      <c r="U846" s="154"/>
      <c r="V846" s="154"/>
      <c r="W846" s="154"/>
      <c r="X846" s="21"/>
      <c r="Y846" s="21"/>
      <c r="Z846" s="21"/>
      <c r="AA846" s="21"/>
      <c r="AB846" s="21"/>
      <c r="AC846" s="21"/>
      <c r="AD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154"/>
      <c r="R847" s="21"/>
      <c r="S847" s="21"/>
      <c r="T847" s="21"/>
      <c r="U847" s="154"/>
      <c r="V847" s="154"/>
      <c r="W847" s="154"/>
      <c r="X847" s="21"/>
      <c r="Y847" s="21"/>
      <c r="Z847" s="21"/>
      <c r="AA847" s="21"/>
      <c r="AB847" s="21"/>
      <c r="AC847" s="21"/>
      <c r="AD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154"/>
      <c r="R848" s="21"/>
      <c r="S848" s="21"/>
      <c r="T848" s="21"/>
      <c r="U848" s="154"/>
      <c r="V848" s="154"/>
      <c r="W848" s="154"/>
      <c r="X848" s="21"/>
      <c r="Y848" s="21"/>
      <c r="Z848" s="21"/>
      <c r="AA848" s="21"/>
      <c r="AB848" s="21"/>
      <c r="AC848" s="21"/>
      <c r="AD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154"/>
      <c r="R849" s="21"/>
      <c r="S849" s="21"/>
      <c r="T849" s="21"/>
      <c r="U849" s="154"/>
      <c r="V849" s="154"/>
      <c r="W849" s="154"/>
      <c r="X849" s="21"/>
      <c r="Y849" s="21"/>
      <c r="Z849" s="21"/>
      <c r="AA849" s="21"/>
      <c r="AB849" s="21"/>
      <c r="AC849" s="21"/>
      <c r="AD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154"/>
      <c r="R850" s="21"/>
      <c r="S850" s="21"/>
      <c r="T850" s="21"/>
      <c r="U850" s="154"/>
      <c r="V850" s="154"/>
      <c r="W850" s="154"/>
      <c r="X850" s="21"/>
      <c r="Y850" s="21"/>
      <c r="Z850" s="21"/>
      <c r="AA850" s="21"/>
      <c r="AB850" s="21"/>
      <c r="AC850" s="21"/>
      <c r="AD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154"/>
      <c r="R851" s="21"/>
      <c r="S851" s="21"/>
      <c r="T851" s="21"/>
      <c r="U851" s="154"/>
      <c r="V851" s="154"/>
      <c r="W851" s="154"/>
      <c r="X851" s="21"/>
      <c r="Y851" s="21"/>
      <c r="Z851" s="21"/>
      <c r="AA851" s="21"/>
      <c r="AB851" s="21"/>
      <c r="AC851" s="21"/>
      <c r="AD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154"/>
      <c r="R852" s="21"/>
      <c r="S852" s="21"/>
      <c r="T852" s="21"/>
      <c r="U852" s="154"/>
      <c r="V852" s="154"/>
      <c r="W852" s="154"/>
      <c r="X852" s="21"/>
      <c r="Y852" s="21"/>
      <c r="Z852" s="21"/>
      <c r="AA852" s="21"/>
      <c r="AB852" s="21"/>
      <c r="AC852" s="21"/>
      <c r="AD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154"/>
      <c r="R853" s="21"/>
      <c r="S853" s="21"/>
      <c r="T853" s="21"/>
      <c r="U853" s="154"/>
      <c r="V853" s="154"/>
      <c r="W853" s="154"/>
      <c r="X853" s="21"/>
      <c r="Y853" s="21"/>
      <c r="Z853" s="21"/>
      <c r="AA853" s="21"/>
      <c r="AB853" s="21"/>
      <c r="AC853" s="21"/>
      <c r="AD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154"/>
      <c r="R854" s="21"/>
      <c r="S854" s="21"/>
      <c r="T854" s="21"/>
      <c r="U854" s="154"/>
      <c r="V854" s="154"/>
      <c r="W854" s="154"/>
      <c r="X854" s="21"/>
      <c r="Y854" s="21"/>
      <c r="Z854" s="21"/>
      <c r="AA854" s="21"/>
      <c r="AB854" s="21"/>
      <c r="AC854" s="21"/>
      <c r="AD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154"/>
      <c r="R855" s="21"/>
      <c r="S855" s="21"/>
      <c r="T855" s="21"/>
      <c r="U855" s="154"/>
      <c r="V855" s="154"/>
      <c r="W855" s="154"/>
      <c r="X855" s="21"/>
      <c r="Y855" s="21"/>
      <c r="Z855" s="21"/>
      <c r="AA855" s="21"/>
      <c r="AB855" s="21"/>
      <c r="AC855" s="21"/>
      <c r="AD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154"/>
      <c r="R856" s="21"/>
      <c r="S856" s="21"/>
      <c r="T856" s="21"/>
      <c r="U856" s="154"/>
      <c r="V856" s="154"/>
      <c r="W856" s="154"/>
      <c r="X856" s="21"/>
      <c r="Y856" s="21"/>
      <c r="Z856" s="21"/>
      <c r="AA856" s="21"/>
      <c r="AB856" s="21"/>
      <c r="AC856" s="21"/>
      <c r="AD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154"/>
      <c r="R857" s="21"/>
      <c r="S857" s="21"/>
      <c r="T857" s="21"/>
      <c r="U857" s="154"/>
      <c r="V857" s="154"/>
      <c r="W857" s="154"/>
      <c r="X857" s="21"/>
      <c r="Y857" s="21"/>
      <c r="Z857" s="21"/>
      <c r="AA857" s="21"/>
      <c r="AB857" s="21"/>
      <c r="AC857" s="21"/>
      <c r="AD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154"/>
      <c r="R858" s="21"/>
      <c r="S858" s="21"/>
      <c r="T858" s="21"/>
      <c r="U858" s="154"/>
      <c r="V858" s="154"/>
      <c r="W858" s="154"/>
      <c r="X858" s="21"/>
      <c r="Y858" s="21"/>
      <c r="Z858" s="21"/>
      <c r="AA858" s="21"/>
      <c r="AB858" s="21"/>
      <c r="AC858" s="21"/>
      <c r="AD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154"/>
      <c r="R859" s="21"/>
      <c r="S859" s="21"/>
      <c r="T859" s="21"/>
      <c r="U859" s="154"/>
      <c r="V859" s="154"/>
      <c r="W859" s="154"/>
      <c r="X859" s="21"/>
      <c r="Y859" s="21"/>
      <c r="Z859" s="21"/>
      <c r="AA859" s="21"/>
      <c r="AB859" s="21"/>
      <c r="AC859" s="21"/>
      <c r="AD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154"/>
      <c r="R860" s="21"/>
      <c r="S860" s="21"/>
      <c r="T860" s="21"/>
      <c r="U860" s="154"/>
      <c r="V860" s="154"/>
      <c r="W860" s="154"/>
      <c r="X860" s="21"/>
      <c r="Y860" s="21"/>
      <c r="Z860" s="21"/>
      <c r="AA860" s="21"/>
      <c r="AB860" s="21"/>
      <c r="AC860" s="21"/>
      <c r="AD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154"/>
      <c r="R861" s="21"/>
      <c r="S861" s="21"/>
      <c r="T861" s="21"/>
      <c r="U861" s="154"/>
      <c r="V861" s="154"/>
      <c r="W861" s="154"/>
      <c r="X861" s="21"/>
      <c r="Y861" s="21"/>
      <c r="Z861" s="21"/>
      <c r="AA861" s="21"/>
      <c r="AB861" s="21"/>
      <c r="AC861" s="21"/>
      <c r="AD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154"/>
      <c r="R862" s="21"/>
      <c r="S862" s="21"/>
      <c r="T862" s="21"/>
      <c r="U862" s="154"/>
      <c r="V862" s="154"/>
      <c r="W862" s="154"/>
      <c r="X862" s="21"/>
      <c r="Y862" s="21"/>
      <c r="Z862" s="21"/>
      <c r="AA862" s="21"/>
      <c r="AB862" s="21"/>
      <c r="AC862" s="21"/>
      <c r="AD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154"/>
      <c r="R863" s="21"/>
      <c r="S863" s="21"/>
      <c r="T863" s="21"/>
      <c r="U863" s="154"/>
      <c r="V863" s="154"/>
      <c r="W863" s="154"/>
      <c r="X863" s="21"/>
      <c r="Y863" s="21"/>
      <c r="Z863" s="21"/>
      <c r="AA863" s="21"/>
      <c r="AB863" s="21"/>
      <c r="AC863" s="21"/>
      <c r="AD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154"/>
      <c r="R864" s="21"/>
      <c r="S864" s="21"/>
      <c r="T864" s="21"/>
      <c r="U864" s="154"/>
      <c r="V864" s="154"/>
      <c r="W864" s="154"/>
      <c r="X864" s="21"/>
      <c r="Y864" s="21"/>
      <c r="Z864" s="21"/>
      <c r="AA864" s="21"/>
      <c r="AB864" s="21"/>
      <c r="AC864" s="21"/>
      <c r="AD864" s="21"/>
    </row>
  </sheetData>
  <mergeCells count="15">
    <mergeCell ref="F1:J1"/>
    <mergeCell ref="L1:N5"/>
    <mergeCell ref="F2:K5"/>
    <mergeCell ref="N6:P7"/>
    <mergeCell ref="F7:J7"/>
    <mergeCell ref="A9:Q9"/>
    <mergeCell ref="U9:V9"/>
    <mergeCell ref="P10:Q10"/>
    <mergeCell ref="U10:V10"/>
    <mergeCell ref="A26:Q26"/>
    <mergeCell ref="P27:Q27"/>
    <mergeCell ref="A43:Q43"/>
    <mergeCell ref="P44:Q44"/>
    <mergeCell ref="P62:Q62"/>
    <mergeCell ref="P80:Q8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38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3" zoomScale="100" workbookViewId="0">
      <selection activeCell="L34" activeCellId="0" sqref="L34"/>
    </sheetView>
  </sheetViews>
  <sheetFormatPr defaultRowHeight="13.5"/>
  <cols>
    <col customWidth="1" min="1" max="1" width="18.44140625"/>
    <col customWidth="1" min="2" max="2" width="12.109375"/>
    <col customWidth="1" min="3" max="3" width="5.109375"/>
    <col customWidth="1" min="4" max="4" width="12.33203125"/>
    <col customWidth="1" min="5" max="5" width="5.109375"/>
    <col customWidth="1" min="6" max="6" width="13.33203125"/>
    <col customWidth="1" min="7" max="7" width="6.109375"/>
    <col customWidth="1" min="8" max="8" width="12.109375"/>
    <col customWidth="1" min="9" max="9" width="6"/>
    <col customWidth="1" min="10" max="10" width="10.6640625"/>
    <col customWidth="1" min="11" max="11" width="5.88671875"/>
    <col customWidth="1" min="12" max="12" width="11.88671875"/>
    <col customWidth="1" min="13" max="13" width="5.109375"/>
    <col customWidth="1" min="14" max="14" width="11"/>
    <col customWidth="1" min="15" max="15" width="5.88671875"/>
    <col bestFit="1" customWidth="1" min="17" max="17" width="9.88671875"/>
    <col customWidth="1" min="18" max="18" width="11.44140625"/>
  </cols>
  <sheetData>
    <row r="1" s="21" customFormat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25">
      <c r="A2" s="14"/>
      <c r="B2" s="15" t="s">
        <v>3</v>
      </c>
      <c r="C2" s="15" t="s">
        <v>4</v>
      </c>
      <c r="D2" s="16" t="s">
        <v>5</v>
      </c>
      <c r="E2" s="16" t="s">
        <v>4</v>
      </c>
      <c r="F2" s="17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25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25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25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25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25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30"/>
      <c r="E8" s="30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ht="14.25">
      <c r="A10" s="49"/>
      <c r="B10" s="214" t="s">
        <v>17</v>
      </c>
      <c r="C10" s="723"/>
      <c r="D10" s="214" t="s">
        <v>18</v>
      </c>
      <c r="E10" s="723"/>
      <c r="F10" s="214" t="s">
        <v>19</v>
      </c>
      <c r="G10" s="723"/>
      <c r="H10" s="214" t="s">
        <v>20</v>
      </c>
      <c r="I10" s="723"/>
      <c r="J10" s="482" t="s">
        <v>21</v>
      </c>
      <c r="K10" s="724"/>
      <c r="L10" s="214" t="s">
        <v>22</v>
      </c>
      <c r="M10" s="723"/>
      <c r="N10" s="214" t="s">
        <v>23</v>
      </c>
      <c r="O10" s="723"/>
      <c r="P10" s="214" t="s">
        <v>24</v>
      </c>
      <c r="Q10" s="214"/>
      <c r="R10" s="725">
        <v>120</v>
      </c>
      <c r="S10" s="49"/>
      <c r="T10" s="49"/>
      <c r="U10" s="50">
        <v>120</v>
      </c>
      <c r="V10" s="50"/>
      <c r="W10" s="50"/>
      <c r="X10" s="51"/>
      <c r="Y10" s="7"/>
      <c r="Z10" s="7"/>
      <c r="AA10" s="7"/>
      <c r="AB10" s="13"/>
      <c r="AC10" s="13"/>
      <c r="AD10" s="13"/>
    </row>
    <row r="11" ht="14.25">
      <c r="A11" s="143"/>
      <c r="B11" s="515">
        <v>46020</v>
      </c>
      <c r="C11" s="515"/>
      <c r="D11" s="515">
        <v>46021</v>
      </c>
      <c r="E11" s="515"/>
      <c r="F11" s="726">
        <v>46022</v>
      </c>
      <c r="G11" s="726"/>
      <c r="H11" s="705">
        <v>46023</v>
      </c>
      <c r="I11" s="705"/>
      <c r="J11" s="705">
        <v>46024</v>
      </c>
      <c r="K11" s="705"/>
      <c r="L11" s="705">
        <v>46025</v>
      </c>
      <c r="M11" s="705"/>
      <c r="N11" s="705">
        <v>46026</v>
      </c>
      <c r="O11" s="706"/>
      <c r="P11" s="213" t="s">
        <v>25</v>
      </c>
      <c r="Q11" s="214" t="s">
        <v>26</v>
      </c>
      <c r="R11" s="727"/>
      <c r="S11" s="42"/>
      <c r="T11" s="42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s="21" customFormat="1" ht="14.25">
      <c r="A12" s="525" t="s">
        <v>35</v>
      </c>
      <c r="B12" s="527"/>
      <c r="C12" s="527"/>
      <c r="D12" s="527"/>
      <c r="E12" s="527"/>
      <c r="F12" s="528"/>
      <c r="G12" s="528"/>
      <c r="H12" s="526"/>
      <c r="I12" s="526"/>
      <c r="J12" s="526"/>
      <c r="K12" s="526"/>
      <c r="L12" s="528"/>
      <c r="M12" s="528"/>
      <c r="N12" s="528"/>
      <c r="O12" s="528"/>
      <c r="P12" s="253">
        <f t="shared" ref="P12:P75" si="154">C12+E12+G12+I12+K12+M12+O12</f>
        <v>0</v>
      </c>
      <c r="Q12" s="62">
        <f>R10-P12</f>
        <v>120</v>
      </c>
      <c r="R12" s="442" t="str">
        <f t="shared" ref="R12:R75" si="155">A12</f>
        <v>Рычков</v>
      </c>
      <c r="S12" s="76" t="s">
        <v>10</v>
      </c>
      <c r="T12" s="77" t="s">
        <v>9</v>
      </c>
      <c r="U12" s="90">
        <f t="shared" ref="U12:U75" si="156">COUNTIF(T12,B12)+COUNTIF(T12,D12)+COUNTIF(T12,F12)+COUNTIF(T12,H12)+COUNTIF(T12,J12)+COUNTIF(T12,L12)+COUNTIF(T12,N12)</f>
        <v>0</v>
      </c>
      <c r="V12" s="62">
        <f t="shared" ref="V12:V69" si="157">COUNTIF(S12,B12)+COUNTIF(S12,D12)+COUNTIF(S12,F12)+COUNTIF(S12,H12)+COUNTIF(S12,J12)+COUNTIF(S12,L12)+COUNTIF(S12,N12)</f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ht="14.25">
      <c r="A13" s="415" t="s">
        <v>31</v>
      </c>
      <c r="B13" s="527"/>
      <c r="C13" s="527"/>
      <c r="D13" s="527"/>
      <c r="E13" s="527"/>
      <c r="F13" s="528"/>
      <c r="G13" s="528"/>
      <c r="H13" s="528"/>
      <c r="I13" s="528"/>
      <c r="J13" s="528"/>
      <c r="K13" s="528"/>
      <c r="L13" s="528"/>
      <c r="M13" s="528"/>
      <c r="N13" s="254"/>
      <c r="O13" s="254"/>
      <c r="P13" s="253">
        <f t="shared" si="154"/>
        <v>0</v>
      </c>
      <c r="Q13" s="62">
        <f>R10-P13</f>
        <v>120</v>
      </c>
      <c r="R13" s="442" t="str">
        <f t="shared" si="155"/>
        <v>Нетронин</v>
      </c>
      <c r="S13" s="76" t="s">
        <v>10</v>
      </c>
      <c r="T13" s="77" t="s">
        <v>9</v>
      </c>
      <c r="U13" s="90">
        <f t="shared" si="156"/>
        <v>0</v>
      </c>
      <c r="V13" s="62">
        <f t="shared" si="157"/>
        <v>0</v>
      </c>
      <c r="W13" s="62"/>
      <c r="X13" s="74" t="s">
        <v>34</v>
      </c>
      <c r="Y13" s="7"/>
      <c r="Z13" s="7"/>
      <c r="AA13" s="7"/>
      <c r="AB13" s="13"/>
      <c r="AC13" s="13"/>
      <c r="AD13" s="13"/>
    </row>
    <row r="14" ht="14.4" hidden="1" customHeight="1">
      <c r="A14" s="415" t="s">
        <v>35</v>
      </c>
      <c r="B14" s="527"/>
      <c r="C14" s="527"/>
      <c r="D14" s="527"/>
      <c r="E14" s="527"/>
      <c r="F14" s="528"/>
      <c r="G14" s="528"/>
      <c r="H14" s="528"/>
      <c r="I14" s="528"/>
      <c r="J14" s="528"/>
      <c r="K14" s="528"/>
      <c r="L14" s="528"/>
      <c r="M14" s="528"/>
      <c r="N14" s="528"/>
      <c r="O14" s="528"/>
      <c r="P14" s="253">
        <f t="shared" si="154"/>
        <v>0</v>
      </c>
      <c r="Q14" s="62">
        <f>R10-P14</f>
        <v>120</v>
      </c>
      <c r="R14" s="442" t="str">
        <f t="shared" si="155"/>
        <v>Рычков</v>
      </c>
      <c r="S14" s="76" t="s">
        <v>10</v>
      </c>
      <c r="T14" s="77" t="s">
        <v>9</v>
      </c>
      <c r="U14" s="90">
        <f t="shared" si="156"/>
        <v>0</v>
      </c>
      <c r="V14" s="62">
        <f t="shared" si="157"/>
        <v>0</v>
      </c>
      <c r="W14" s="62"/>
      <c r="X14" s="74" t="s">
        <v>38</v>
      </c>
      <c r="Y14" s="7"/>
      <c r="Z14" s="7"/>
      <c r="AA14" s="7"/>
      <c r="AB14" s="13"/>
      <c r="AC14" s="13"/>
      <c r="AD14" s="13"/>
    </row>
    <row r="15" ht="14.4" hidden="1" customHeight="1">
      <c r="A15" s="525" t="s">
        <v>36</v>
      </c>
      <c r="B15" s="295"/>
      <c r="C15" s="295"/>
      <c r="D15" s="295"/>
      <c r="E15" s="295"/>
      <c r="F15" s="528"/>
      <c r="G15" s="528"/>
      <c r="H15" s="528"/>
      <c r="I15" s="528"/>
      <c r="J15" s="528"/>
      <c r="K15" s="528"/>
      <c r="L15" s="528"/>
      <c r="M15" s="528"/>
      <c r="N15" s="528"/>
      <c r="O15" s="528"/>
      <c r="P15" s="253">
        <f t="shared" si="154"/>
        <v>0</v>
      </c>
      <c r="Q15" s="62">
        <f>R10-P15</f>
        <v>120</v>
      </c>
      <c r="R15" s="442" t="str">
        <f t="shared" si="155"/>
        <v>Колобашкин</v>
      </c>
      <c r="S15" s="76" t="s">
        <v>10</v>
      </c>
      <c r="T15" s="77" t="s">
        <v>9</v>
      </c>
      <c r="U15" s="90">
        <f t="shared" si="156"/>
        <v>0</v>
      </c>
      <c r="V15" s="62">
        <f t="shared" si="157"/>
        <v>0</v>
      </c>
      <c r="W15" s="62"/>
      <c r="X15" s="79" t="s">
        <v>49</v>
      </c>
      <c r="Y15" s="7"/>
      <c r="Z15" s="80"/>
      <c r="AA15" s="80"/>
      <c r="AB15" s="13"/>
      <c r="AC15" s="13"/>
      <c r="AD15" s="13"/>
    </row>
    <row r="16" ht="14.25">
      <c r="A16" s="415" t="s">
        <v>39</v>
      </c>
      <c r="B16" s="527"/>
      <c r="C16" s="527"/>
      <c r="D16" s="527"/>
      <c r="E16" s="527"/>
      <c r="F16" s="528"/>
      <c r="G16" s="528"/>
      <c r="H16" s="528"/>
      <c r="I16" s="528"/>
      <c r="J16" s="528"/>
      <c r="K16" s="528"/>
      <c r="L16" s="528"/>
      <c r="M16" s="528"/>
      <c r="N16" s="528"/>
      <c r="O16" s="528"/>
      <c r="P16" s="253">
        <f t="shared" si="154"/>
        <v>0</v>
      </c>
      <c r="Q16" s="62">
        <f>R10-P16</f>
        <v>120</v>
      </c>
      <c r="R16" s="442" t="str">
        <f t="shared" si="155"/>
        <v>Игумнов</v>
      </c>
      <c r="S16" s="76" t="s">
        <v>10</v>
      </c>
      <c r="T16" s="77" t="s">
        <v>9</v>
      </c>
      <c r="U16" s="90">
        <f t="shared" si="156"/>
        <v>0</v>
      </c>
      <c r="V16" s="62">
        <f t="shared" si="157"/>
        <v>0</v>
      </c>
      <c r="W16" s="62"/>
      <c r="X16" s="79" t="s">
        <v>34</v>
      </c>
      <c r="Y16" s="7"/>
      <c r="Z16" s="80"/>
      <c r="AA16" s="80"/>
      <c r="AB16" s="13"/>
      <c r="AC16" s="13"/>
      <c r="AD16" s="13"/>
    </row>
    <row r="17" ht="14.25">
      <c r="A17" s="415" t="s">
        <v>40</v>
      </c>
      <c r="B17" s="527"/>
      <c r="C17" s="527"/>
      <c r="D17" s="527"/>
      <c r="E17" s="527"/>
      <c r="F17" s="528"/>
      <c r="G17" s="528"/>
      <c r="H17" s="528"/>
      <c r="I17" s="528"/>
      <c r="J17" s="528"/>
      <c r="K17" s="528"/>
      <c r="L17" s="528"/>
      <c r="M17" s="528"/>
      <c r="N17" s="528"/>
      <c r="O17" s="528"/>
      <c r="P17" s="253">
        <f t="shared" si="154"/>
        <v>0</v>
      </c>
      <c r="Q17" s="62">
        <f>R10-P17</f>
        <v>120</v>
      </c>
      <c r="R17" s="442" t="str">
        <f t="shared" si="155"/>
        <v>Душин</v>
      </c>
      <c r="S17" s="76" t="s">
        <v>10</v>
      </c>
      <c r="T17" s="77" t="s">
        <v>9</v>
      </c>
      <c r="U17" s="90">
        <f t="shared" si="156"/>
        <v>0</v>
      </c>
      <c r="V17" s="62">
        <f t="shared" si="157"/>
        <v>0</v>
      </c>
      <c r="W17" s="62"/>
      <c r="X17" s="74" t="s">
        <v>38</v>
      </c>
      <c r="Y17" s="80"/>
      <c r="Z17" s="80"/>
      <c r="AA17" s="80"/>
      <c r="AB17" s="13"/>
      <c r="AC17" s="13"/>
      <c r="AD17" s="13"/>
    </row>
    <row r="18" ht="14.25">
      <c r="A18" s="415" t="s">
        <v>42</v>
      </c>
      <c r="B18" s="527"/>
      <c r="C18" s="527"/>
      <c r="D18" s="527"/>
      <c r="E18" s="527"/>
      <c r="F18" s="528"/>
      <c r="G18" s="528"/>
      <c r="H18" s="528"/>
      <c r="I18" s="528"/>
      <c r="J18" s="528"/>
      <c r="K18" s="528"/>
      <c r="L18" s="531"/>
      <c r="M18" s="531" t="s">
        <v>57</v>
      </c>
      <c r="N18" s="528"/>
      <c r="O18" s="528"/>
      <c r="P18" s="253">
        <f t="shared" si="154"/>
        <v>4</v>
      </c>
      <c r="Q18" s="62">
        <f>R10-P18</f>
        <v>116</v>
      </c>
      <c r="R18" s="442" t="str">
        <f t="shared" si="155"/>
        <v>Юращик</v>
      </c>
      <c r="S18" s="76" t="s">
        <v>58</v>
      </c>
      <c r="T18" s="77" t="s">
        <v>59</v>
      </c>
      <c r="U18" s="90">
        <f t="shared" si="156"/>
        <v>0</v>
      </c>
      <c r="V18" s="62">
        <f t="shared" si="157"/>
        <v>0</v>
      </c>
      <c r="W18" s="62"/>
      <c r="X18" s="74" t="s">
        <v>34</v>
      </c>
      <c r="Y18" s="80"/>
      <c r="Z18" s="80"/>
      <c r="AA18" s="80"/>
      <c r="AB18" s="13"/>
      <c r="AC18" s="13"/>
      <c r="AD18" s="13"/>
    </row>
    <row r="19" ht="14.25">
      <c r="A19" s="388" t="s">
        <v>43</v>
      </c>
      <c r="B19" s="294"/>
      <c r="C19" s="294"/>
      <c r="D19" s="294"/>
      <c r="E19" s="294"/>
      <c r="F19" s="254"/>
      <c r="G19" s="254"/>
      <c r="H19" s="728"/>
      <c r="I19" s="728"/>
      <c r="J19" s="637"/>
      <c r="K19" s="729" t="s">
        <v>4</v>
      </c>
      <c r="L19" s="87"/>
      <c r="M19" s="87"/>
      <c r="N19" s="730"/>
      <c r="O19" s="528"/>
      <c r="P19" s="253">
        <f t="shared" si="154"/>
        <v>12</v>
      </c>
      <c r="Q19" s="62">
        <f>R10-P19</f>
        <v>108</v>
      </c>
      <c r="R19" s="442" t="str">
        <f t="shared" si="155"/>
        <v>Дащенко</v>
      </c>
      <c r="S19" s="76" t="s">
        <v>10</v>
      </c>
      <c r="T19" s="77" t="s">
        <v>9</v>
      </c>
      <c r="U19" s="90">
        <f>COUNTIF(T19,B19)+COUNTIF(T19,D19)+COUNTIF(T19,F19)+COUNTIF(T19,L19)+COUNTIF(T19,J19)+COUNTIF(T19,#REF!)+COUNTIF(T19,N19)</f>
        <v>0</v>
      </c>
      <c r="V19" s="62">
        <f>COUNTIF(S19,B19)+COUNTIF(S19,D19)+COUNTIF(S19,F19)+COUNTIF(S19,L19)+COUNTIF(S19,J19)+COUNTIF(S19,#REF!)+COUNTIF(S19,N19)</f>
        <v>0</v>
      </c>
      <c r="W19" s="62"/>
      <c r="X19" s="74" t="s">
        <v>38</v>
      </c>
      <c r="Y19" s="80"/>
      <c r="Z19" s="80"/>
      <c r="AA19" s="80"/>
      <c r="AB19" s="13"/>
      <c r="AC19" s="13"/>
      <c r="AD19" s="13"/>
    </row>
    <row r="20" ht="14.25">
      <c r="A20" s="388" t="s">
        <v>45</v>
      </c>
      <c r="B20" s="528"/>
      <c r="C20" s="528"/>
      <c r="D20" s="731"/>
      <c r="E20" s="731"/>
      <c r="F20" s="626"/>
      <c r="G20" s="626"/>
      <c r="H20" s="295"/>
      <c r="I20" s="295" t="s">
        <v>4</v>
      </c>
      <c r="J20" s="732"/>
      <c r="K20" s="732" t="s">
        <v>4</v>
      </c>
      <c r="L20" s="733"/>
      <c r="M20" s="733"/>
      <c r="N20" s="637"/>
      <c r="O20" s="637" t="s">
        <v>4</v>
      </c>
      <c r="P20" s="253">
        <f t="shared" si="154"/>
        <v>36</v>
      </c>
      <c r="Q20" s="62">
        <f>U10-P20</f>
        <v>84</v>
      </c>
      <c r="R20" s="442" t="str">
        <f t="shared" si="155"/>
        <v>Пузырь</v>
      </c>
      <c r="S20" s="76" t="s">
        <v>10</v>
      </c>
      <c r="T20" s="77" t="s">
        <v>9</v>
      </c>
      <c r="U20" s="90">
        <f t="shared" si="156"/>
        <v>0</v>
      </c>
      <c r="V20" s="62">
        <f t="shared" si="157"/>
        <v>0</v>
      </c>
      <c r="W20" s="62"/>
      <c r="X20" s="74" t="s">
        <v>38</v>
      </c>
      <c r="Y20" s="80"/>
      <c r="Z20" s="80"/>
      <c r="AA20" s="80"/>
      <c r="AB20" s="13"/>
      <c r="AC20" s="13"/>
      <c r="AD20" s="13"/>
    </row>
    <row r="21" ht="14.25">
      <c r="A21" s="388" t="s">
        <v>46</v>
      </c>
      <c r="B21" s="734"/>
      <c r="C21" s="734"/>
      <c r="D21" s="734"/>
      <c r="E21" s="734"/>
      <c r="F21" s="734"/>
      <c r="G21" s="734"/>
      <c r="H21" s="728"/>
      <c r="I21" s="728"/>
      <c r="J21" s="295"/>
      <c r="K21" s="295" t="s">
        <v>4</v>
      </c>
      <c r="L21" s="295"/>
      <c r="M21" s="295" t="s">
        <v>4</v>
      </c>
      <c r="N21" s="528"/>
      <c r="O21" s="528"/>
      <c r="P21" s="253">
        <f t="shared" si="154"/>
        <v>24</v>
      </c>
      <c r="Q21" s="62">
        <f>U10-P21</f>
        <v>96</v>
      </c>
      <c r="R21" s="442" t="str">
        <f t="shared" si="155"/>
        <v>Голышев</v>
      </c>
      <c r="S21" s="76" t="s">
        <v>10</v>
      </c>
      <c r="T21" s="77" t="s">
        <v>9</v>
      </c>
      <c r="U21" s="90">
        <f t="shared" si="156"/>
        <v>0</v>
      </c>
      <c r="V21" s="62">
        <f t="shared" si="157"/>
        <v>0</v>
      </c>
      <c r="W21" s="62"/>
      <c r="X21" s="74" t="s">
        <v>34</v>
      </c>
      <c r="Y21" s="80"/>
      <c r="Z21" s="80"/>
      <c r="AA21" s="80"/>
      <c r="AB21" s="13"/>
      <c r="AC21" s="13"/>
      <c r="AD21" s="13"/>
    </row>
    <row r="22" ht="14.25">
      <c r="A22" s="388" t="s">
        <v>47</v>
      </c>
      <c r="B22" s="254"/>
      <c r="C22" s="254"/>
      <c r="D22" s="254"/>
      <c r="E22" s="254"/>
      <c r="F22" s="616"/>
      <c r="G22" s="616"/>
      <c r="H22" s="616"/>
      <c r="I22" s="616"/>
      <c r="J22" s="528"/>
      <c r="K22" s="528"/>
      <c r="L22" s="295"/>
      <c r="M22" s="295" t="s">
        <v>4</v>
      </c>
      <c r="N22" s="295"/>
      <c r="O22" s="295" t="s">
        <v>4</v>
      </c>
      <c r="P22" s="253">
        <f t="shared" si="154"/>
        <v>24</v>
      </c>
      <c r="Q22" s="62">
        <f>U10-P22</f>
        <v>96</v>
      </c>
      <c r="R22" s="442" t="str">
        <f t="shared" si="155"/>
        <v>Торубара</v>
      </c>
      <c r="S22" s="76" t="s">
        <v>10</v>
      </c>
      <c r="T22" s="77" t="s">
        <v>9</v>
      </c>
      <c r="U22" s="90">
        <f t="shared" si="156"/>
        <v>0</v>
      </c>
      <c r="V22" s="62">
        <f t="shared" si="157"/>
        <v>0</v>
      </c>
      <c r="W22" s="62"/>
      <c r="X22" s="74" t="s">
        <v>34</v>
      </c>
      <c r="Y22" s="80"/>
      <c r="Z22" s="7"/>
      <c r="AA22" s="7"/>
      <c r="AB22" s="13"/>
      <c r="AC22" s="13"/>
      <c r="AD22" s="13"/>
    </row>
    <row r="23" ht="14.25">
      <c r="A23" s="388" t="s">
        <v>48</v>
      </c>
      <c r="B23" s="731"/>
      <c r="C23" s="731"/>
      <c r="D23" s="528"/>
      <c r="E23" s="528"/>
      <c r="F23" s="637"/>
      <c r="G23" s="637"/>
      <c r="H23" s="637"/>
      <c r="I23" s="637" t="s">
        <v>4</v>
      </c>
      <c r="J23" s="247"/>
      <c r="K23" s="247"/>
      <c r="L23" s="528"/>
      <c r="M23" s="528"/>
      <c r="N23" s="295"/>
      <c r="O23" s="295" t="s">
        <v>4</v>
      </c>
      <c r="P23" s="253">
        <f t="shared" si="154"/>
        <v>24</v>
      </c>
      <c r="Q23" s="62">
        <f>U10-P23</f>
        <v>96</v>
      </c>
      <c r="R23" s="442" t="str">
        <f t="shared" si="155"/>
        <v>Стрыгин</v>
      </c>
      <c r="S23" s="76" t="s">
        <v>10</v>
      </c>
      <c r="T23" s="77" t="s">
        <v>9</v>
      </c>
      <c r="U23" s="90">
        <f t="shared" si="156"/>
        <v>0</v>
      </c>
      <c r="V23" s="62">
        <f t="shared" si="157"/>
        <v>0</v>
      </c>
      <c r="W23" s="62"/>
      <c r="X23" s="74" t="s">
        <v>38</v>
      </c>
      <c r="Y23" s="7"/>
      <c r="Z23" s="7"/>
      <c r="AA23" s="7"/>
      <c r="AB23" s="13"/>
      <c r="AC23" s="13"/>
      <c r="AD23" s="13"/>
    </row>
    <row r="24" ht="14.25">
      <c r="A24" s="388" t="s">
        <v>50</v>
      </c>
      <c r="B24" s="735"/>
      <c r="C24" s="735"/>
      <c r="D24" s="735"/>
      <c r="E24" s="735"/>
      <c r="F24" s="736"/>
      <c r="G24" s="736"/>
      <c r="H24" s="737"/>
      <c r="I24" s="737" t="s">
        <v>4</v>
      </c>
      <c r="J24" s="637"/>
      <c r="K24" s="637" t="s">
        <v>4</v>
      </c>
      <c r="L24" s="738"/>
      <c r="M24" s="738" t="s">
        <v>33</v>
      </c>
      <c r="N24" s="247"/>
      <c r="O24" s="247"/>
      <c r="P24" s="253">
        <f t="shared" si="154"/>
        <v>32</v>
      </c>
      <c r="Q24" s="62">
        <f>U10-P24</f>
        <v>88</v>
      </c>
      <c r="R24" s="442" t="str">
        <f t="shared" si="155"/>
        <v>Фрик</v>
      </c>
      <c r="S24" s="76" t="s">
        <v>10</v>
      </c>
      <c r="T24" s="77" t="s">
        <v>9</v>
      </c>
      <c r="U24" s="90">
        <f t="shared" si="156"/>
        <v>0</v>
      </c>
      <c r="V24" s="62">
        <f t="shared" si="157"/>
        <v>0</v>
      </c>
      <c r="W24" s="62"/>
      <c r="X24" s="74" t="s">
        <v>34</v>
      </c>
      <c r="Y24" s="7"/>
      <c r="Z24" s="7"/>
      <c r="AA24" s="7"/>
      <c r="AB24" s="13"/>
      <c r="AC24" s="13"/>
      <c r="AD24" s="13"/>
    </row>
    <row r="25" ht="14.25">
      <c r="A25" s="563" t="s">
        <v>51</v>
      </c>
      <c r="B25" s="528"/>
      <c r="C25" s="528"/>
      <c r="D25" s="528"/>
      <c r="E25" s="528"/>
      <c r="F25" s="295"/>
      <c r="G25" s="295"/>
      <c r="H25" s="295"/>
      <c r="I25" s="295" t="s">
        <v>4</v>
      </c>
      <c r="J25" s="528"/>
      <c r="K25" s="627"/>
      <c r="L25" s="87"/>
      <c r="M25" s="87"/>
      <c r="N25" s="739"/>
      <c r="O25" s="637" t="s">
        <v>4</v>
      </c>
      <c r="P25" s="253">
        <f t="shared" si="154"/>
        <v>24</v>
      </c>
      <c r="Q25" s="62">
        <f>U10-P25</f>
        <v>96</v>
      </c>
      <c r="R25" s="442" t="str">
        <f t="shared" si="155"/>
        <v>Истрашкин</v>
      </c>
      <c r="S25" s="71" t="s">
        <v>8</v>
      </c>
      <c r="T25" s="72" t="s">
        <v>7</v>
      </c>
      <c r="U25" s="90">
        <f t="shared" si="156"/>
        <v>0</v>
      </c>
      <c r="V25" s="62">
        <f t="shared" si="157"/>
        <v>0</v>
      </c>
      <c r="W25" s="62"/>
      <c r="X25" s="74" t="s">
        <v>49</v>
      </c>
      <c r="Y25" s="7"/>
      <c r="Z25" s="7"/>
      <c r="AA25" s="7"/>
      <c r="AB25" s="13"/>
      <c r="AC25" s="13"/>
      <c r="AD25" s="13"/>
    </row>
    <row r="26" ht="14.25">
      <c r="A26" s="207"/>
      <c r="B26" s="515">
        <v>46020</v>
      </c>
      <c r="C26" s="515"/>
      <c r="D26" s="515">
        <v>46021</v>
      </c>
      <c r="E26" s="515"/>
      <c r="F26" s="726">
        <v>46022</v>
      </c>
      <c r="G26" s="726"/>
      <c r="H26" s="705">
        <v>46023</v>
      </c>
      <c r="I26" s="705"/>
      <c r="J26" s="705">
        <v>46024</v>
      </c>
      <c r="K26" s="705"/>
      <c r="L26" s="740">
        <v>46025</v>
      </c>
      <c r="M26" s="740"/>
      <c r="N26" s="705">
        <v>46026</v>
      </c>
      <c r="O26" s="706"/>
      <c r="P26" s="253"/>
      <c r="Q26" s="62"/>
      <c r="R26" s="442"/>
      <c r="S26" s="741"/>
      <c r="T26" s="742"/>
      <c r="U26" s="90"/>
      <c r="V26" s="62"/>
      <c r="W26" s="50"/>
      <c r="X26" s="74"/>
      <c r="Y26" s="7"/>
      <c r="Z26" s="7"/>
      <c r="AA26" s="7"/>
      <c r="AB26" s="13"/>
      <c r="AC26" s="13"/>
      <c r="AD26" s="13"/>
    </row>
    <row r="27" ht="14.25">
      <c r="A27" s="245"/>
      <c r="B27" s="245"/>
      <c r="C27" s="245"/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99"/>
      <c r="S27" s="165"/>
      <c r="T27" s="165"/>
      <c r="U27" s="100"/>
      <c r="V27" s="100"/>
      <c r="W27" s="100"/>
      <c r="X27" s="7"/>
      <c r="Y27" s="7"/>
      <c r="Z27" s="7"/>
      <c r="AA27" s="7"/>
      <c r="AB27" s="13"/>
      <c r="AC27" s="13"/>
      <c r="AD27" s="13"/>
    </row>
    <row r="28" ht="14.25">
      <c r="A28" s="165"/>
      <c r="B28" s="237" t="s">
        <v>17</v>
      </c>
      <c r="C28" s="237"/>
      <c r="D28" s="237" t="s">
        <v>18</v>
      </c>
      <c r="E28" s="237"/>
      <c r="F28" s="237" t="s">
        <v>19</v>
      </c>
      <c r="G28" s="237"/>
      <c r="H28" s="237" t="s">
        <v>20</v>
      </c>
      <c r="I28" s="237"/>
      <c r="J28" s="565" t="s">
        <v>21</v>
      </c>
      <c r="K28" s="565"/>
      <c r="L28" s="237" t="s">
        <v>22</v>
      </c>
      <c r="M28" s="237"/>
      <c r="N28" s="237" t="s">
        <v>23</v>
      </c>
      <c r="O28" s="237"/>
      <c r="P28" s="237" t="s">
        <v>24</v>
      </c>
      <c r="Q28" s="237"/>
      <c r="R28" s="99"/>
      <c r="S28" s="165"/>
      <c r="T28" s="165"/>
      <c r="U28" s="100"/>
      <c r="V28" s="100"/>
      <c r="W28" s="100"/>
      <c r="X28" s="51"/>
      <c r="Y28" s="7"/>
      <c r="Z28" s="7"/>
      <c r="AA28" s="7"/>
      <c r="AB28" s="13"/>
      <c r="AC28" s="13"/>
      <c r="AD28" s="13"/>
    </row>
    <row r="29" ht="14.25">
      <c r="A29" s="165"/>
      <c r="B29" s="726">
        <v>46027</v>
      </c>
      <c r="C29" s="743"/>
      <c r="D29" s="726">
        <v>46028</v>
      </c>
      <c r="E29" s="743"/>
      <c r="F29" s="726">
        <v>46029</v>
      </c>
      <c r="G29" s="743"/>
      <c r="H29" s="705">
        <v>46030</v>
      </c>
      <c r="I29" s="706"/>
      <c r="J29" s="705">
        <v>46031</v>
      </c>
      <c r="K29" s="706"/>
      <c r="L29" s="705">
        <v>46032</v>
      </c>
      <c r="M29" s="706"/>
      <c r="N29" s="705">
        <v>46033</v>
      </c>
      <c r="O29" s="706"/>
      <c r="P29" s="236" t="s">
        <v>25</v>
      </c>
      <c r="Q29" s="237" t="s">
        <v>26</v>
      </c>
      <c r="R29" s="327"/>
      <c r="S29" s="166"/>
      <c r="T29" s="166"/>
      <c r="U29" s="15" t="s">
        <v>27</v>
      </c>
      <c r="V29" s="106" t="s">
        <v>28</v>
      </c>
      <c r="W29" s="100" t="s">
        <v>29</v>
      </c>
      <c r="X29" s="63" t="s">
        <v>30</v>
      </c>
      <c r="Y29" s="7"/>
      <c r="Z29" s="7"/>
      <c r="AA29" s="7"/>
      <c r="AB29" s="13"/>
      <c r="AC29" s="13"/>
      <c r="AD29" s="13"/>
    </row>
    <row r="30" ht="14.25">
      <c r="A30" s="744" t="s">
        <v>35</v>
      </c>
      <c r="B30" s="528"/>
      <c r="C30" s="528"/>
      <c r="D30" s="528"/>
      <c r="E30" s="528"/>
      <c r="F30" s="528"/>
      <c r="G30" s="528"/>
      <c r="H30" s="526"/>
      <c r="I30" s="526"/>
      <c r="J30" s="526"/>
      <c r="K30" s="526"/>
      <c r="L30" s="528"/>
      <c r="M30" s="528"/>
      <c r="N30" s="528"/>
      <c r="O30" s="528" t="s">
        <v>86</v>
      </c>
      <c r="P30" s="253">
        <f t="shared" si="154"/>
        <v>0.5</v>
      </c>
      <c r="Q30" s="62">
        <f t="shared" ref="Q30:Q39" si="158">Q13-P30</f>
        <v>119.5</v>
      </c>
      <c r="R30" s="442" t="str">
        <f t="shared" si="155"/>
        <v>Рычков</v>
      </c>
      <c r="S30" s="76" t="s">
        <v>10</v>
      </c>
      <c r="T30" s="77" t="s">
        <v>9</v>
      </c>
      <c r="U30" s="90">
        <f t="shared" si="156"/>
        <v>0</v>
      </c>
      <c r="V30" s="62">
        <f t="shared" si="157"/>
        <v>0</v>
      </c>
      <c r="W30" s="62"/>
      <c r="X30" s="74" t="s">
        <v>34</v>
      </c>
      <c r="Y30" s="7"/>
      <c r="Z30" s="7"/>
      <c r="AA30" s="7"/>
      <c r="AB30" s="13"/>
      <c r="AC30" s="13"/>
      <c r="AD30" s="13"/>
    </row>
    <row r="31" ht="14.4" hidden="1">
      <c r="A31" s="745"/>
      <c r="B31" s="528"/>
      <c r="C31" s="528"/>
      <c r="D31" s="528"/>
      <c r="E31" s="528"/>
      <c r="F31" s="528"/>
      <c r="G31" s="528"/>
      <c r="H31" s="526"/>
      <c r="I31" s="526"/>
      <c r="J31" s="526"/>
      <c r="K31" s="526"/>
      <c r="L31" s="528"/>
      <c r="M31" s="528"/>
      <c r="N31" s="528"/>
      <c r="O31" s="528"/>
      <c r="P31" s="253">
        <f t="shared" si="154"/>
        <v>0</v>
      </c>
      <c r="Q31" s="62">
        <f t="shared" si="158"/>
        <v>120</v>
      </c>
      <c r="R31" s="442">
        <f t="shared" si="155"/>
        <v>0</v>
      </c>
      <c r="S31" s="76" t="s">
        <v>10</v>
      </c>
      <c r="T31" s="77" t="s">
        <v>9</v>
      </c>
      <c r="U31" s="90">
        <f t="shared" si="156"/>
        <v>0</v>
      </c>
      <c r="V31" s="62">
        <f t="shared" si="157"/>
        <v>0</v>
      </c>
      <c r="W31" s="62"/>
      <c r="X31" s="74" t="s">
        <v>38</v>
      </c>
      <c r="Y31" s="7"/>
      <c r="Z31" s="80"/>
      <c r="AA31" s="80"/>
      <c r="AB31" s="13"/>
      <c r="AC31" s="13"/>
      <c r="AD31" s="13"/>
    </row>
    <row r="32" ht="14.4" hidden="1">
      <c r="A32" s="745"/>
      <c r="B32" s="528"/>
      <c r="C32" s="528"/>
      <c r="D32" s="528"/>
      <c r="E32" s="528"/>
      <c r="F32" s="528"/>
      <c r="G32" s="528"/>
      <c r="H32" s="526"/>
      <c r="I32" s="526"/>
      <c r="J32" s="526"/>
      <c r="K32" s="526"/>
      <c r="L32" s="254"/>
      <c r="M32" s="254"/>
      <c r="N32" s="254"/>
      <c r="O32" s="254"/>
      <c r="P32" s="253">
        <f t="shared" si="154"/>
        <v>0</v>
      </c>
      <c r="Q32" s="62">
        <f t="shared" si="158"/>
        <v>120</v>
      </c>
      <c r="R32" s="442">
        <f t="shared" si="155"/>
        <v>0</v>
      </c>
      <c r="S32" s="76" t="s">
        <v>10</v>
      </c>
      <c r="T32" s="77" t="s">
        <v>9</v>
      </c>
      <c r="U32" s="90">
        <f t="shared" si="156"/>
        <v>0</v>
      </c>
      <c r="V32" s="62">
        <f t="shared" si="157"/>
        <v>0</v>
      </c>
      <c r="W32" s="62"/>
      <c r="X32" s="79" t="s">
        <v>49</v>
      </c>
      <c r="Y32" s="7"/>
      <c r="Z32" s="80"/>
      <c r="AA32" s="80"/>
      <c r="AB32" s="13"/>
      <c r="AC32" s="13"/>
      <c r="AD32" s="13"/>
    </row>
    <row r="33" ht="14.25">
      <c r="A33" s="415" t="s">
        <v>39</v>
      </c>
      <c r="B33" s="528"/>
      <c r="C33" s="528"/>
      <c r="D33" s="528"/>
      <c r="E33" s="528"/>
      <c r="F33" s="528"/>
      <c r="G33" s="528"/>
      <c r="H33" s="526"/>
      <c r="I33" s="526"/>
      <c r="J33" s="526"/>
      <c r="K33" s="526"/>
      <c r="L33" s="528"/>
      <c r="M33" s="528"/>
      <c r="N33" s="528"/>
      <c r="O33" s="528"/>
      <c r="P33" s="253">
        <f t="shared" si="154"/>
        <v>0</v>
      </c>
      <c r="Q33" s="62">
        <f t="shared" si="158"/>
        <v>120</v>
      </c>
      <c r="R33" s="442" t="str">
        <f t="shared" si="155"/>
        <v>Игумнов</v>
      </c>
      <c r="S33" s="76" t="s">
        <v>10</v>
      </c>
      <c r="T33" s="77" t="s">
        <v>9</v>
      </c>
      <c r="U33" s="90">
        <f t="shared" si="156"/>
        <v>0</v>
      </c>
      <c r="V33" s="62">
        <f t="shared" si="157"/>
        <v>0</v>
      </c>
      <c r="W33" s="62"/>
      <c r="X33" s="79" t="s">
        <v>34</v>
      </c>
      <c r="Y33" s="7"/>
      <c r="Z33" s="80"/>
      <c r="AA33" s="80"/>
      <c r="AB33" s="13"/>
      <c r="AC33" s="13"/>
      <c r="AD33" s="13"/>
    </row>
    <row r="34" ht="14.25">
      <c r="A34" s="415" t="s">
        <v>40</v>
      </c>
      <c r="B34" s="528"/>
      <c r="C34" s="528"/>
      <c r="D34" s="528"/>
      <c r="E34" s="528"/>
      <c r="F34" s="528"/>
      <c r="G34" s="528"/>
      <c r="H34" s="526"/>
      <c r="I34" s="526"/>
      <c r="J34" s="526"/>
      <c r="K34" s="526"/>
      <c r="L34" s="528" t="s">
        <v>87</v>
      </c>
      <c r="M34" s="528"/>
      <c r="N34" s="528"/>
      <c r="O34" s="528"/>
      <c r="P34" s="253">
        <f t="shared" si="154"/>
        <v>0</v>
      </c>
      <c r="Q34" s="62">
        <f t="shared" si="158"/>
        <v>120</v>
      </c>
      <c r="R34" s="442" t="str">
        <f t="shared" si="155"/>
        <v>Душин</v>
      </c>
      <c r="S34" s="76" t="s">
        <v>10</v>
      </c>
      <c r="T34" s="77" t="s">
        <v>9</v>
      </c>
      <c r="U34" s="90">
        <f t="shared" si="156"/>
        <v>0</v>
      </c>
      <c r="V34" s="62">
        <f t="shared" si="157"/>
        <v>0</v>
      </c>
      <c r="W34" s="62"/>
      <c r="X34" s="74" t="s">
        <v>38</v>
      </c>
      <c r="Y34" s="80"/>
      <c r="Z34" s="80"/>
      <c r="AA34" s="80"/>
      <c r="AB34" s="13"/>
      <c r="AC34" s="13"/>
      <c r="AD34" s="13"/>
    </row>
    <row r="35" ht="14.25">
      <c r="A35" s="415" t="s">
        <v>31</v>
      </c>
      <c r="B35" s="528"/>
      <c r="C35" s="528"/>
      <c r="D35" s="528"/>
      <c r="E35" s="528"/>
      <c r="F35" s="528"/>
      <c r="G35" s="528"/>
      <c r="H35" s="526"/>
      <c r="I35" s="526"/>
      <c r="J35" s="526"/>
      <c r="K35" s="526"/>
      <c r="L35" s="528"/>
      <c r="M35" s="528"/>
      <c r="N35" s="528"/>
      <c r="O35" s="528"/>
      <c r="P35" s="253">
        <f t="shared" si="154"/>
        <v>0</v>
      </c>
      <c r="Q35" s="62">
        <f t="shared" ref="Q35:Q37" si="159">Q17-P35</f>
        <v>120</v>
      </c>
      <c r="R35" s="442" t="str">
        <f t="shared" si="155"/>
        <v>Нетронин</v>
      </c>
      <c r="S35" s="76" t="s">
        <v>58</v>
      </c>
      <c r="T35" s="77" t="s">
        <v>59</v>
      </c>
      <c r="U35" s="90">
        <f t="shared" si="156"/>
        <v>0</v>
      </c>
      <c r="V35" s="62">
        <f t="shared" si="157"/>
        <v>0</v>
      </c>
      <c r="W35" s="62"/>
      <c r="X35" s="74" t="s">
        <v>34</v>
      </c>
      <c r="Y35" s="80"/>
      <c r="Z35" s="80"/>
      <c r="AA35" s="80"/>
      <c r="AB35" s="13"/>
      <c r="AC35" s="13"/>
      <c r="AD35" s="13"/>
    </row>
    <row r="36" ht="14.25">
      <c r="A36" s="415" t="s">
        <v>42</v>
      </c>
      <c r="B36" s="528"/>
      <c r="C36" s="528"/>
      <c r="D36" s="528"/>
      <c r="E36" s="528"/>
      <c r="F36" s="528"/>
      <c r="G36" s="528"/>
      <c r="H36" s="526"/>
      <c r="I36" s="526"/>
      <c r="J36" s="526"/>
      <c r="K36" s="526"/>
      <c r="L36" s="528"/>
      <c r="M36" s="528"/>
      <c r="N36" s="528"/>
      <c r="O36" s="528"/>
      <c r="P36" s="253">
        <f t="shared" si="154"/>
        <v>0</v>
      </c>
      <c r="Q36" s="62">
        <f t="shared" si="159"/>
        <v>116</v>
      </c>
      <c r="R36" s="442" t="str">
        <f t="shared" si="155"/>
        <v>Юращик</v>
      </c>
      <c r="S36" s="76" t="s">
        <v>10</v>
      </c>
      <c r="T36" s="77" t="s">
        <v>9</v>
      </c>
      <c r="U36" s="90">
        <f t="shared" si="156"/>
        <v>0</v>
      </c>
      <c r="V36" s="62">
        <f t="shared" si="157"/>
        <v>0</v>
      </c>
      <c r="W36" s="62"/>
      <c r="X36" s="74" t="s">
        <v>38</v>
      </c>
      <c r="Y36" s="80"/>
      <c r="Z36" s="80"/>
      <c r="AA36" s="80"/>
      <c r="AB36" s="13"/>
      <c r="AC36" s="13"/>
      <c r="AD36" s="13"/>
    </row>
    <row r="37" ht="14.25">
      <c r="A37" s="388" t="s">
        <v>43</v>
      </c>
      <c r="B37" s="247"/>
      <c r="C37" s="247"/>
      <c r="D37" s="15"/>
      <c r="E37" s="15" t="s">
        <v>4</v>
      </c>
      <c r="F37" s="15"/>
      <c r="G37" s="15" t="s">
        <v>4</v>
      </c>
      <c r="H37" s="254"/>
      <c r="I37" s="254"/>
      <c r="J37" s="621"/>
      <c r="K37" s="621"/>
      <c r="L37" s="746"/>
      <c r="M37" s="746">
        <v>12</v>
      </c>
      <c r="N37" s="634"/>
      <c r="O37" s="634" t="s">
        <v>4</v>
      </c>
      <c r="P37" s="253">
        <f t="shared" si="154"/>
        <v>48</v>
      </c>
      <c r="Q37" s="62">
        <f t="shared" si="159"/>
        <v>60</v>
      </c>
      <c r="R37" s="442" t="str">
        <f t="shared" si="155"/>
        <v>Дащенко</v>
      </c>
      <c r="S37" s="76" t="s">
        <v>10</v>
      </c>
      <c r="T37" s="77" t="s">
        <v>9</v>
      </c>
      <c r="U37" s="90">
        <f t="shared" si="156"/>
        <v>0</v>
      </c>
      <c r="V37" s="62">
        <f t="shared" si="157"/>
        <v>0</v>
      </c>
      <c r="W37" s="62"/>
      <c r="X37" s="74" t="s">
        <v>38</v>
      </c>
      <c r="Y37" s="80"/>
      <c r="Z37" s="7"/>
      <c r="AA37" s="7"/>
      <c r="AB37" s="13"/>
      <c r="AC37" s="13"/>
      <c r="AD37" s="13"/>
    </row>
    <row r="38" ht="14.25">
      <c r="A38" s="388" t="s">
        <v>45</v>
      </c>
      <c r="B38" s="747"/>
      <c r="C38" s="747" t="s">
        <v>4</v>
      </c>
      <c r="D38" s="528"/>
      <c r="E38" s="528"/>
      <c r="F38" s="294"/>
      <c r="G38" s="294" t="s">
        <v>4</v>
      </c>
      <c r="H38" s="294"/>
      <c r="I38" s="294" t="s">
        <v>4</v>
      </c>
      <c r="J38" s="247"/>
      <c r="K38" s="247"/>
      <c r="L38" s="528"/>
      <c r="M38" s="528"/>
      <c r="N38" s="637"/>
      <c r="O38" s="637" t="s">
        <v>4</v>
      </c>
      <c r="P38" s="253">
        <f t="shared" si="154"/>
        <v>48</v>
      </c>
      <c r="Q38" s="62">
        <f t="shared" si="158"/>
        <v>48</v>
      </c>
      <c r="R38" s="442" t="str">
        <f t="shared" si="155"/>
        <v>Пузырь</v>
      </c>
      <c r="S38" s="76" t="s">
        <v>10</v>
      </c>
      <c r="T38" s="77" t="s">
        <v>9</v>
      </c>
      <c r="U38" s="90">
        <f t="shared" si="156"/>
        <v>0</v>
      </c>
      <c r="V38" s="62">
        <f t="shared" si="157"/>
        <v>0</v>
      </c>
      <c r="W38" s="62"/>
      <c r="X38" s="74" t="s">
        <v>34</v>
      </c>
      <c r="Y38" s="80"/>
      <c r="Z38" s="7"/>
      <c r="AA38" s="7"/>
      <c r="AB38" s="13"/>
      <c r="AC38" s="13"/>
      <c r="AD38" s="13"/>
    </row>
    <row r="39" ht="14.25">
      <c r="A39" s="388" t="s">
        <v>46</v>
      </c>
      <c r="B39" s="295"/>
      <c r="C39" s="295" t="s">
        <v>4</v>
      </c>
      <c r="D39" s="295"/>
      <c r="E39" s="295" t="s">
        <v>4</v>
      </c>
      <c r="F39" s="528"/>
      <c r="G39" s="528"/>
      <c r="H39" s="528"/>
      <c r="I39" s="528"/>
      <c r="J39" s="294"/>
      <c r="K39" s="294" t="s">
        <v>4</v>
      </c>
      <c r="L39" s="294"/>
      <c r="M39" s="294" t="s">
        <v>4</v>
      </c>
      <c r="N39" s="619"/>
      <c r="O39" s="619"/>
      <c r="P39" s="253">
        <f t="shared" si="154"/>
        <v>48</v>
      </c>
      <c r="Q39" s="62">
        <f t="shared" si="158"/>
        <v>48</v>
      </c>
      <c r="R39" s="442" t="str">
        <f t="shared" si="155"/>
        <v>Голышев</v>
      </c>
      <c r="S39" s="76" t="s">
        <v>10</v>
      </c>
      <c r="T39" s="77" t="s">
        <v>9</v>
      </c>
      <c r="U39" s="90">
        <f t="shared" si="156"/>
        <v>0</v>
      </c>
      <c r="V39" s="62">
        <f t="shared" si="157"/>
        <v>0</v>
      </c>
      <c r="W39" s="62"/>
      <c r="X39" s="74" t="s">
        <v>34</v>
      </c>
      <c r="Y39" s="80"/>
      <c r="Z39" s="7"/>
      <c r="AA39" s="7"/>
      <c r="AB39" s="13"/>
      <c r="AC39" s="13"/>
      <c r="AD39" s="13"/>
    </row>
    <row r="40" ht="14.25">
      <c r="A40" s="388" t="s">
        <v>47</v>
      </c>
      <c r="B40" s="528"/>
      <c r="C40" s="528"/>
      <c r="D40" s="626"/>
      <c r="E40" s="626"/>
      <c r="F40" s="295"/>
      <c r="G40" s="295" t="s">
        <v>4</v>
      </c>
      <c r="H40" s="630"/>
      <c r="I40" s="630" t="s">
        <v>4</v>
      </c>
      <c r="J40" s="254"/>
      <c r="K40" s="254"/>
      <c r="L40" s="621"/>
      <c r="M40" s="621"/>
      <c r="N40" s="295"/>
      <c r="O40" s="295" t="s">
        <v>4</v>
      </c>
      <c r="P40" s="253">
        <f t="shared" si="154"/>
        <v>36</v>
      </c>
      <c r="Q40" s="62">
        <f t="shared" ref="Q40:Q41" si="160">Q24-P40</f>
        <v>52</v>
      </c>
      <c r="R40" s="442" t="str">
        <f t="shared" si="155"/>
        <v>Торубара</v>
      </c>
      <c r="S40" s="76" t="s">
        <v>10</v>
      </c>
      <c r="T40" s="77" t="s">
        <v>9</v>
      </c>
      <c r="U40" s="90">
        <f t="shared" si="156"/>
        <v>0</v>
      </c>
      <c r="V40" s="62">
        <f t="shared" si="157"/>
        <v>0</v>
      </c>
      <c r="W40" s="62"/>
      <c r="X40" s="74" t="s">
        <v>34</v>
      </c>
      <c r="Y40" s="7"/>
      <c r="Z40" s="7"/>
      <c r="AA40" s="7"/>
      <c r="AB40" s="13"/>
      <c r="AC40" s="13"/>
      <c r="AD40" s="13"/>
    </row>
    <row r="41" ht="14.25">
      <c r="A41" s="388" t="s">
        <v>48</v>
      </c>
      <c r="B41" s="748"/>
      <c r="C41" s="748" t="s">
        <v>4</v>
      </c>
      <c r="D41" s="673"/>
      <c r="E41" s="673"/>
      <c r="F41" s="531"/>
      <c r="G41" s="531"/>
      <c r="H41" s="749"/>
      <c r="I41" s="749" t="s">
        <v>4</v>
      </c>
      <c r="J41" s="749"/>
      <c r="K41" s="749" t="s">
        <v>4</v>
      </c>
      <c r="L41" s="749"/>
      <c r="M41" s="749" t="s">
        <v>4</v>
      </c>
      <c r="N41" s="673"/>
      <c r="O41" s="673"/>
      <c r="P41" s="253">
        <f t="shared" si="154"/>
        <v>48</v>
      </c>
      <c r="Q41" s="62">
        <f t="shared" si="160"/>
        <v>48</v>
      </c>
      <c r="R41" s="442" t="str">
        <f t="shared" si="155"/>
        <v>Стрыгин</v>
      </c>
      <c r="S41" s="71" t="s">
        <v>8</v>
      </c>
      <c r="T41" s="72" t="s">
        <v>7</v>
      </c>
      <c r="U41" s="90">
        <f t="shared" si="156"/>
        <v>0</v>
      </c>
      <c r="V41" s="62">
        <f t="shared" si="157"/>
        <v>0</v>
      </c>
      <c r="W41" s="62"/>
      <c r="X41" s="74" t="s">
        <v>49</v>
      </c>
      <c r="Y41" s="7"/>
      <c r="Z41" s="7"/>
      <c r="AA41" s="7"/>
      <c r="AB41" s="13"/>
      <c r="AC41" s="13"/>
      <c r="AD41" s="13"/>
    </row>
    <row r="42" ht="14.25">
      <c r="A42" s="278" t="s">
        <v>50</v>
      </c>
      <c r="B42" s="87"/>
      <c r="C42" s="87"/>
      <c r="D42" s="87"/>
      <c r="E42" s="87"/>
      <c r="F42" s="87"/>
      <c r="G42" s="293"/>
      <c r="H42" s="15"/>
      <c r="I42" s="15" t="s">
        <v>4</v>
      </c>
      <c r="J42" s="15"/>
      <c r="K42" s="15" t="s">
        <v>4</v>
      </c>
      <c r="L42" s="15"/>
      <c r="M42" s="15" t="s">
        <v>4</v>
      </c>
      <c r="N42" s="750"/>
      <c r="O42" s="87"/>
      <c r="P42" s="285">
        <f t="shared" si="154"/>
        <v>36</v>
      </c>
      <c r="Q42" s="62">
        <f t="shared" ref="Q42:Q54" si="161">Q24-P42</f>
        <v>52</v>
      </c>
      <c r="R42" s="442" t="str">
        <f t="shared" si="155"/>
        <v>Фрик</v>
      </c>
      <c r="S42" s="71" t="s">
        <v>12</v>
      </c>
      <c r="T42" s="72" t="s">
        <v>11</v>
      </c>
      <c r="U42" s="90">
        <f t="shared" si="156"/>
        <v>0</v>
      </c>
      <c r="V42" s="62">
        <f t="shared" si="157"/>
        <v>0</v>
      </c>
      <c r="W42" s="62"/>
      <c r="X42" s="74" t="s">
        <v>44</v>
      </c>
      <c r="Y42" s="7"/>
      <c r="Z42" s="7"/>
      <c r="AA42" s="7"/>
      <c r="AB42" s="13"/>
      <c r="AC42" s="13"/>
      <c r="AD42" s="13"/>
    </row>
    <row r="43" ht="14.25">
      <c r="A43" s="563" t="s">
        <v>51</v>
      </c>
      <c r="B43" s="751"/>
      <c r="C43" s="751"/>
      <c r="D43" s="752"/>
      <c r="E43" s="752" t="s">
        <v>4</v>
      </c>
      <c r="F43" s="753"/>
      <c r="G43" s="754" t="s">
        <v>4</v>
      </c>
      <c r="H43" s="537"/>
      <c r="I43" s="537"/>
      <c r="J43" s="755"/>
      <c r="K43" s="756"/>
      <c r="L43" s="136"/>
      <c r="M43" s="136"/>
      <c r="N43" s="177"/>
      <c r="O43" s="177"/>
      <c r="P43" s="253">
        <f t="shared" si="154"/>
        <v>24</v>
      </c>
      <c r="Q43" s="62">
        <f t="shared" si="161"/>
        <v>72</v>
      </c>
      <c r="R43" s="442" t="str">
        <f t="shared" si="155"/>
        <v>Истрашкин</v>
      </c>
      <c r="S43" s="71" t="s">
        <v>10</v>
      </c>
      <c r="T43" s="72" t="s">
        <v>9</v>
      </c>
      <c r="U43" s="90">
        <f t="shared" si="156"/>
        <v>0</v>
      </c>
      <c r="V43" s="62">
        <f t="shared" si="157"/>
        <v>0</v>
      </c>
      <c r="W43" s="62"/>
      <c r="X43" s="74" t="s">
        <v>34</v>
      </c>
      <c r="Y43" s="7"/>
      <c r="Z43" s="7"/>
      <c r="AA43" s="7"/>
      <c r="AB43" s="13"/>
      <c r="AC43" s="13"/>
      <c r="AD43" s="13"/>
    </row>
    <row r="44" ht="14.25">
      <c r="A44" s="245"/>
      <c r="B44" s="726">
        <v>46027</v>
      </c>
      <c r="C44" s="743"/>
      <c r="D44" s="726">
        <v>46028</v>
      </c>
      <c r="E44" s="743"/>
      <c r="F44" s="726">
        <v>46029</v>
      </c>
      <c r="G44" s="743"/>
      <c r="H44" s="740">
        <v>46030</v>
      </c>
      <c r="I44" s="757"/>
      <c r="J44" s="705">
        <v>46031</v>
      </c>
      <c r="K44" s="706"/>
      <c r="L44" s="705">
        <v>46032</v>
      </c>
      <c r="M44" s="706"/>
      <c r="N44" s="705">
        <v>46033</v>
      </c>
      <c r="O44" s="706"/>
      <c r="P44" s="246"/>
      <c r="Q44" s="247"/>
      <c r="R44" s="164"/>
      <c r="S44" s="576"/>
      <c r="T44" s="576"/>
      <c r="U44" s="100"/>
      <c r="V44" s="100"/>
      <c r="W44" s="100"/>
      <c r="X44" s="7"/>
      <c r="Y44" s="7"/>
      <c r="Z44" s="7"/>
      <c r="AA44" s="7"/>
      <c r="AB44" s="13"/>
      <c r="AC44" s="13"/>
      <c r="AD44" s="13"/>
    </row>
    <row r="45" ht="14.25">
      <c r="A45" s="245"/>
      <c r="B45" s="245"/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99"/>
      <c r="S45" s="165"/>
      <c r="T45" s="165"/>
      <c r="U45" s="100"/>
      <c r="V45" s="100"/>
      <c r="W45" s="100"/>
      <c r="X45" s="51"/>
      <c r="Y45" s="7"/>
      <c r="Z45" s="7"/>
      <c r="AA45" s="7"/>
      <c r="AB45" s="13"/>
      <c r="AC45" s="13"/>
      <c r="AD45" s="13"/>
    </row>
    <row r="46" ht="14.25">
      <c r="A46" s="143"/>
      <c r="B46" s="214" t="s">
        <v>17</v>
      </c>
      <c r="C46" s="481"/>
      <c r="D46" s="214" t="s">
        <v>18</v>
      </c>
      <c r="E46" s="481"/>
      <c r="F46" s="214" t="s">
        <v>19</v>
      </c>
      <c r="G46" s="214"/>
      <c r="H46" s="214" t="s">
        <v>20</v>
      </c>
      <c r="I46" s="481"/>
      <c r="J46" s="214" t="s">
        <v>21</v>
      </c>
      <c r="K46" s="214"/>
      <c r="L46" s="214" t="s">
        <v>22</v>
      </c>
      <c r="M46" s="214"/>
      <c r="N46" s="214" t="s">
        <v>23</v>
      </c>
      <c r="O46" s="214"/>
      <c r="P46" s="214" t="s">
        <v>24</v>
      </c>
      <c r="Q46" s="214"/>
      <c r="R46" s="117"/>
      <c r="S46" s="143"/>
      <c r="T46" s="143"/>
      <c r="U46" s="62"/>
      <c r="V46" s="62"/>
      <c r="W46" s="62"/>
      <c r="X46" s="63"/>
      <c r="Y46" s="7"/>
      <c r="Z46" s="7"/>
      <c r="AA46" s="7"/>
      <c r="AB46" s="13"/>
      <c r="AC46" s="13"/>
      <c r="AD46" s="13"/>
    </row>
    <row r="47" ht="14.25">
      <c r="A47" s="143"/>
      <c r="B47" s="515">
        <v>46034</v>
      </c>
      <c r="C47" s="517"/>
      <c r="D47" s="515">
        <v>46035</v>
      </c>
      <c r="E47" s="517"/>
      <c r="F47" s="515">
        <v>46036</v>
      </c>
      <c r="G47" s="517"/>
      <c r="H47" s="515">
        <v>46037</v>
      </c>
      <c r="I47" s="517"/>
      <c r="J47" s="515">
        <v>46038</v>
      </c>
      <c r="K47" s="517"/>
      <c r="L47" s="515">
        <v>46039</v>
      </c>
      <c r="M47" s="517"/>
      <c r="N47" s="515">
        <v>46040</v>
      </c>
      <c r="O47" s="517"/>
      <c r="P47" s="213" t="s">
        <v>25</v>
      </c>
      <c r="Q47" s="214" t="s">
        <v>26</v>
      </c>
      <c r="R47" s="287"/>
      <c r="S47" s="141"/>
      <c r="T47" s="141"/>
      <c r="U47" s="60" t="s">
        <v>27</v>
      </c>
      <c r="V47" s="61" t="s">
        <v>28</v>
      </c>
      <c r="W47" s="62" t="s">
        <v>29</v>
      </c>
      <c r="X47" s="63" t="s">
        <v>30</v>
      </c>
      <c r="Y47" s="7"/>
      <c r="Z47" s="7"/>
      <c r="AA47" s="7"/>
      <c r="AB47" s="13"/>
      <c r="AC47" s="13"/>
      <c r="AD47" s="13"/>
    </row>
    <row r="48" ht="14.25">
      <c r="A48" s="525" t="s">
        <v>35</v>
      </c>
      <c r="B48" s="527" t="s">
        <v>32</v>
      </c>
      <c r="C48" s="527" t="s">
        <v>33</v>
      </c>
      <c r="D48" s="527" t="s">
        <v>32</v>
      </c>
      <c r="E48" s="527" t="s">
        <v>33</v>
      </c>
      <c r="F48" s="527" t="s">
        <v>32</v>
      </c>
      <c r="G48" s="527" t="s">
        <v>33</v>
      </c>
      <c r="H48" s="527" t="s">
        <v>32</v>
      </c>
      <c r="I48" s="527" t="s">
        <v>33</v>
      </c>
      <c r="J48" s="527" t="s">
        <v>32</v>
      </c>
      <c r="K48" s="527" t="s">
        <v>33</v>
      </c>
      <c r="L48" s="528"/>
      <c r="M48" s="528"/>
      <c r="N48" s="528"/>
      <c r="O48" s="528"/>
      <c r="P48" s="253">
        <f t="shared" si="154"/>
        <v>40</v>
      </c>
      <c r="Q48" s="62">
        <f t="shared" si="161"/>
        <v>79.5</v>
      </c>
      <c r="R48" s="442" t="str">
        <f t="shared" si="155"/>
        <v>Рычков</v>
      </c>
      <c r="S48" s="76" t="s">
        <v>10</v>
      </c>
      <c r="T48" s="77" t="s">
        <v>9</v>
      </c>
      <c r="U48" s="90">
        <f t="shared" si="156"/>
        <v>0</v>
      </c>
      <c r="V48" s="62">
        <f t="shared" si="157"/>
        <v>0</v>
      </c>
      <c r="W48" s="62"/>
      <c r="X48" s="74" t="s">
        <v>34</v>
      </c>
      <c r="Y48" s="7"/>
      <c r="Z48" s="7"/>
      <c r="AA48" s="7"/>
      <c r="AB48" s="13"/>
      <c r="AC48" s="13"/>
      <c r="AD48" s="13"/>
    </row>
    <row r="49" ht="14.4" hidden="1">
      <c r="A49" s="745"/>
      <c r="B49" s="527" t="s">
        <v>32</v>
      </c>
      <c r="C49" s="527" t="s">
        <v>33</v>
      </c>
      <c r="D49" s="527" t="s">
        <v>32</v>
      </c>
      <c r="E49" s="527" t="s">
        <v>33</v>
      </c>
      <c r="F49" s="527" t="s">
        <v>32</v>
      </c>
      <c r="G49" s="527" t="s">
        <v>33</v>
      </c>
      <c r="H49" s="527" t="s">
        <v>32</v>
      </c>
      <c r="I49" s="527" t="s">
        <v>33</v>
      </c>
      <c r="J49" s="527" t="s">
        <v>32</v>
      </c>
      <c r="K49" s="527" t="s">
        <v>33</v>
      </c>
      <c r="L49" s="528"/>
      <c r="M49" s="528"/>
      <c r="N49" s="528"/>
      <c r="O49" s="528"/>
      <c r="P49" s="253">
        <f t="shared" si="154"/>
        <v>40</v>
      </c>
      <c r="Q49" s="62">
        <f t="shared" si="161"/>
        <v>80</v>
      </c>
      <c r="R49" s="442">
        <f t="shared" si="155"/>
        <v>0</v>
      </c>
      <c r="S49" s="76" t="s">
        <v>10</v>
      </c>
      <c r="T49" s="77" t="s">
        <v>9</v>
      </c>
      <c r="U49" s="90">
        <f t="shared" si="156"/>
        <v>0</v>
      </c>
      <c r="V49" s="62">
        <f t="shared" si="157"/>
        <v>0</v>
      </c>
      <c r="W49" s="62"/>
      <c r="X49" s="74" t="s">
        <v>38</v>
      </c>
      <c r="Y49" s="7"/>
      <c r="Z49" s="7"/>
      <c r="AA49" s="7"/>
      <c r="AB49" s="13"/>
      <c r="AC49" s="13"/>
      <c r="AD49" s="13"/>
    </row>
    <row r="50" ht="14.4" hidden="1">
      <c r="A50" s="745"/>
      <c r="B50" s="527" t="s">
        <v>32</v>
      </c>
      <c r="C50" s="527" t="s">
        <v>33</v>
      </c>
      <c r="D50" s="527" t="s">
        <v>32</v>
      </c>
      <c r="E50" s="527" t="s">
        <v>33</v>
      </c>
      <c r="F50" s="527" t="s">
        <v>32</v>
      </c>
      <c r="G50" s="527" t="s">
        <v>33</v>
      </c>
      <c r="H50" s="527" t="s">
        <v>32</v>
      </c>
      <c r="I50" s="527" t="s">
        <v>33</v>
      </c>
      <c r="J50" s="527" t="s">
        <v>32</v>
      </c>
      <c r="K50" s="527" t="s">
        <v>33</v>
      </c>
      <c r="L50" s="254"/>
      <c r="M50" s="254"/>
      <c r="N50" s="254"/>
      <c r="O50" s="254"/>
      <c r="P50" s="253">
        <f t="shared" si="154"/>
        <v>40</v>
      </c>
      <c r="Q50" s="62">
        <f t="shared" si="161"/>
        <v>80</v>
      </c>
      <c r="R50" s="442">
        <f t="shared" si="155"/>
        <v>0</v>
      </c>
      <c r="S50" s="76" t="s">
        <v>10</v>
      </c>
      <c r="T50" s="77" t="s">
        <v>9</v>
      </c>
      <c r="U50" s="90">
        <f t="shared" si="156"/>
        <v>0</v>
      </c>
      <c r="V50" s="62">
        <f t="shared" si="157"/>
        <v>0</v>
      </c>
      <c r="W50" s="62"/>
      <c r="X50" s="79" t="s">
        <v>49</v>
      </c>
      <c r="Y50" s="7"/>
      <c r="Z50" s="7"/>
      <c r="AA50" s="7"/>
      <c r="AB50" s="13"/>
      <c r="AC50" s="13"/>
      <c r="AD50" s="13"/>
    </row>
    <row r="51" ht="14.25">
      <c r="A51" s="415" t="s">
        <v>39</v>
      </c>
      <c r="B51" s="527" t="s">
        <v>32</v>
      </c>
      <c r="C51" s="527" t="s">
        <v>33</v>
      </c>
      <c r="D51" s="527" t="s">
        <v>32</v>
      </c>
      <c r="E51" s="527" t="s">
        <v>33</v>
      </c>
      <c r="F51" s="527" t="s">
        <v>32</v>
      </c>
      <c r="G51" s="527" t="s">
        <v>33</v>
      </c>
      <c r="H51" s="527" t="s">
        <v>32</v>
      </c>
      <c r="I51" s="527" t="s">
        <v>33</v>
      </c>
      <c r="J51" s="527" t="s">
        <v>32</v>
      </c>
      <c r="K51" s="527" t="s">
        <v>33</v>
      </c>
      <c r="L51" s="528"/>
      <c r="M51" s="528"/>
      <c r="N51" s="528"/>
      <c r="O51" s="528"/>
      <c r="P51" s="253">
        <f t="shared" si="154"/>
        <v>40</v>
      </c>
      <c r="Q51" s="62">
        <f t="shared" si="161"/>
        <v>80</v>
      </c>
      <c r="R51" s="442" t="str">
        <f t="shared" si="155"/>
        <v>Игумнов</v>
      </c>
      <c r="S51" s="76" t="s">
        <v>10</v>
      </c>
      <c r="T51" s="77" t="s">
        <v>9</v>
      </c>
      <c r="U51" s="90">
        <f t="shared" si="156"/>
        <v>0</v>
      </c>
      <c r="V51" s="62">
        <f t="shared" si="157"/>
        <v>0</v>
      </c>
      <c r="W51" s="62"/>
      <c r="X51" s="79" t="s">
        <v>34</v>
      </c>
      <c r="Y51" s="7"/>
      <c r="Z51" s="7"/>
      <c r="AA51" s="7"/>
      <c r="AB51" s="13"/>
      <c r="AC51" s="13"/>
      <c r="AD51" s="13"/>
    </row>
    <row r="52" ht="14.25">
      <c r="A52" s="415" t="s">
        <v>40</v>
      </c>
      <c r="B52" s="527" t="s">
        <v>32</v>
      </c>
      <c r="C52" s="527" t="s">
        <v>33</v>
      </c>
      <c r="D52" s="527" t="s">
        <v>32</v>
      </c>
      <c r="E52" s="527" t="s">
        <v>33</v>
      </c>
      <c r="F52" s="527" t="s">
        <v>32</v>
      </c>
      <c r="G52" s="527" t="s">
        <v>33</v>
      </c>
      <c r="H52" s="527" t="s">
        <v>32</v>
      </c>
      <c r="I52" s="527" t="s">
        <v>33</v>
      </c>
      <c r="J52" s="527" t="s">
        <v>32</v>
      </c>
      <c r="K52" s="527" t="s">
        <v>33</v>
      </c>
      <c r="L52" s="528"/>
      <c r="M52" s="528"/>
      <c r="N52" s="528"/>
      <c r="O52" s="528"/>
      <c r="P52" s="253">
        <f t="shared" si="154"/>
        <v>40</v>
      </c>
      <c r="Q52" s="62">
        <f t="shared" si="161"/>
        <v>80</v>
      </c>
      <c r="R52" s="442" t="str">
        <f t="shared" si="155"/>
        <v>Душин</v>
      </c>
      <c r="S52" s="76" t="s">
        <v>10</v>
      </c>
      <c r="T52" s="77" t="s">
        <v>9</v>
      </c>
      <c r="U52" s="90">
        <f t="shared" si="156"/>
        <v>0</v>
      </c>
      <c r="V52" s="62">
        <f t="shared" si="157"/>
        <v>0</v>
      </c>
      <c r="W52" s="62"/>
      <c r="X52" s="74" t="s">
        <v>38</v>
      </c>
      <c r="Y52" s="7"/>
      <c r="Z52" s="7"/>
      <c r="AA52" s="7"/>
      <c r="AB52" s="13"/>
      <c r="AC52" s="13"/>
      <c r="AD52" s="13"/>
    </row>
    <row r="53" ht="14.25">
      <c r="A53" s="415" t="s">
        <v>31</v>
      </c>
      <c r="B53" s="527" t="s">
        <v>32</v>
      </c>
      <c r="C53" s="527" t="s">
        <v>33</v>
      </c>
      <c r="D53" s="527" t="s">
        <v>32</v>
      </c>
      <c r="E53" s="527" t="s">
        <v>33</v>
      </c>
      <c r="F53" s="527" t="s">
        <v>32</v>
      </c>
      <c r="G53" s="527" t="s">
        <v>33</v>
      </c>
      <c r="H53" s="527" t="s">
        <v>32</v>
      </c>
      <c r="I53" s="527" t="s">
        <v>33</v>
      </c>
      <c r="J53" s="527" t="s">
        <v>32</v>
      </c>
      <c r="K53" s="527" t="s">
        <v>33</v>
      </c>
      <c r="L53" s="528"/>
      <c r="M53" s="528"/>
      <c r="N53" s="528"/>
      <c r="O53" s="528"/>
      <c r="P53" s="253">
        <f t="shared" si="154"/>
        <v>40</v>
      </c>
      <c r="Q53" s="62">
        <f t="shared" si="161"/>
        <v>80</v>
      </c>
      <c r="R53" s="442" t="str">
        <f t="shared" si="155"/>
        <v>Нетронин</v>
      </c>
      <c r="S53" s="76" t="s">
        <v>58</v>
      </c>
      <c r="T53" s="77" t="s">
        <v>59</v>
      </c>
      <c r="U53" s="90"/>
      <c r="V53" s="62"/>
      <c r="W53" s="62"/>
      <c r="X53" s="74" t="s">
        <v>34</v>
      </c>
      <c r="Y53" s="7"/>
      <c r="Z53" s="7"/>
      <c r="AA53" s="7"/>
      <c r="AB53" s="13"/>
      <c r="AC53" s="13"/>
      <c r="AD53" s="13"/>
    </row>
    <row r="54" ht="14.25">
      <c r="A54" s="415" t="s">
        <v>42</v>
      </c>
      <c r="B54" s="527" t="s">
        <v>32</v>
      </c>
      <c r="C54" s="527" t="s">
        <v>33</v>
      </c>
      <c r="D54" s="527" t="s">
        <v>32</v>
      </c>
      <c r="E54" s="527" t="s">
        <v>33</v>
      </c>
      <c r="F54" s="527" t="s">
        <v>32</v>
      </c>
      <c r="G54" s="527" t="s">
        <v>33</v>
      </c>
      <c r="H54" s="527" t="s">
        <v>32</v>
      </c>
      <c r="I54" s="527" t="s">
        <v>33</v>
      </c>
      <c r="J54" s="527" t="s">
        <v>32</v>
      </c>
      <c r="K54" s="527" t="s">
        <v>33</v>
      </c>
      <c r="L54" s="528"/>
      <c r="M54" s="528"/>
      <c r="N54" s="528"/>
      <c r="O54" s="528"/>
      <c r="P54" s="253">
        <f t="shared" si="154"/>
        <v>40</v>
      </c>
      <c r="Q54" s="62">
        <f t="shared" si="161"/>
        <v>76</v>
      </c>
      <c r="R54" s="442" t="str">
        <f t="shared" si="155"/>
        <v>Юращик</v>
      </c>
      <c r="S54" s="76" t="s">
        <v>10</v>
      </c>
      <c r="T54" s="77" t="s">
        <v>9</v>
      </c>
      <c r="U54" s="90"/>
      <c r="V54" s="62"/>
      <c r="W54" s="62"/>
      <c r="X54" s="74" t="s">
        <v>38</v>
      </c>
      <c r="Y54" s="7"/>
      <c r="Z54" s="7"/>
      <c r="AA54" s="7"/>
      <c r="AB54" s="13"/>
      <c r="AC54" s="13"/>
      <c r="AD54" s="13"/>
    </row>
    <row r="55" ht="14.25">
      <c r="A55" s="388" t="s">
        <v>45</v>
      </c>
      <c r="B55" s="758"/>
      <c r="C55" s="758"/>
      <c r="D55" s="528"/>
      <c r="E55" s="528"/>
      <c r="F55" s="528"/>
      <c r="G55" s="528"/>
      <c r="H55" s="254"/>
      <c r="I55" s="254"/>
      <c r="J55" s="759"/>
      <c r="K55" s="759"/>
      <c r="L55" s="16"/>
      <c r="M55" s="16" t="s">
        <v>4</v>
      </c>
      <c r="N55" s="731"/>
      <c r="O55" s="731" t="s">
        <v>4</v>
      </c>
      <c r="P55" s="253">
        <f t="shared" si="154"/>
        <v>24</v>
      </c>
      <c r="Q55" s="62">
        <f t="shared" ref="Q55:Q60" si="162">Q38-P55</f>
        <v>24</v>
      </c>
      <c r="R55" s="442" t="str">
        <f t="shared" si="155"/>
        <v>Пузырь</v>
      </c>
      <c r="S55" s="76" t="s">
        <v>10</v>
      </c>
      <c r="T55" s="77" t="s">
        <v>9</v>
      </c>
      <c r="U55" s="90">
        <f t="shared" si="156"/>
        <v>0</v>
      </c>
      <c r="V55" s="62">
        <f t="shared" si="157"/>
        <v>0</v>
      </c>
      <c r="W55" s="62"/>
      <c r="X55" s="74" t="s">
        <v>34</v>
      </c>
      <c r="Y55" s="7"/>
      <c r="Z55" s="7"/>
      <c r="AA55" s="7"/>
      <c r="AB55" s="13"/>
      <c r="AC55" s="13"/>
      <c r="AD55" s="13"/>
    </row>
    <row r="56" ht="14.25">
      <c r="A56" s="388" t="s">
        <v>46</v>
      </c>
      <c r="B56" s="528"/>
      <c r="C56" s="528"/>
      <c r="D56" s="630"/>
      <c r="E56" s="630" t="s">
        <v>4</v>
      </c>
      <c r="F56" s="621"/>
      <c r="G56" s="621"/>
      <c r="H56" s="616"/>
      <c r="I56" s="616"/>
      <c r="J56" s="758"/>
      <c r="K56" s="758"/>
      <c r="L56" s="634"/>
      <c r="M56" s="634" t="s">
        <v>4</v>
      </c>
      <c r="N56" s="619"/>
      <c r="O56" s="619"/>
      <c r="P56" s="253">
        <f t="shared" si="154"/>
        <v>24</v>
      </c>
      <c r="Q56" s="62">
        <f t="shared" si="162"/>
        <v>24</v>
      </c>
      <c r="R56" s="442" t="str">
        <f t="shared" si="155"/>
        <v>Голышев</v>
      </c>
      <c r="S56" s="76" t="s">
        <v>10</v>
      </c>
      <c r="T56" s="77" t="s">
        <v>9</v>
      </c>
      <c r="U56" s="90">
        <f t="shared" si="156"/>
        <v>0</v>
      </c>
      <c r="V56" s="62">
        <f t="shared" si="157"/>
        <v>0</v>
      </c>
      <c r="W56" s="62"/>
      <c r="X56" s="74" t="s">
        <v>34</v>
      </c>
      <c r="Y56" s="7"/>
      <c r="Z56" s="7"/>
      <c r="AA56" s="7"/>
      <c r="AB56" s="13"/>
      <c r="AC56" s="13"/>
      <c r="AD56" s="13"/>
    </row>
    <row r="57" ht="14.25">
      <c r="A57" s="388" t="s">
        <v>47</v>
      </c>
      <c r="B57" s="254"/>
      <c r="C57" s="254"/>
      <c r="D57" s="247"/>
      <c r="E57" s="247"/>
      <c r="F57" s="528"/>
      <c r="G57" s="528"/>
      <c r="H57" s="528"/>
      <c r="I57" s="528"/>
      <c r="J57" s="254"/>
      <c r="K57" s="254"/>
      <c r="L57" s="528"/>
      <c r="M57" s="528"/>
      <c r="N57" s="760"/>
      <c r="O57" s="760"/>
      <c r="P57" s="253">
        <f t="shared" si="154"/>
        <v>0</v>
      </c>
      <c r="Q57" s="62">
        <f t="shared" si="162"/>
        <v>52</v>
      </c>
      <c r="R57" s="442" t="str">
        <f t="shared" si="155"/>
        <v>Торубара</v>
      </c>
      <c r="S57" s="76" t="s">
        <v>10</v>
      </c>
      <c r="T57" s="77" t="s">
        <v>9</v>
      </c>
      <c r="U57" s="90">
        <f t="shared" si="156"/>
        <v>0</v>
      </c>
      <c r="V57" s="62">
        <f t="shared" si="157"/>
        <v>0</v>
      </c>
      <c r="W57" s="62"/>
      <c r="X57" s="74" t="s">
        <v>34</v>
      </c>
      <c r="Y57" s="7"/>
      <c r="Z57" s="7"/>
      <c r="AA57" s="7"/>
      <c r="AB57" s="13"/>
      <c r="AC57" s="13"/>
      <c r="AD57" s="13"/>
    </row>
    <row r="58" ht="14.25">
      <c r="A58" s="388" t="s">
        <v>48</v>
      </c>
      <c r="B58" s="761"/>
      <c r="C58" s="761"/>
      <c r="D58" s="761"/>
      <c r="E58" s="761"/>
      <c r="F58" s="762"/>
      <c r="G58" s="762" t="s">
        <v>33</v>
      </c>
      <c r="H58" s="763"/>
      <c r="I58" s="763" t="s">
        <v>33</v>
      </c>
      <c r="J58" s="761"/>
      <c r="K58" s="761"/>
      <c r="L58" s="761"/>
      <c r="M58" s="761"/>
      <c r="N58" s="761"/>
      <c r="O58" s="761"/>
      <c r="P58" s="253">
        <f t="shared" si="154"/>
        <v>16</v>
      </c>
      <c r="Q58" s="62">
        <f t="shared" si="162"/>
        <v>32</v>
      </c>
      <c r="R58" s="442" t="str">
        <f t="shared" si="155"/>
        <v>Стрыгин</v>
      </c>
      <c r="S58" s="71" t="s">
        <v>8</v>
      </c>
      <c r="T58" s="72" t="s">
        <v>7</v>
      </c>
      <c r="U58" s="90">
        <f t="shared" si="156"/>
        <v>0</v>
      </c>
      <c r="V58" s="62">
        <f t="shared" si="157"/>
        <v>0</v>
      </c>
      <c r="W58" s="62"/>
      <c r="X58" s="74" t="s">
        <v>49</v>
      </c>
      <c r="Y58" s="7"/>
      <c r="Z58" s="7"/>
      <c r="AA58" s="7"/>
      <c r="AB58" s="13"/>
      <c r="AC58" s="13"/>
      <c r="AD58" s="13"/>
    </row>
    <row r="59" ht="14.25">
      <c r="A59" s="388" t="s">
        <v>50</v>
      </c>
      <c r="B59" s="528"/>
      <c r="C59" s="528"/>
      <c r="D59" s="764"/>
      <c r="E59" s="764"/>
      <c r="F59" s="294"/>
      <c r="G59" s="294" t="s">
        <v>4</v>
      </c>
      <c r="H59" s="528"/>
      <c r="I59" s="528"/>
      <c r="J59" s="528"/>
      <c r="K59" s="528"/>
      <c r="L59" s="758"/>
      <c r="M59" s="758"/>
      <c r="N59" s="637"/>
      <c r="O59" s="637" t="s">
        <v>4</v>
      </c>
      <c r="P59" s="253">
        <f t="shared" si="154"/>
        <v>24</v>
      </c>
      <c r="Q59" s="62">
        <f t="shared" si="162"/>
        <v>28</v>
      </c>
      <c r="R59" s="442" t="str">
        <f t="shared" si="155"/>
        <v>Фрик</v>
      </c>
      <c r="S59" s="71" t="s">
        <v>12</v>
      </c>
      <c r="T59" s="72" t="s">
        <v>11</v>
      </c>
      <c r="U59" s="90">
        <f t="shared" si="156"/>
        <v>0</v>
      </c>
      <c r="V59" s="62">
        <f t="shared" si="157"/>
        <v>0</v>
      </c>
      <c r="W59" s="62"/>
      <c r="X59" s="74" t="s">
        <v>44</v>
      </c>
      <c r="Y59" s="7"/>
      <c r="Z59" s="7"/>
      <c r="AA59" s="7"/>
      <c r="AB59" s="13"/>
      <c r="AC59" s="13"/>
      <c r="AD59" s="13"/>
    </row>
    <row r="60" ht="14.25">
      <c r="A60" s="388" t="s">
        <v>51</v>
      </c>
      <c r="B60" s="294"/>
      <c r="C60" s="617" t="s">
        <v>4</v>
      </c>
      <c r="D60" s="87"/>
      <c r="E60" s="87"/>
      <c r="F60" s="707"/>
      <c r="G60" s="254"/>
      <c r="H60" s="731"/>
      <c r="I60" s="731" t="s">
        <v>4</v>
      </c>
      <c r="J60" s="624"/>
      <c r="K60" s="624" t="s">
        <v>4</v>
      </c>
      <c r="L60" s="616"/>
      <c r="M60" s="616"/>
      <c r="N60" s="254"/>
      <c r="O60" s="254"/>
      <c r="P60" s="253">
        <f t="shared" si="154"/>
        <v>36</v>
      </c>
      <c r="Q60" s="62">
        <f t="shared" si="162"/>
        <v>36</v>
      </c>
      <c r="R60" s="442" t="str">
        <f t="shared" si="155"/>
        <v>Истрашкин</v>
      </c>
      <c r="S60" s="71" t="s">
        <v>10</v>
      </c>
      <c r="T60" s="72" t="s">
        <v>9</v>
      </c>
      <c r="U60" s="90">
        <f t="shared" si="156"/>
        <v>0</v>
      </c>
      <c r="V60" s="62">
        <f t="shared" si="157"/>
        <v>0</v>
      </c>
      <c r="W60" s="62"/>
      <c r="X60" s="74" t="s">
        <v>34</v>
      </c>
      <c r="Y60" s="7"/>
      <c r="Z60" s="7"/>
      <c r="AA60" s="7"/>
      <c r="AB60" s="13"/>
      <c r="AC60" s="13"/>
      <c r="AD60" s="13"/>
    </row>
    <row r="61" ht="14.25">
      <c r="A61" s="388" t="s">
        <v>43</v>
      </c>
      <c r="B61" s="737"/>
      <c r="C61" s="765" t="s">
        <v>33</v>
      </c>
      <c r="D61" s="87"/>
      <c r="E61" s="87"/>
      <c r="F61" s="766"/>
      <c r="G61" s="619"/>
      <c r="H61" s="619"/>
      <c r="I61" s="619"/>
      <c r="J61" s="637"/>
      <c r="K61" s="637" t="s">
        <v>33</v>
      </c>
      <c r="L61" s="616"/>
      <c r="M61" s="616"/>
      <c r="N61" s="616"/>
      <c r="O61" s="616"/>
      <c r="P61" s="253">
        <f>C61+E79+G61+I61+K61+M61+O61</f>
        <v>16</v>
      </c>
      <c r="Q61" s="62">
        <f>Q37-P61</f>
        <v>44</v>
      </c>
      <c r="R61" s="442" t="str">
        <f t="shared" si="155"/>
        <v>Дащенко</v>
      </c>
      <c r="S61" s="71" t="s">
        <v>12</v>
      </c>
      <c r="T61" s="72" t="s">
        <v>11</v>
      </c>
      <c r="U61" s="90">
        <f>COUNTIF(T61,B61)+COUNTIF(T61,D79)+COUNTIF(T61,F61)+COUNTIF(T61,H61)+COUNTIF(T61,J61)+COUNTIF(T61,L61)+COUNTIF(T61,N61)</f>
        <v>0</v>
      </c>
      <c r="V61" s="62">
        <f>COUNTIF(S61,B61)+COUNTIF(S61,D79)+COUNTIF(S61,F61)+COUNTIF(S61,H61)+COUNTIF(S61,J61)+COUNTIF(S61,L61)+COUNTIF(S61,N61)</f>
        <v>0</v>
      </c>
      <c r="W61" s="62"/>
      <c r="X61" s="80" t="s">
        <v>44</v>
      </c>
      <c r="Y61" s="7"/>
      <c r="Z61" s="7"/>
      <c r="AA61" s="7"/>
      <c r="AB61" s="13"/>
      <c r="AC61" s="13"/>
      <c r="AD61" s="13"/>
    </row>
    <row r="62" ht="14.25">
      <c r="A62" s="207"/>
      <c r="B62" s="515">
        <v>46034</v>
      </c>
      <c r="C62" s="517"/>
      <c r="D62" s="489">
        <v>46035</v>
      </c>
      <c r="E62" s="669"/>
      <c r="F62" s="515">
        <v>46036</v>
      </c>
      <c r="G62" s="517"/>
      <c r="H62" s="515">
        <v>46037</v>
      </c>
      <c r="I62" s="517"/>
      <c r="J62" s="515">
        <v>46038</v>
      </c>
      <c r="K62" s="517"/>
      <c r="L62" s="515">
        <v>46039</v>
      </c>
      <c r="M62" s="517"/>
      <c r="N62" s="515">
        <v>46040</v>
      </c>
      <c r="O62" s="517"/>
      <c r="P62" s="253"/>
      <c r="Q62" s="254"/>
      <c r="R62" s="297"/>
      <c r="S62" s="134"/>
      <c r="T62" s="134"/>
      <c r="U62" s="60" t="s">
        <v>27</v>
      </c>
      <c r="V62" s="61" t="s">
        <v>28</v>
      </c>
      <c r="W62" s="62" t="s">
        <v>29</v>
      </c>
      <c r="X62" s="7"/>
      <c r="Y62" s="7"/>
      <c r="Z62" s="7"/>
      <c r="AA62" s="7"/>
      <c r="AB62" s="13"/>
      <c r="AC62" s="13"/>
      <c r="AD62" s="13"/>
    </row>
    <row r="63" ht="14.25">
      <c r="A63" s="165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27"/>
      <c r="S63" s="127"/>
      <c r="T63" s="127"/>
      <c r="U63" s="127"/>
      <c r="V63" s="127"/>
      <c r="W63" s="128"/>
      <c r="X63" s="7"/>
      <c r="Y63" s="7"/>
      <c r="Z63" s="7"/>
      <c r="AA63" s="7"/>
      <c r="AB63" s="13"/>
      <c r="AC63" s="13"/>
      <c r="AD63" s="13"/>
    </row>
    <row r="64" ht="14.25">
      <c r="A64" s="143"/>
      <c r="B64" s="214" t="s">
        <v>17</v>
      </c>
      <c r="C64" s="481"/>
      <c r="D64" s="214" t="s">
        <v>18</v>
      </c>
      <c r="E64" s="481"/>
      <c r="F64" s="214" t="s">
        <v>19</v>
      </c>
      <c r="G64" s="214"/>
      <c r="H64" s="214" t="s">
        <v>20</v>
      </c>
      <c r="I64" s="481"/>
      <c r="J64" s="482" t="s">
        <v>21</v>
      </c>
      <c r="K64" s="482"/>
      <c r="L64" s="214" t="s">
        <v>22</v>
      </c>
      <c r="M64" s="214"/>
      <c r="N64" s="214" t="s">
        <v>23</v>
      </c>
      <c r="O64" s="214"/>
      <c r="P64" s="214" t="s">
        <v>24</v>
      </c>
      <c r="Q64" s="214"/>
      <c r="R64" s="117"/>
      <c r="S64" s="143"/>
      <c r="T64" s="143"/>
      <c r="U64" s="62"/>
      <c r="V64" s="62"/>
      <c r="W64" s="62"/>
      <c r="X64" s="51"/>
      <c r="Y64" s="7"/>
      <c r="Z64" s="7"/>
      <c r="AA64" s="7"/>
      <c r="AB64" s="13"/>
      <c r="AC64" s="13"/>
      <c r="AD64" s="13"/>
    </row>
    <row r="65" ht="14.4">
      <c r="A65" s="143"/>
      <c r="B65" s="515">
        <v>46041</v>
      </c>
      <c r="C65" s="517"/>
      <c r="D65" s="515">
        <v>46042</v>
      </c>
      <c r="E65" s="517"/>
      <c r="F65" s="515">
        <v>46043</v>
      </c>
      <c r="G65" s="517"/>
      <c r="H65" s="515">
        <v>46044</v>
      </c>
      <c r="I65" s="517"/>
      <c r="J65" s="515">
        <v>46045</v>
      </c>
      <c r="K65" s="517"/>
      <c r="L65" s="515">
        <v>46046</v>
      </c>
      <c r="M65" s="517"/>
      <c r="N65" s="515">
        <v>46047</v>
      </c>
      <c r="O65" s="517"/>
      <c r="P65" s="213" t="s">
        <v>25</v>
      </c>
      <c r="Q65" s="214" t="s">
        <v>26</v>
      </c>
      <c r="R65" s="287"/>
      <c r="S65" s="141"/>
      <c r="T65" s="141"/>
      <c r="U65" s="60" t="s">
        <v>27</v>
      </c>
      <c r="V65" s="61" t="s">
        <v>28</v>
      </c>
      <c r="W65" s="62" t="s">
        <v>29</v>
      </c>
      <c r="X65" s="63" t="s">
        <v>30</v>
      </c>
      <c r="Y65" s="7"/>
      <c r="Z65" s="7"/>
      <c r="AA65" s="7"/>
      <c r="AB65" s="13"/>
      <c r="AC65" s="13"/>
      <c r="AD65" s="13"/>
    </row>
    <row r="66" ht="14.4">
      <c r="A66" s="525" t="s">
        <v>35</v>
      </c>
      <c r="B66" s="527" t="s">
        <v>32</v>
      </c>
      <c r="C66" s="527" t="s">
        <v>33</v>
      </c>
      <c r="D66" s="527" t="s">
        <v>32</v>
      </c>
      <c r="E66" s="527" t="s">
        <v>33</v>
      </c>
      <c r="F66" s="527" t="s">
        <v>32</v>
      </c>
      <c r="G66" s="527" t="s">
        <v>33</v>
      </c>
      <c r="H66" s="527" t="s">
        <v>32</v>
      </c>
      <c r="I66" s="527" t="s">
        <v>88</v>
      </c>
      <c r="J66" s="527" t="s">
        <v>32</v>
      </c>
      <c r="K66" s="527" t="s">
        <v>33</v>
      </c>
      <c r="L66" s="528"/>
      <c r="M66" s="528"/>
      <c r="N66" s="528"/>
      <c r="O66" s="528"/>
      <c r="P66" s="253">
        <f t="shared" si="154"/>
        <v>41.5</v>
      </c>
      <c r="Q66" s="62">
        <f t="shared" ref="Q66:Q84" si="163">Q48-P66</f>
        <v>38</v>
      </c>
      <c r="R66" s="442" t="str">
        <f t="shared" si="155"/>
        <v>Рычков</v>
      </c>
      <c r="S66" s="76" t="s">
        <v>10</v>
      </c>
      <c r="T66" s="77" t="s">
        <v>9</v>
      </c>
      <c r="U66" s="90">
        <f t="shared" si="156"/>
        <v>0</v>
      </c>
      <c r="V66" s="62">
        <f t="shared" si="157"/>
        <v>0</v>
      </c>
      <c r="W66" s="62"/>
      <c r="X66" s="74" t="s">
        <v>34</v>
      </c>
      <c r="Y66" s="7"/>
      <c r="Z66" s="7"/>
      <c r="AA66" s="7"/>
      <c r="AB66" s="13"/>
      <c r="AC66" s="13"/>
      <c r="AD66" s="13"/>
    </row>
    <row r="67" ht="14.4" hidden="1">
      <c r="A67" s="745"/>
      <c r="B67" s="527" t="s">
        <v>32</v>
      </c>
      <c r="C67" s="527" t="s">
        <v>33</v>
      </c>
      <c r="D67" s="527" t="s">
        <v>32</v>
      </c>
      <c r="E67" s="527" t="s">
        <v>33</v>
      </c>
      <c r="F67" s="527" t="s">
        <v>32</v>
      </c>
      <c r="G67" s="527" t="s">
        <v>33</v>
      </c>
      <c r="H67" s="527" t="s">
        <v>32</v>
      </c>
      <c r="I67" s="527" t="s">
        <v>89</v>
      </c>
      <c r="J67" s="527" t="s">
        <v>32</v>
      </c>
      <c r="K67" s="527" t="s">
        <v>33</v>
      </c>
      <c r="L67" s="528"/>
      <c r="M67" s="528"/>
      <c r="N67" s="528"/>
      <c r="O67" s="528"/>
      <c r="P67" s="253">
        <f t="shared" si="154"/>
        <v>38</v>
      </c>
      <c r="Q67" s="62">
        <f t="shared" si="163"/>
        <v>42</v>
      </c>
      <c r="R67" s="442">
        <f t="shared" si="155"/>
        <v>0</v>
      </c>
      <c r="S67" s="76" t="s">
        <v>10</v>
      </c>
      <c r="T67" s="77" t="s">
        <v>9</v>
      </c>
      <c r="U67" s="90">
        <f t="shared" si="156"/>
        <v>0</v>
      </c>
      <c r="V67" s="62">
        <f t="shared" si="157"/>
        <v>0</v>
      </c>
      <c r="W67" s="62"/>
      <c r="X67" s="74" t="s">
        <v>38</v>
      </c>
      <c r="Y67" s="7"/>
      <c r="Z67" s="7"/>
      <c r="AA67" s="7"/>
      <c r="AB67" s="13"/>
      <c r="AC67" s="13"/>
      <c r="AD67" s="13"/>
    </row>
    <row r="68" ht="14.4" hidden="1">
      <c r="A68" s="745"/>
      <c r="B68" s="527" t="s">
        <v>32</v>
      </c>
      <c r="C68" s="527" t="s">
        <v>33</v>
      </c>
      <c r="D68" s="527" t="s">
        <v>32</v>
      </c>
      <c r="E68" s="527" t="s">
        <v>33</v>
      </c>
      <c r="F68" s="527" t="s">
        <v>32</v>
      </c>
      <c r="G68" s="527" t="s">
        <v>33</v>
      </c>
      <c r="H68" s="527" t="s">
        <v>32</v>
      </c>
      <c r="I68" s="527" t="s">
        <v>56</v>
      </c>
      <c r="J68" s="527" t="s">
        <v>32</v>
      </c>
      <c r="K68" s="527" t="s">
        <v>33</v>
      </c>
      <c r="L68" s="254"/>
      <c r="M68" s="254"/>
      <c r="N68" s="254"/>
      <c r="O68" s="254"/>
      <c r="P68" s="253">
        <f t="shared" si="154"/>
        <v>39</v>
      </c>
      <c r="Q68" s="62">
        <f t="shared" si="163"/>
        <v>41</v>
      </c>
      <c r="R68" s="442">
        <f t="shared" si="155"/>
        <v>0</v>
      </c>
      <c r="S68" s="76" t="s">
        <v>10</v>
      </c>
      <c r="T68" s="77" t="s">
        <v>9</v>
      </c>
      <c r="U68" s="90">
        <f t="shared" si="156"/>
        <v>0</v>
      </c>
      <c r="V68" s="62">
        <f t="shared" si="157"/>
        <v>0</v>
      </c>
      <c r="W68" s="62"/>
      <c r="X68" s="79" t="s">
        <v>49</v>
      </c>
      <c r="Y68" s="7"/>
      <c r="Z68" s="7"/>
      <c r="AA68" s="7"/>
      <c r="AB68" s="13"/>
      <c r="AC68" s="13"/>
      <c r="AD68" s="13"/>
    </row>
    <row r="69" ht="14.4">
      <c r="A69" s="415" t="s">
        <v>39</v>
      </c>
      <c r="B69" s="527" t="s">
        <v>32</v>
      </c>
      <c r="C69" s="527" t="s">
        <v>33</v>
      </c>
      <c r="D69" s="527" t="s">
        <v>32</v>
      </c>
      <c r="E69" s="527" t="s">
        <v>33</v>
      </c>
      <c r="F69" s="527" t="s">
        <v>32</v>
      </c>
      <c r="G69" s="527" t="s">
        <v>33</v>
      </c>
      <c r="H69" s="527" t="s">
        <v>32</v>
      </c>
      <c r="I69" s="527" t="s">
        <v>33</v>
      </c>
      <c r="J69" s="527" t="s">
        <v>32</v>
      </c>
      <c r="K69" s="527" t="s">
        <v>33</v>
      </c>
      <c r="L69" s="528"/>
      <c r="M69" s="528"/>
      <c r="N69" s="528"/>
      <c r="O69" s="528"/>
      <c r="P69" s="253">
        <f t="shared" si="154"/>
        <v>40</v>
      </c>
      <c r="Q69" s="62">
        <f t="shared" si="163"/>
        <v>40</v>
      </c>
      <c r="R69" s="442" t="str">
        <f t="shared" si="155"/>
        <v>Игумнов</v>
      </c>
      <c r="S69" s="76" t="s">
        <v>10</v>
      </c>
      <c r="T69" s="77" t="s">
        <v>9</v>
      </c>
      <c r="U69" s="90">
        <f t="shared" si="156"/>
        <v>0</v>
      </c>
      <c r="V69" s="62">
        <f t="shared" si="157"/>
        <v>0</v>
      </c>
      <c r="W69" s="62"/>
      <c r="X69" s="79" t="s">
        <v>34</v>
      </c>
      <c r="Y69" s="7"/>
      <c r="Z69" s="7"/>
      <c r="AA69" s="7"/>
      <c r="AB69" s="13"/>
      <c r="AC69" s="13"/>
      <c r="AD69" s="13"/>
    </row>
    <row r="70" ht="14.4">
      <c r="A70" s="415" t="s">
        <v>40</v>
      </c>
      <c r="B70" s="527" t="s">
        <v>32</v>
      </c>
      <c r="C70" s="527" t="s">
        <v>33</v>
      </c>
      <c r="D70" s="527" t="s">
        <v>32</v>
      </c>
      <c r="E70" s="527" t="s">
        <v>33</v>
      </c>
      <c r="F70" s="527" t="s">
        <v>32</v>
      </c>
      <c r="G70" s="527" t="s">
        <v>33</v>
      </c>
      <c r="H70" s="527" t="s">
        <v>32</v>
      </c>
      <c r="I70" s="527" t="s">
        <v>88</v>
      </c>
      <c r="J70" s="527" t="s">
        <v>32</v>
      </c>
      <c r="K70" s="527" t="s">
        <v>33</v>
      </c>
      <c r="L70" s="528"/>
      <c r="M70" s="528"/>
      <c r="N70" s="528"/>
      <c r="O70" s="528"/>
      <c r="P70" s="253">
        <f t="shared" si="154"/>
        <v>41.5</v>
      </c>
      <c r="Q70" s="62">
        <f t="shared" si="163"/>
        <v>38.5</v>
      </c>
      <c r="R70" s="442" t="str">
        <f t="shared" si="155"/>
        <v>Душин</v>
      </c>
      <c r="S70" s="76" t="s">
        <v>10</v>
      </c>
      <c r="T70" s="77" t="s">
        <v>9</v>
      </c>
      <c r="U70" s="90">
        <f t="shared" si="156"/>
        <v>0</v>
      </c>
      <c r="V70" s="90">
        <f>COUNTIF(U70,C70)+COUNTIF(U70,E70)+COUNTIF(U70,G70)+COUNTIF(U70,I70)+COUNTIF(U70,K70)+COUNTIF(U70,M70)+COUNTIF(U70,O70)</f>
        <v>0</v>
      </c>
      <c r="W70" s="62"/>
      <c r="X70" s="74" t="s">
        <v>38</v>
      </c>
      <c r="Y70" s="7"/>
      <c r="Z70" s="7"/>
      <c r="AA70" s="7"/>
      <c r="AB70" s="13"/>
      <c r="AC70" s="13"/>
      <c r="AD70" s="13"/>
    </row>
    <row r="71" ht="14.4">
      <c r="A71" s="415" t="s">
        <v>31</v>
      </c>
      <c r="B71" s="527" t="s">
        <v>32</v>
      </c>
      <c r="C71" s="527" t="s">
        <v>33</v>
      </c>
      <c r="D71" s="527" t="s">
        <v>32</v>
      </c>
      <c r="E71" s="527" t="s">
        <v>33</v>
      </c>
      <c r="F71" s="527" t="s">
        <v>32</v>
      </c>
      <c r="G71" s="527" t="s">
        <v>33</v>
      </c>
      <c r="H71" s="527" t="s">
        <v>32</v>
      </c>
      <c r="I71" s="527" t="s">
        <v>88</v>
      </c>
      <c r="J71" s="527" t="s">
        <v>32</v>
      </c>
      <c r="K71" s="527" t="s">
        <v>33</v>
      </c>
      <c r="L71" s="528"/>
      <c r="M71" s="528"/>
      <c r="N71" s="528"/>
      <c r="O71" s="528"/>
      <c r="P71" s="253">
        <f t="shared" si="154"/>
        <v>41.5</v>
      </c>
      <c r="Q71" s="62">
        <f t="shared" si="163"/>
        <v>38.5</v>
      </c>
      <c r="R71" s="442" t="str">
        <f t="shared" si="155"/>
        <v>Нетронин</v>
      </c>
      <c r="S71" s="76" t="s">
        <v>58</v>
      </c>
      <c r="T71" s="77" t="s">
        <v>59</v>
      </c>
      <c r="U71" s="90"/>
      <c r="V71" s="62"/>
      <c r="W71" s="62"/>
      <c r="X71" s="74" t="s">
        <v>34</v>
      </c>
      <c r="Y71" s="7"/>
      <c r="Z71" s="7"/>
      <c r="AA71" s="7"/>
      <c r="AB71" s="13"/>
      <c r="AC71" s="13"/>
      <c r="AD71" s="13"/>
    </row>
    <row r="72" ht="14.4">
      <c r="A72" s="415" t="s">
        <v>42</v>
      </c>
      <c r="B72" s="527" t="s">
        <v>32</v>
      </c>
      <c r="C72" s="527" t="s">
        <v>33</v>
      </c>
      <c r="D72" s="527" t="s">
        <v>32</v>
      </c>
      <c r="E72" s="527" t="s">
        <v>33</v>
      </c>
      <c r="F72" s="527" t="s">
        <v>32</v>
      </c>
      <c r="G72" s="527" t="s">
        <v>33</v>
      </c>
      <c r="H72" s="527" t="s">
        <v>32</v>
      </c>
      <c r="I72" s="527" t="s">
        <v>88</v>
      </c>
      <c r="J72" s="527" t="s">
        <v>32</v>
      </c>
      <c r="K72" s="527" t="s">
        <v>33</v>
      </c>
      <c r="L72" s="528"/>
      <c r="M72" s="528"/>
      <c r="N72" s="528"/>
      <c r="O72" s="528"/>
      <c r="P72" s="253">
        <f t="shared" si="154"/>
        <v>41.5</v>
      </c>
      <c r="Q72" s="62">
        <f t="shared" si="163"/>
        <v>34.5</v>
      </c>
      <c r="R72" s="442" t="str">
        <f t="shared" si="155"/>
        <v>Юращик</v>
      </c>
      <c r="S72" s="76" t="s">
        <v>10</v>
      </c>
      <c r="T72" s="77" t="s">
        <v>9</v>
      </c>
      <c r="U72" s="90"/>
      <c r="V72" s="62"/>
      <c r="W72" s="62"/>
      <c r="X72" s="74" t="s">
        <v>38</v>
      </c>
      <c r="Y72" s="7"/>
      <c r="Z72" s="7"/>
      <c r="AA72" s="7"/>
      <c r="AB72" s="13"/>
      <c r="AC72" s="13"/>
      <c r="AD72" s="13"/>
    </row>
    <row r="73" ht="14.4">
      <c r="A73" s="388" t="s">
        <v>45</v>
      </c>
      <c r="B73" s="621"/>
      <c r="C73" s="621"/>
      <c r="D73" s="728"/>
      <c r="E73" s="728"/>
      <c r="F73" s="616"/>
      <c r="G73" s="616"/>
      <c r="H73" s="767"/>
      <c r="I73" s="767"/>
      <c r="J73" s="294"/>
      <c r="K73" s="295" t="s">
        <v>4</v>
      </c>
      <c r="L73" s="294"/>
      <c r="M73" s="295" t="s">
        <v>4</v>
      </c>
      <c r="N73" s="528"/>
      <c r="O73" s="528"/>
      <c r="P73" s="253">
        <f t="shared" si="154"/>
        <v>24</v>
      </c>
      <c r="Q73" s="62">
        <f t="shared" si="163"/>
        <v>0</v>
      </c>
      <c r="R73" s="442" t="str">
        <f t="shared" si="155"/>
        <v>Пузырь</v>
      </c>
      <c r="S73" s="76" t="s">
        <v>10</v>
      </c>
      <c r="T73" s="77" t="s">
        <v>9</v>
      </c>
      <c r="U73" s="90">
        <f>COUNTIF(T73,B73)+COUNTIF(T73,F73)+COUNTIF(T73,#REF!)+COUNTIF(T73,H73)+COUNTIF(T73,J73)+COUNTIF(T73,L73)+COUNTIF(T73,N73)</f>
        <v>0</v>
      </c>
      <c r="V73" s="62">
        <f>COUNTIF(S73,B73)+COUNTIF(S73,F73)+COUNTIF(S73,#REF!)+COUNTIF(S73,H73)+COUNTIF(S73,J73)+COUNTIF(S73,L73)+COUNTIF(S73,N73)</f>
        <v>0</v>
      </c>
      <c r="W73" s="62"/>
      <c r="X73" s="74" t="s">
        <v>34</v>
      </c>
      <c r="Y73" s="7"/>
      <c r="Z73" s="7"/>
      <c r="AA73" s="7"/>
      <c r="AB73" s="13"/>
      <c r="AC73" s="13"/>
      <c r="AD73" s="13"/>
    </row>
    <row r="74" ht="14.4">
      <c r="A74" s="388" t="s">
        <v>46</v>
      </c>
      <c r="B74" s="294"/>
      <c r="C74" s="294" t="s">
        <v>4</v>
      </c>
      <c r="D74" s="254"/>
      <c r="E74" s="254"/>
      <c r="F74" s="254"/>
      <c r="G74" s="254"/>
      <c r="H74" s="621"/>
      <c r="I74" s="621"/>
      <c r="J74" s="616"/>
      <c r="K74" s="616"/>
      <c r="L74" s="254"/>
      <c r="M74" s="254"/>
      <c r="N74" s="254"/>
      <c r="O74" s="254"/>
      <c r="P74" s="253">
        <f t="shared" si="154"/>
        <v>12</v>
      </c>
      <c r="Q74" s="62">
        <f t="shared" si="163"/>
        <v>12</v>
      </c>
      <c r="R74" s="442" t="str">
        <f t="shared" si="155"/>
        <v>Голышев</v>
      </c>
      <c r="S74" s="76" t="s">
        <v>10</v>
      </c>
      <c r="T74" s="77" t="s">
        <v>9</v>
      </c>
      <c r="U74" s="90">
        <f t="shared" si="156"/>
        <v>0</v>
      </c>
      <c r="V74" s="62">
        <f t="shared" ref="V74:V95" si="164">COUNTIF(S74,B74)+COUNTIF(S74,D74)+COUNTIF(S74,F74)+COUNTIF(S74,H74)+COUNTIF(S74,J74)+COUNTIF(S74,L74)+COUNTIF(S74,N74)</f>
        <v>0</v>
      </c>
      <c r="W74" s="62"/>
      <c r="X74" s="74" t="s">
        <v>34</v>
      </c>
      <c r="Y74" s="7"/>
      <c r="Z74" s="7"/>
      <c r="AA74" s="7"/>
      <c r="AB74" s="13"/>
      <c r="AC74" s="13"/>
      <c r="AD74" s="13"/>
    </row>
    <row r="75" ht="14.4">
      <c r="A75" s="388" t="s">
        <v>47</v>
      </c>
      <c r="B75" s="637"/>
      <c r="C75" s="637" t="s">
        <v>33</v>
      </c>
      <c r="D75" s="637"/>
      <c r="E75" s="637" t="s">
        <v>57</v>
      </c>
      <c r="F75" s="673"/>
      <c r="G75" s="673"/>
      <c r="H75" s="768"/>
      <c r="I75" s="675"/>
      <c r="J75" s="254"/>
      <c r="K75" s="528"/>
      <c r="L75" s="737"/>
      <c r="M75" s="737" t="s">
        <v>4</v>
      </c>
      <c r="N75" s="247"/>
      <c r="O75" s="247"/>
      <c r="P75" s="253">
        <f t="shared" si="154"/>
        <v>24</v>
      </c>
      <c r="Q75" s="62">
        <f t="shared" si="163"/>
        <v>28</v>
      </c>
      <c r="R75" s="442" t="str">
        <f t="shared" si="155"/>
        <v>Торубара</v>
      </c>
      <c r="S75" s="76" t="s">
        <v>10</v>
      </c>
      <c r="T75" s="77" t="s">
        <v>9</v>
      </c>
      <c r="U75" s="90">
        <f t="shared" si="156"/>
        <v>0</v>
      </c>
      <c r="V75" s="62">
        <f t="shared" si="164"/>
        <v>0</v>
      </c>
      <c r="W75" s="62"/>
      <c r="X75" s="74" t="s">
        <v>34</v>
      </c>
      <c r="Y75" s="7"/>
      <c r="Z75" s="7"/>
      <c r="AA75" s="7"/>
      <c r="AB75" s="13"/>
      <c r="AC75" s="13"/>
      <c r="AD75" s="13"/>
    </row>
    <row r="76" ht="14.4">
      <c r="A76" s="388" t="s">
        <v>48</v>
      </c>
      <c r="B76" s="528"/>
      <c r="C76" s="528"/>
      <c r="D76" s="672"/>
      <c r="E76" s="769"/>
      <c r="F76" s="87"/>
      <c r="G76" s="87"/>
      <c r="H76" s="256"/>
      <c r="I76" s="256"/>
      <c r="J76" s="770"/>
      <c r="K76" s="247"/>
      <c r="L76" s="621"/>
      <c r="M76" s="621"/>
      <c r="N76" s="771"/>
      <c r="O76" s="771" t="s">
        <v>4</v>
      </c>
      <c r="P76" s="253">
        <f t="shared" ref="P76:P95" si="165">C76+E76+G76+I76+K76+M76+O76</f>
        <v>12</v>
      </c>
      <c r="Q76" s="62">
        <f t="shared" si="163"/>
        <v>20</v>
      </c>
      <c r="R76" s="442" t="str">
        <f t="shared" ref="R76:R95" si="166">A76</f>
        <v>Стрыгин</v>
      </c>
      <c r="S76" s="71" t="s">
        <v>8</v>
      </c>
      <c r="T76" s="72" t="s">
        <v>7</v>
      </c>
      <c r="U76" s="90">
        <f t="shared" ref="U76:U95" si="167">COUNTIF(T76,B76)+COUNTIF(T76,D76)+COUNTIF(T76,F76)+COUNTIF(T76,H76)+COUNTIF(T76,J76)+COUNTIF(T76,L76)+COUNTIF(T76,N76)</f>
        <v>0</v>
      </c>
      <c r="V76" s="62">
        <f t="shared" si="164"/>
        <v>0</v>
      </c>
      <c r="W76" s="62"/>
      <c r="X76" s="74" t="s">
        <v>49</v>
      </c>
      <c r="Y76" s="7"/>
      <c r="Z76" s="7"/>
      <c r="AA76" s="7"/>
      <c r="AB76" s="13"/>
      <c r="AC76" s="13"/>
      <c r="AD76" s="13"/>
    </row>
    <row r="77" ht="14.4">
      <c r="A77" s="388" t="s">
        <v>50</v>
      </c>
      <c r="B77" s="247"/>
      <c r="C77" s="247"/>
      <c r="D77" s="294"/>
      <c r="E77" s="294" t="s">
        <v>4</v>
      </c>
      <c r="F77" s="772"/>
      <c r="G77" s="773"/>
      <c r="H77" s="87"/>
      <c r="I77" s="87"/>
      <c r="J77" s="770"/>
      <c r="K77" s="247"/>
      <c r="L77" s="247"/>
      <c r="M77" s="633"/>
      <c r="N77" s="87"/>
      <c r="O77" s="87"/>
      <c r="P77" s="253">
        <f t="shared" si="165"/>
        <v>12</v>
      </c>
      <c r="Q77" s="62">
        <f t="shared" si="163"/>
        <v>16</v>
      </c>
      <c r="R77" s="442" t="str">
        <f t="shared" si="166"/>
        <v>Фрик</v>
      </c>
      <c r="S77" s="71" t="s">
        <v>12</v>
      </c>
      <c r="T77" s="72" t="s">
        <v>11</v>
      </c>
      <c r="U77" s="90">
        <f>COUNTIF(T77,B77)+COUNTIF(T77,#REF!)+COUNTIF(T77,F77)+COUNTIF(T77,D77)+COUNTIF(T77,J77)+COUNTIF(T77,L77)+COUNTIF(T77,N77)</f>
        <v>0</v>
      </c>
      <c r="V77" s="62">
        <f>COUNTIF(S77,B77)+COUNTIF(S77,#REF!)+COUNTIF(S77,F77)+COUNTIF(S77,D77)+COUNTIF(S77,J77)+COUNTIF(S77,L77)+COUNTIF(S77,N77)</f>
        <v>0</v>
      </c>
      <c r="W77" s="62"/>
      <c r="X77" s="74" t="s">
        <v>44</v>
      </c>
      <c r="Y77" s="7"/>
      <c r="Z77" s="7"/>
      <c r="AA77" s="7"/>
      <c r="AB77" s="13"/>
      <c r="AC77" s="13"/>
      <c r="AD77" s="13"/>
    </row>
    <row r="78" ht="14.4">
      <c r="A78" s="563" t="s">
        <v>51</v>
      </c>
      <c r="B78" s="528"/>
      <c r="C78" s="528"/>
      <c r="D78" s="774"/>
      <c r="E78" s="775"/>
      <c r="F78" s="776"/>
      <c r="G78" s="777" t="s">
        <v>4</v>
      </c>
      <c r="H78" s="76"/>
      <c r="I78" s="778" t="s">
        <v>4</v>
      </c>
      <c r="J78" s="730"/>
      <c r="K78" s="528"/>
      <c r="L78" s="616"/>
      <c r="M78" s="616"/>
      <c r="N78" s="112"/>
      <c r="O78" s="752" t="s">
        <v>4</v>
      </c>
      <c r="P78" s="253">
        <f t="shared" si="165"/>
        <v>36</v>
      </c>
      <c r="Q78" s="62">
        <f t="shared" si="163"/>
        <v>0</v>
      </c>
      <c r="R78" s="442" t="str">
        <f t="shared" si="166"/>
        <v>Истрашкин</v>
      </c>
      <c r="S78" s="71" t="s">
        <v>10</v>
      </c>
      <c r="T78" s="72" t="s">
        <v>9</v>
      </c>
      <c r="U78" s="90">
        <f t="shared" si="167"/>
        <v>0</v>
      </c>
      <c r="V78" s="62">
        <f t="shared" si="164"/>
        <v>0</v>
      </c>
      <c r="W78" s="62"/>
      <c r="X78" s="74" t="s">
        <v>34</v>
      </c>
      <c r="Y78" s="7"/>
      <c r="Z78" s="7"/>
      <c r="AA78" s="7"/>
      <c r="AB78" s="13"/>
      <c r="AC78" s="13"/>
      <c r="AD78" s="13"/>
    </row>
    <row r="79" ht="14.4">
      <c r="A79" s="388" t="s">
        <v>43</v>
      </c>
      <c r="B79" s="528"/>
      <c r="C79" s="627"/>
      <c r="D79" s="87"/>
      <c r="E79" s="87"/>
      <c r="F79" s="779"/>
      <c r="G79" s="759"/>
      <c r="H79" s="780"/>
      <c r="I79" s="780" t="s">
        <v>33</v>
      </c>
      <c r="J79" s="737"/>
      <c r="K79" s="737" t="s">
        <v>33</v>
      </c>
      <c r="L79" s="254"/>
      <c r="M79" s="254"/>
      <c r="N79" s="616"/>
      <c r="O79" s="616"/>
      <c r="P79" s="253">
        <f t="shared" si="165"/>
        <v>16</v>
      </c>
      <c r="Q79" s="62">
        <f t="shared" si="163"/>
        <v>28</v>
      </c>
      <c r="R79" s="442" t="str">
        <f t="shared" si="166"/>
        <v>Дащенко</v>
      </c>
      <c r="S79" s="71" t="s">
        <v>12</v>
      </c>
      <c r="T79" s="72" t="s">
        <v>11</v>
      </c>
      <c r="U79" s="90">
        <f>COUNTIF(T79,B79)+COUNTIF(T79,#REF!)+COUNTIF(T79,F79)+COUNTIF(T79,H79)+COUNTIF(T79,J79)+COUNTIF(T79,L79)+COUNTIF(T79,N79)</f>
        <v>0</v>
      </c>
      <c r="V79" s="62">
        <f>COUNTIF(S79,B79)+COUNTIF(S79,#REF!)+COUNTIF(S79,F79)+COUNTIF(S79,H79)+COUNTIF(S79,J79)+COUNTIF(S79,L79)+COUNTIF(S79,N79)</f>
        <v>0</v>
      </c>
      <c r="W79" s="62"/>
      <c r="X79" s="80" t="s">
        <v>44</v>
      </c>
      <c r="Y79" s="7"/>
      <c r="Z79" s="7"/>
      <c r="AA79" s="7"/>
      <c r="AB79" s="13"/>
      <c r="AC79" s="13"/>
      <c r="AD79" s="13"/>
    </row>
    <row r="80" ht="14.4">
      <c r="A80" s="207"/>
      <c r="B80" s="515">
        <v>46041</v>
      </c>
      <c r="C80" s="517"/>
      <c r="D80" s="489">
        <v>46042</v>
      </c>
      <c r="E80" s="669"/>
      <c r="F80" s="515">
        <v>46043</v>
      </c>
      <c r="G80" s="517"/>
      <c r="H80" s="515">
        <v>46044</v>
      </c>
      <c r="I80" s="517"/>
      <c r="J80" s="515">
        <v>46045</v>
      </c>
      <c r="K80" s="517"/>
      <c r="L80" s="515">
        <v>46046</v>
      </c>
      <c r="M80" s="517"/>
      <c r="N80" s="515">
        <v>46047</v>
      </c>
      <c r="O80" s="517"/>
      <c r="P80" s="253"/>
      <c r="Q80" s="254"/>
      <c r="R80" s="297"/>
      <c r="S80" s="134"/>
      <c r="T80" s="134"/>
      <c r="U80" s="60" t="s">
        <v>27</v>
      </c>
      <c r="V80" s="61" t="s">
        <v>28</v>
      </c>
      <c r="W80" s="62" t="s">
        <v>29</v>
      </c>
      <c r="X80" s="7"/>
      <c r="Y80" s="7"/>
      <c r="Z80" s="7"/>
      <c r="AA80" s="7"/>
      <c r="AB80" s="13"/>
      <c r="AC80" s="13"/>
      <c r="AD80" s="13"/>
    </row>
    <row r="81" ht="14.4">
      <c r="A81" s="403"/>
      <c r="B81" s="403"/>
      <c r="C81" s="403"/>
      <c r="D81" s="403"/>
      <c r="E81" s="403"/>
      <c r="F81" s="403"/>
      <c r="G81" s="403"/>
      <c r="H81" s="403"/>
      <c r="I81" s="403"/>
      <c r="J81" s="403"/>
      <c r="K81" s="403"/>
      <c r="L81" s="403"/>
      <c r="M81" s="403"/>
      <c r="N81" s="403"/>
      <c r="O81" s="403"/>
      <c r="P81" s="403"/>
      <c r="Q81" s="165"/>
      <c r="R81" s="139"/>
      <c r="S81" s="139"/>
      <c r="T81" s="139"/>
      <c r="U81" s="127"/>
      <c r="V81" s="127"/>
      <c r="W81" s="128"/>
      <c r="X81" s="7"/>
      <c r="Y81" s="7"/>
      <c r="Z81" s="7"/>
      <c r="AA81" s="7"/>
      <c r="AB81" s="13"/>
      <c r="AC81" s="13"/>
      <c r="AD81" s="13"/>
    </row>
    <row r="82" ht="14.4">
      <c r="A82" s="143"/>
      <c r="B82" s="214" t="s">
        <v>17</v>
      </c>
      <c r="C82" s="481"/>
      <c r="D82" s="214" t="s">
        <v>18</v>
      </c>
      <c r="E82" s="481"/>
      <c r="F82" s="214" t="s">
        <v>19</v>
      </c>
      <c r="G82" s="214"/>
      <c r="H82" s="214" t="s">
        <v>20</v>
      </c>
      <c r="I82" s="481"/>
      <c r="J82" s="482" t="s">
        <v>21</v>
      </c>
      <c r="K82" s="482"/>
      <c r="L82" s="214" t="s">
        <v>22</v>
      </c>
      <c r="M82" s="214"/>
      <c r="N82" s="214" t="s">
        <v>23</v>
      </c>
      <c r="O82" s="214"/>
      <c r="P82" s="214" t="s">
        <v>24</v>
      </c>
      <c r="Q82" s="214"/>
      <c r="R82" s="117"/>
      <c r="S82" s="143"/>
      <c r="T82" s="143"/>
      <c r="U82" s="62"/>
      <c r="V82" s="62"/>
      <c r="W82" s="62"/>
      <c r="X82" s="51"/>
      <c r="Y82" s="7"/>
      <c r="Z82" s="7"/>
      <c r="AA82" s="7"/>
      <c r="AB82" s="13"/>
      <c r="AC82" s="13"/>
      <c r="AD82" s="13"/>
    </row>
    <row r="83" ht="14.4">
      <c r="A83" s="143"/>
      <c r="B83" s="515">
        <v>46048</v>
      </c>
      <c r="C83" s="517"/>
      <c r="D83" s="515">
        <v>46049</v>
      </c>
      <c r="E83" s="517"/>
      <c r="F83" s="515">
        <v>46050</v>
      </c>
      <c r="G83" s="517"/>
      <c r="H83" s="515">
        <v>46051</v>
      </c>
      <c r="I83" s="517"/>
      <c r="J83" s="515">
        <v>46052</v>
      </c>
      <c r="K83" s="517"/>
      <c r="L83" s="515">
        <v>46053</v>
      </c>
      <c r="M83" s="517"/>
      <c r="N83" s="515">
        <v>46023</v>
      </c>
      <c r="O83" s="517"/>
      <c r="P83" s="213" t="s">
        <v>25</v>
      </c>
      <c r="Q83" s="214" t="s">
        <v>26</v>
      </c>
      <c r="R83" s="287"/>
      <c r="S83" s="141"/>
      <c r="T83" s="141"/>
      <c r="U83" s="60" t="s">
        <v>27</v>
      </c>
      <c r="V83" s="61" t="s">
        <v>28</v>
      </c>
      <c r="W83" s="62" t="s">
        <v>29</v>
      </c>
      <c r="X83" s="63" t="s">
        <v>30</v>
      </c>
      <c r="Y83" s="7"/>
      <c r="Z83" s="7"/>
      <c r="AA83" s="7"/>
      <c r="AB83" s="13"/>
      <c r="AC83" s="13"/>
      <c r="AD83" s="13"/>
    </row>
    <row r="84" ht="14.4">
      <c r="A84" s="415" t="s">
        <v>35</v>
      </c>
      <c r="B84" s="527" t="s">
        <v>32</v>
      </c>
      <c r="C84" s="527" t="s">
        <v>33</v>
      </c>
      <c r="D84" s="527" t="s">
        <v>32</v>
      </c>
      <c r="E84" s="527" t="s">
        <v>33</v>
      </c>
      <c r="F84" s="527" t="s">
        <v>32</v>
      </c>
      <c r="G84" s="527" t="s">
        <v>33</v>
      </c>
      <c r="H84" s="527" t="s">
        <v>32</v>
      </c>
      <c r="I84" s="527" t="s">
        <v>33</v>
      </c>
      <c r="J84" s="527" t="s">
        <v>32</v>
      </c>
      <c r="K84" s="527" t="s">
        <v>33</v>
      </c>
      <c r="L84" s="528"/>
      <c r="M84" s="528"/>
      <c r="N84" s="528"/>
      <c r="O84" s="528"/>
      <c r="P84" s="253">
        <f t="shared" si="165"/>
        <v>40</v>
      </c>
      <c r="Q84" s="62">
        <f t="shared" si="163"/>
        <v>-2</v>
      </c>
      <c r="R84" s="442" t="str">
        <f t="shared" si="166"/>
        <v>Рычков</v>
      </c>
      <c r="S84" s="76" t="s">
        <v>10</v>
      </c>
      <c r="T84" s="77" t="s">
        <v>9</v>
      </c>
      <c r="U84" s="90">
        <f t="shared" si="167"/>
        <v>0</v>
      </c>
      <c r="V84" s="62">
        <f t="shared" si="164"/>
        <v>0</v>
      </c>
      <c r="W84" s="62"/>
      <c r="X84" s="74" t="s">
        <v>34</v>
      </c>
      <c r="Y84" s="7"/>
      <c r="Z84" s="7"/>
      <c r="AA84" s="7"/>
      <c r="AB84" s="13"/>
      <c r="AC84" s="13"/>
      <c r="AD84" s="13"/>
    </row>
    <row r="85" ht="14.4">
      <c r="A85" s="415" t="s">
        <v>39</v>
      </c>
      <c r="B85" s="527" t="s">
        <v>32</v>
      </c>
      <c r="C85" s="527" t="s">
        <v>33</v>
      </c>
      <c r="D85" s="527" t="s">
        <v>32</v>
      </c>
      <c r="E85" s="527" t="s">
        <v>33</v>
      </c>
      <c r="F85" s="527" t="s">
        <v>32</v>
      </c>
      <c r="G85" s="527" t="s">
        <v>33</v>
      </c>
      <c r="H85" s="527" t="s">
        <v>32</v>
      </c>
      <c r="I85" s="527" t="s">
        <v>33</v>
      </c>
      <c r="J85" s="527" t="s">
        <v>32</v>
      </c>
      <c r="K85" s="527" t="s">
        <v>33</v>
      </c>
      <c r="L85" s="528"/>
      <c r="M85" s="528"/>
      <c r="N85" s="528"/>
      <c r="O85" s="528"/>
      <c r="P85" s="253">
        <f t="shared" si="165"/>
        <v>40</v>
      </c>
      <c r="Q85" s="62">
        <f t="shared" ref="Q85:Q95" si="168">Q69-P85</f>
        <v>0</v>
      </c>
      <c r="R85" s="442" t="str">
        <f t="shared" si="166"/>
        <v>Игумнов</v>
      </c>
      <c r="S85" s="76" t="s">
        <v>10</v>
      </c>
      <c r="T85" s="77" t="s">
        <v>9</v>
      </c>
      <c r="U85" s="90">
        <f t="shared" si="167"/>
        <v>0</v>
      </c>
      <c r="V85" s="62">
        <f t="shared" si="164"/>
        <v>0</v>
      </c>
      <c r="W85" s="62"/>
      <c r="X85" s="79" t="s">
        <v>34</v>
      </c>
      <c r="Y85" s="7"/>
      <c r="Z85" s="7"/>
      <c r="AA85" s="7"/>
      <c r="AB85" s="13"/>
      <c r="AC85" s="13"/>
      <c r="AD85" s="13"/>
    </row>
    <row r="86" ht="14.4">
      <c r="A86" s="415" t="s">
        <v>40</v>
      </c>
      <c r="B86" s="527" t="s">
        <v>32</v>
      </c>
      <c r="C86" s="527" t="s">
        <v>33</v>
      </c>
      <c r="D86" s="527" t="s">
        <v>32</v>
      </c>
      <c r="E86" s="527" t="s">
        <v>33</v>
      </c>
      <c r="F86" s="527" t="s">
        <v>32</v>
      </c>
      <c r="G86" s="527" t="s">
        <v>33</v>
      </c>
      <c r="H86" s="527" t="s">
        <v>32</v>
      </c>
      <c r="I86" s="527" t="s">
        <v>33</v>
      </c>
      <c r="J86" s="527" t="s">
        <v>32</v>
      </c>
      <c r="K86" s="527" t="s">
        <v>33</v>
      </c>
      <c r="L86" s="528"/>
      <c r="M86" s="528"/>
      <c r="N86" s="528" t="s">
        <v>82</v>
      </c>
      <c r="O86" s="528"/>
      <c r="P86" s="253">
        <f t="shared" si="165"/>
        <v>40</v>
      </c>
      <c r="Q86" s="62">
        <f t="shared" si="168"/>
        <v>-1.5</v>
      </c>
      <c r="R86" s="442" t="str">
        <f t="shared" si="166"/>
        <v>Душин</v>
      </c>
      <c r="S86" s="76" t="s">
        <v>10</v>
      </c>
      <c r="T86" s="77" t="s">
        <v>9</v>
      </c>
      <c r="U86" s="90">
        <f t="shared" si="167"/>
        <v>0</v>
      </c>
      <c r="V86" s="62">
        <f t="shared" si="164"/>
        <v>0</v>
      </c>
      <c r="W86" s="62"/>
      <c r="X86" s="74" t="s">
        <v>38</v>
      </c>
      <c r="Y86" s="7"/>
      <c r="Z86" s="7"/>
      <c r="AA86" s="7"/>
      <c r="AB86" s="13"/>
      <c r="AC86" s="13"/>
      <c r="AD86" s="13"/>
    </row>
    <row r="87" ht="14.4">
      <c r="A87" s="415" t="s">
        <v>31</v>
      </c>
      <c r="B87" s="527" t="s">
        <v>32</v>
      </c>
      <c r="C87" s="527" t="s">
        <v>33</v>
      </c>
      <c r="D87" s="527" t="s">
        <v>32</v>
      </c>
      <c r="E87" s="527" t="s">
        <v>33</v>
      </c>
      <c r="F87" s="527" t="s">
        <v>32</v>
      </c>
      <c r="G87" s="527" t="s">
        <v>33</v>
      </c>
      <c r="H87" s="527" t="s">
        <v>32</v>
      </c>
      <c r="I87" s="527" t="s">
        <v>33</v>
      </c>
      <c r="J87" s="527" t="s">
        <v>32</v>
      </c>
      <c r="K87" s="527" t="s">
        <v>33</v>
      </c>
      <c r="L87" s="528"/>
      <c r="M87" s="528"/>
      <c r="N87" s="528"/>
      <c r="O87" s="528"/>
      <c r="P87" s="253">
        <f t="shared" si="165"/>
        <v>40</v>
      </c>
      <c r="Q87" s="62">
        <f t="shared" si="168"/>
        <v>-1.5</v>
      </c>
      <c r="R87" s="442" t="str">
        <f t="shared" si="166"/>
        <v>Нетронин</v>
      </c>
      <c r="S87" s="76" t="s">
        <v>58</v>
      </c>
      <c r="T87" s="77" t="s">
        <v>59</v>
      </c>
      <c r="U87" s="90"/>
      <c r="V87" s="62"/>
      <c r="W87" s="62"/>
      <c r="X87" s="74" t="s">
        <v>34</v>
      </c>
      <c r="Y87" s="7"/>
      <c r="Z87" s="7"/>
      <c r="AA87" s="7"/>
      <c r="AB87" s="13"/>
      <c r="AC87" s="13"/>
      <c r="AD87" s="13"/>
    </row>
    <row r="88" ht="14.4">
      <c r="A88" s="415" t="s">
        <v>42</v>
      </c>
      <c r="B88" s="527" t="s">
        <v>32</v>
      </c>
      <c r="C88" s="527" t="s">
        <v>33</v>
      </c>
      <c r="D88" s="527" t="s">
        <v>32</v>
      </c>
      <c r="E88" s="527" t="s">
        <v>33</v>
      </c>
      <c r="F88" s="527" t="s">
        <v>32</v>
      </c>
      <c r="G88" s="527" t="s">
        <v>33</v>
      </c>
      <c r="H88" s="527" t="s">
        <v>32</v>
      </c>
      <c r="I88" s="527" t="s">
        <v>33</v>
      </c>
      <c r="J88" s="527" t="s">
        <v>32</v>
      </c>
      <c r="K88" s="527" t="s">
        <v>33</v>
      </c>
      <c r="L88" s="528"/>
      <c r="M88" s="528"/>
      <c r="N88" s="528"/>
      <c r="O88" s="528"/>
      <c r="P88" s="253">
        <f t="shared" si="165"/>
        <v>40</v>
      </c>
      <c r="Q88" s="62">
        <f t="shared" si="168"/>
        <v>-5.5</v>
      </c>
      <c r="R88" s="442" t="str">
        <f t="shared" si="166"/>
        <v>Юращик</v>
      </c>
      <c r="S88" s="76" t="s">
        <v>10</v>
      </c>
      <c r="T88" s="77" t="s">
        <v>9</v>
      </c>
      <c r="U88" s="90"/>
      <c r="V88" s="62"/>
      <c r="W88" s="62"/>
      <c r="X88" s="74" t="s">
        <v>38</v>
      </c>
      <c r="Y88" s="7"/>
      <c r="Z88" s="7"/>
      <c r="AA88" s="7"/>
      <c r="AB88" s="13"/>
      <c r="AC88" s="13"/>
      <c r="AD88" s="13"/>
    </row>
    <row r="89" ht="14.4">
      <c r="A89" s="388" t="s">
        <v>45</v>
      </c>
      <c r="B89" s="528"/>
      <c r="C89" s="528"/>
      <c r="D89" s="616"/>
      <c r="E89" s="616"/>
      <c r="F89" s="528"/>
      <c r="G89" s="528"/>
      <c r="H89" s="528"/>
      <c r="I89" s="528"/>
      <c r="J89" s="247"/>
      <c r="K89" s="247"/>
      <c r="L89" s="295"/>
      <c r="M89" s="295" t="s">
        <v>4</v>
      </c>
      <c r="N89" s="295"/>
      <c r="O89" s="295"/>
      <c r="P89" s="253">
        <f t="shared" si="165"/>
        <v>12</v>
      </c>
      <c r="Q89" s="62">
        <f t="shared" si="168"/>
        <v>-12</v>
      </c>
      <c r="R89" s="442" t="str">
        <f t="shared" si="166"/>
        <v>Пузырь</v>
      </c>
      <c r="S89" s="76" t="s">
        <v>10</v>
      </c>
      <c r="T89" s="77" t="s">
        <v>9</v>
      </c>
      <c r="U89" s="90">
        <f t="shared" si="167"/>
        <v>0</v>
      </c>
      <c r="V89" s="62">
        <f t="shared" si="164"/>
        <v>0</v>
      </c>
      <c r="W89" s="62"/>
      <c r="X89" s="74" t="s">
        <v>34</v>
      </c>
      <c r="Y89" s="7"/>
      <c r="Z89" s="7"/>
      <c r="AA89" s="7"/>
      <c r="AB89" s="13"/>
      <c r="AC89" s="13"/>
      <c r="AD89" s="13"/>
    </row>
    <row r="90" ht="14.4">
      <c r="A90" s="388" t="s">
        <v>46</v>
      </c>
      <c r="B90" s="619"/>
      <c r="C90" s="619"/>
      <c r="D90" s="619"/>
      <c r="E90" s="619"/>
      <c r="F90" s="254"/>
      <c r="G90" s="254"/>
      <c r="H90" s="620"/>
      <c r="I90" s="620">
        <v>12</v>
      </c>
      <c r="J90" s="621"/>
      <c r="K90" s="621"/>
      <c r="L90" s="15"/>
      <c r="M90" s="15" t="s">
        <v>4</v>
      </c>
      <c r="N90" s="528"/>
      <c r="O90" s="528"/>
      <c r="P90" s="253">
        <f t="shared" si="165"/>
        <v>24</v>
      </c>
      <c r="Q90" s="62">
        <f t="shared" si="168"/>
        <v>-12</v>
      </c>
      <c r="R90" s="442" t="str">
        <f t="shared" si="166"/>
        <v>Голышев</v>
      </c>
      <c r="S90" s="76" t="s">
        <v>10</v>
      </c>
      <c r="T90" s="77" t="s">
        <v>9</v>
      </c>
      <c r="U90" s="90">
        <f t="shared" si="167"/>
        <v>0</v>
      </c>
      <c r="V90" s="62">
        <f t="shared" si="164"/>
        <v>0</v>
      </c>
      <c r="W90" s="62"/>
      <c r="X90" s="74" t="s">
        <v>34</v>
      </c>
      <c r="Y90" s="7"/>
      <c r="Z90" s="7"/>
      <c r="AA90" s="7"/>
      <c r="AB90" s="13"/>
      <c r="AC90" s="13"/>
      <c r="AD90" s="13"/>
    </row>
    <row r="91" ht="14.4">
      <c r="A91" s="388" t="s">
        <v>47</v>
      </c>
      <c r="B91" s="294"/>
      <c r="C91" s="294" t="s">
        <v>4</v>
      </c>
      <c r="D91" s="294"/>
      <c r="E91" s="294" t="s">
        <v>4</v>
      </c>
      <c r="F91" s="247"/>
      <c r="G91" s="247"/>
      <c r="H91" s="254"/>
      <c r="I91" s="254"/>
      <c r="J91" s="624"/>
      <c r="K91" s="624" t="s">
        <v>4</v>
      </c>
      <c r="L91" s="254"/>
      <c r="M91" s="254"/>
      <c r="N91" s="528"/>
      <c r="O91" s="528"/>
      <c r="P91" s="253">
        <f t="shared" si="165"/>
        <v>36</v>
      </c>
      <c r="Q91" s="62">
        <f t="shared" si="168"/>
        <v>-8</v>
      </c>
      <c r="R91" s="442" t="str">
        <f t="shared" si="166"/>
        <v>Торубара</v>
      </c>
      <c r="S91" s="76" t="s">
        <v>10</v>
      </c>
      <c r="T91" s="77" t="s">
        <v>9</v>
      </c>
      <c r="U91" s="90">
        <f t="shared" si="167"/>
        <v>0</v>
      </c>
      <c r="V91" s="62">
        <f t="shared" si="164"/>
        <v>0</v>
      </c>
      <c r="W91" s="62"/>
      <c r="X91" s="74" t="s">
        <v>34</v>
      </c>
      <c r="Y91" s="7"/>
      <c r="Z91" s="7"/>
      <c r="AA91" s="7"/>
      <c r="AB91" s="13"/>
      <c r="AC91" s="13"/>
      <c r="AD91" s="13"/>
    </row>
    <row r="92" ht="14.4">
      <c r="A92" s="388" t="s">
        <v>48</v>
      </c>
      <c r="B92" s="528"/>
      <c r="C92" s="528"/>
      <c r="D92" s="528"/>
      <c r="E92" s="528"/>
      <c r="F92" s="637"/>
      <c r="G92" s="637" t="s">
        <v>33</v>
      </c>
      <c r="H92" s="112"/>
      <c r="I92" s="637" t="s">
        <v>4</v>
      </c>
      <c r="J92" s="247"/>
      <c r="K92" s="247"/>
      <c r="L92" s="528"/>
      <c r="M92" s="528"/>
      <c r="N92" s="295"/>
      <c r="O92" s="295"/>
      <c r="P92" s="253">
        <f t="shared" si="165"/>
        <v>20</v>
      </c>
      <c r="Q92" s="62">
        <f t="shared" si="168"/>
        <v>0</v>
      </c>
      <c r="R92" s="442" t="str">
        <f t="shared" si="166"/>
        <v>Стрыгин</v>
      </c>
      <c r="S92" s="71" t="s">
        <v>8</v>
      </c>
      <c r="T92" s="72" t="s">
        <v>7</v>
      </c>
      <c r="U92" s="90">
        <f t="shared" si="167"/>
        <v>0</v>
      </c>
      <c r="V92" s="62">
        <f t="shared" si="164"/>
        <v>0</v>
      </c>
      <c r="W92" s="62"/>
      <c r="X92" s="74" t="s">
        <v>49</v>
      </c>
      <c r="Y92" s="7"/>
      <c r="Z92" s="7"/>
      <c r="AA92" s="7"/>
      <c r="AB92" s="13"/>
      <c r="AC92" s="13"/>
      <c r="AD92" s="13"/>
    </row>
    <row r="93" ht="14.4">
      <c r="A93" s="388" t="s">
        <v>50</v>
      </c>
      <c r="B93" s="628"/>
      <c r="C93" s="628" t="s">
        <v>57</v>
      </c>
      <c r="D93" s="528"/>
      <c r="E93" s="528"/>
      <c r="F93" s="781"/>
      <c r="G93" s="781" t="s">
        <v>4</v>
      </c>
      <c r="H93" s="621"/>
      <c r="I93" s="621"/>
      <c r="J93" s="626"/>
      <c r="K93" s="626"/>
      <c r="L93" s="247"/>
      <c r="M93" s="247"/>
      <c r="N93" s="247"/>
      <c r="O93" s="247"/>
      <c r="P93" s="253">
        <f t="shared" si="165"/>
        <v>16</v>
      </c>
      <c r="Q93" s="62">
        <f t="shared" si="168"/>
        <v>0</v>
      </c>
      <c r="R93" s="442" t="str">
        <f t="shared" si="166"/>
        <v>Фрик</v>
      </c>
      <c r="S93" s="71" t="s">
        <v>12</v>
      </c>
      <c r="T93" s="72" t="s">
        <v>11</v>
      </c>
      <c r="U93" s="90">
        <f t="shared" si="167"/>
        <v>0</v>
      </c>
      <c r="V93" s="62">
        <f t="shared" si="164"/>
        <v>0</v>
      </c>
      <c r="W93" s="62"/>
      <c r="X93" s="74" t="s">
        <v>44</v>
      </c>
      <c r="Y93" s="7"/>
      <c r="Z93" s="7"/>
      <c r="AA93" s="7"/>
      <c r="AB93" s="13"/>
      <c r="AC93" s="13"/>
      <c r="AD93" s="13"/>
    </row>
    <row r="94" ht="14.4">
      <c r="A94" s="563" t="s">
        <v>51</v>
      </c>
      <c r="B94" s="616"/>
      <c r="C94" s="616"/>
      <c r="D94" s="531"/>
      <c r="E94" s="782"/>
      <c r="F94" s="87"/>
      <c r="G94" s="87"/>
      <c r="H94" s="783"/>
      <c r="I94" s="632"/>
      <c r="J94" s="528"/>
      <c r="K94" s="528"/>
      <c r="L94" s="247"/>
      <c r="M94" s="247"/>
      <c r="N94" s="15"/>
      <c r="O94" s="15"/>
      <c r="P94" s="253">
        <f>C94+E94+F94+I94+K94+M94+O94</f>
        <v>0</v>
      </c>
      <c r="Q94" s="62">
        <f t="shared" si="168"/>
        <v>0</v>
      </c>
      <c r="R94" s="442" t="str">
        <f t="shared" si="166"/>
        <v>Истрашкин</v>
      </c>
      <c r="S94" s="71" t="s">
        <v>10</v>
      </c>
      <c r="T94" s="72" t="s">
        <v>9</v>
      </c>
      <c r="U94" s="90">
        <f>COUNTIF(T94,B94)+COUNTIF(T94,D94)+COUNTIF(T94,#REF!)+COUNTIF(T94,H94)+COUNTIF(T94,J94)+COUNTIF(T94,L94)+COUNTIF(T94,N94)</f>
        <v>0</v>
      </c>
      <c r="V94" s="62">
        <f>COUNTIF(S94,B94)+COUNTIF(S94,D94)+COUNTIF(S94,#REF!)+COUNTIF(S94,H94)+COUNTIF(S94,J94)+COUNTIF(S94,L94)+COUNTIF(S94,N94)</f>
        <v>0</v>
      </c>
      <c r="W94" s="62"/>
      <c r="X94" s="74" t="s">
        <v>34</v>
      </c>
      <c r="Y94" s="7"/>
      <c r="Z94" s="7"/>
      <c r="AA94" s="7"/>
      <c r="AB94" s="13"/>
      <c r="AC94" s="13"/>
      <c r="AD94" s="13"/>
    </row>
    <row r="95" ht="14.4">
      <c r="A95" s="388" t="s">
        <v>43</v>
      </c>
      <c r="B95" s="621"/>
      <c r="C95" s="784"/>
      <c r="D95" s="131"/>
      <c r="E95" s="131">
        <v>12</v>
      </c>
      <c r="F95" s="785"/>
      <c r="G95" s="786"/>
      <c r="H95" s="637"/>
      <c r="I95" s="637" t="s">
        <v>33</v>
      </c>
      <c r="J95" s="637"/>
      <c r="K95" s="637" t="s">
        <v>33</v>
      </c>
      <c r="L95" s="254"/>
      <c r="M95" s="254"/>
      <c r="N95" s="254"/>
      <c r="O95" s="254"/>
      <c r="P95" s="253">
        <f t="shared" si="165"/>
        <v>28</v>
      </c>
      <c r="Q95" s="62">
        <f t="shared" si="168"/>
        <v>0</v>
      </c>
      <c r="R95" s="442" t="str">
        <f t="shared" si="166"/>
        <v>Дащенко</v>
      </c>
      <c r="S95" s="71" t="s">
        <v>12</v>
      </c>
      <c r="T95" s="72" t="s">
        <v>11</v>
      </c>
      <c r="U95" s="90">
        <f t="shared" si="167"/>
        <v>0</v>
      </c>
      <c r="V95" s="62">
        <f t="shared" si="164"/>
        <v>0</v>
      </c>
      <c r="W95" s="62"/>
      <c r="X95" s="80" t="s">
        <v>44</v>
      </c>
      <c r="Y95" s="7"/>
      <c r="Z95" s="7"/>
      <c r="AA95" s="7"/>
      <c r="AB95" s="13"/>
      <c r="AC95" s="13"/>
      <c r="AD95" s="13"/>
    </row>
    <row r="96" ht="14.4">
      <c r="A96" s="207"/>
      <c r="B96" s="515">
        <v>46048</v>
      </c>
      <c r="C96" s="517"/>
      <c r="D96" s="489">
        <v>46049</v>
      </c>
      <c r="E96" s="669"/>
      <c r="F96" s="515">
        <v>46050</v>
      </c>
      <c r="G96" s="517"/>
      <c r="H96" s="515">
        <v>46051</v>
      </c>
      <c r="I96" s="517"/>
      <c r="J96" s="515">
        <v>46052</v>
      </c>
      <c r="K96" s="517"/>
      <c r="L96" s="515">
        <v>46053</v>
      </c>
      <c r="M96" s="517"/>
      <c r="N96" s="515">
        <v>46023</v>
      </c>
      <c r="O96" s="517"/>
      <c r="P96" s="253"/>
      <c r="Q96" s="254"/>
      <c r="R96" s="297"/>
      <c r="S96" s="134"/>
      <c r="T96" s="134"/>
      <c r="U96" s="60" t="s">
        <v>27</v>
      </c>
      <c r="V96" s="61" t="s">
        <v>28</v>
      </c>
      <c r="W96" s="62" t="s">
        <v>29</v>
      </c>
      <c r="X96" s="7"/>
      <c r="Y96" s="7"/>
      <c r="Z96" s="7"/>
      <c r="AA96" s="7"/>
      <c r="AB96" s="13"/>
      <c r="AC96" s="13"/>
      <c r="AD96" s="13"/>
    </row>
    <row r="97" ht="14.4">
      <c r="A97" s="350"/>
      <c r="B97" s="350"/>
      <c r="C97" s="350"/>
      <c r="D97" s="350"/>
      <c r="E97" s="350"/>
      <c r="F97" s="350"/>
      <c r="G97" s="350"/>
      <c r="H97" s="350"/>
      <c r="I97" s="350"/>
      <c r="J97" s="350"/>
      <c r="K97" s="350"/>
      <c r="L97" s="350"/>
      <c r="M97" s="350"/>
      <c r="N97" s="350"/>
      <c r="O97" s="350"/>
      <c r="P97" s="350"/>
      <c r="Q97" s="351"/>
      <c r="R97" s="139"/>
      <c r="S97" s="139"/>
      <c r="T97" s="139"/>
      <c r="U97" s="127"/>
      <c r="V97" s="127"/>
      <c r="W97" s="128"/>
      <c r="X97" s="7"/>
      <c r="Y97" s="7"/>
      <c r="Z97" s="7"/>
      <c r="AA97" s="7"/>
      <c r="AB97" s="13"/>
      <c r="AC97" s="13"/>
      <c r="AD97" s="13"/>
    </row>
    <row r="98" ht="14.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53"/>
      <c r="R98" s="7"/>
      <c r="S98" s="7"/>
      <c r="T98" s="7"/>
      <c r="U98" s="153"/>
      <c r="V98" s="153"/>
      <c r="W98" s="12"/>
      <c r="X98" s="7"/>
      <c r="Y98" s="7"/>
      <c r="Z98" s="7"/>
      <c r="AA98" s="7"/>
      <c r="AB98" s="13"/>
      <c r="AC98" s="13"/>
      <c r="AD98" s="13"/>
    </row>
    <row r="99" ht="14.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53"/>
      <c r="R99" s="7"/>
      <c r="S99" s="7"/>
      <c r="T99" s="7"/>
      <c r="U99" s="153"/>
      <c r="V99" s="153"/>
      <c r="W99" s="12"/>
      <c r="X99" s="7"/>
      <c r="Y99" s="7"/>
      <c r="Z99" s="7"/>
      <c r="AA99" s="7"/>
      <c r="AB99" s="13"/>
      <c r="AC99" s="13"/>
      <c r="AD99" s="13"/>
    </row>
    <row r="100" ht="14.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3"/>
      <c r="R100" s="7"/>
      <c r="S100" s="7"/>
      <c r="T100" s="7"/>
      <c r="U100" s="153"/>
      <c r="V100" s="153"/>
      <c r="W100" s="12"/>
      <c r="X100" s="7"/>
      <c r="Y100" s="7"/>
      <c r="Z100" s="7"/>
      <c r="AA100" s="7"/>
      <c r="AB100" s="13"/>
      <c r="AC100" s="13"/>
      <c r="AD100" s="13"/>
    </row>
    <row r="101" ht="14.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3"/>
      <c r="R101" s="7"/>
      <c r="S101" s="7"/>
      <c r="T101" s="7"/>
      <c r="U101" s="153"/>
      <c r="V101" s="153"/>
      <c r="W101" s="12"/>
      <c r="X101" s="7"/>
      <c r="Y101" s="7"/>
      <c r="Z101" s="7"/>
      <c r="AA101" s="7"/>
      <c r="AB101" s="13"/>
      <c r="AC101" s="13"/>
      <c r="AD101" s="13"/>
    </row>
    <row r="102" ht="14.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3"/>
      <c r="R102" s="7"/>
      <c r="S102" s="7"/>
      <c r="T102" s="7"/>
      <c r="U102" s="153"/>
      <c r="V102" s="153"/>
      <c r="W102" s="12"/>
      <c r="X102" s="7"/>
      <c r="Y102" s="7"/>
      <c r="Z102" s="7"/>
      <c r="AA102" s="7"/>
      <c r="AB102" s="13"/>
      <c r="AC102" s="13"/>
      <c r="AD102" s="13"/>
    </row>
    <row r="103" ht="14.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3"/>
      <c r="R103" s="7"/>
      <c r="S103" s="7"/>
      <c r="T103" s="7"/>
      <c r="U103" s="153"/>
      <c r="V103" s="153"/>
      <c r="W103" s="12"/>
      <c r="X103" s="7"/>
      <c r="Y103" s="7"/>
      <c r="Z103" s="7"/>
      <c r="AA103" s="7"/>
      <c r="AB103" s="13"/>
      <c r="AC103" s="13"/>
      <c r="AD103" s="13"/>
    </row>
    <row r="104" ht="14.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3"/>
      <c r="R104" s="7"/>
      <c r="S104" s="7"/>
      <c r="T104" s="7"/>
      <c r="U104" s="153"/>
      <c r="V104" s="153"/>
      <c r="W104" s="12"/>
      <c r="X104" s="7"/>
      <c r="Y104" s="7"/>
      <c r="Z104" s="7"/>
      <c r="AA104" s="7"/>
      <c r="AB104" s="13"/>
      <c r="AC104" s="13"/>
      <c r="AD104" s="13"/>
    </row>
    <row r="105" ht="14.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3"/>
      <c r="R105" s="7"/>
      <c r="S105" s="7"/>
      <c r="T105" s="7"/>
      <c r="U105" s="153"/>
      <c r="V105" s="153"/>
      <c r="W105" s="12"/>
      <c r="X105" s="7"/>
      <c r="Y105" s="7"/>
      <c r="Z105" s="7"/>
      <c r="AA105" s="7"/>
      <c r="AB105" s="13"/>
      <c r="AC105" s="13"/>
      <c r="AD105" s="13"/>
    </row>
    <row r="106" ht="14.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 ht="14.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 ht="14.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 ht="14.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153"/>
      <c r="R644" s="7"/>
      <c r="S644" s="7"/>
      <c r="T644" s="7"/>
      <c r="U644" s="153"/>
      <c r="V644" s="153"/>
      <c r="W644" s="12"/>
      <c r="X644" s="7"/>
      <c r="Y644" s="7"/>
      <c r="Z644" s="7"/>
      <c r="AA644" s="7"/>
      <c r="AB644" s="13"/>
      <c r="AC644" s="13"/>
      <c r="AD644" s="13"/>
    </row>
    <row r="645" ht="14.4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153"/>
      <c r="R645" s="7"/>
      <c r="S645" s="7"/>
      <c r="T645" s="7"/>
      <c r="U645" s="153"/>
      <c r="V645" s="153"/>
      <c r="W645" s="12"/>
      <c r="X645" s="7"/>
      <c r="Y645" s="7"/>
      <c r="Z645" s="7"/>
      <c r="AA645" s="7"/>
      <c r="AB645" s="13"/>
      <c r="AC645" s="13"/>
      <c r="AD645" s="13"/>
    </row>
    <row r="646" ht="14.4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153"/>
      <c r="R646" s="7"/>
      <c r="S646" s="7"/>
      <c r="T646" s="7"/>
      <c r="U646" s="153"/>
      <c r="V646" s="153"/>
      <c r="W646" s="12"/>
      <c r="X646" s="7"/>
      <c r="Y646" s="7"/>
      <c r="Z646" s="7"/>
      <c r="AA646" s="7"/>
      <c r="AB646" s="13"/>
      <c r="AC646" s="13"/>
      <c r="AD646" s="13"/>
    </row>
    <row r="647" ht="14.4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153"/>
      <c r="R647" s="7"/>
      <c r="S647" s="7"/>
      <c r="T647" s="7"/>
      <c r="U647" s="153"/>
      <c r="V647" s="153"/>
      <c r="W647" s="12"/>
      <c r="X647" s="7"/>
      <c r="Y647" s="7"/>
      <c r="Z647" s="7"/>
      <c r="AA647" s="7"/>
      <c r="AB647" s="13"/>
      <c r="AC647" s="13"/>
      <c r="AD647" s="13"/>
    </row>
    <row r="648" ht="14.4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153"/>
      <c r="R648" s="7"/>
      <c r="S648" s="7"/>
      <c r="T648" s="7"/>
      <c r="U648" s="153"/>
      <c r="V648" s="153"/>
      <c r="W648" s="12"/>
      <c r="X648" s="7"/>
      <c r="Y648" s="7"/>
      <c r="Z648" s="7"/>
      <c r="AA648" s="7"/>
      <c r="AB648" s="13"/>
      <c r="AC648" s="13"/>
      <c r="AD648" s="13"/>
    </row>
    <row r="649" ht="14.4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153"/>
      <c r="R649" s="7"/>
      <c r="S649" s="7"/>
      <c r="T649" s="7"/>
      <c r="U649" s="153"/>
      <c r="V649" s="153"/>
      <c r="W649" s="12"/>
      <c r="X649" s="7"/>
      <c r="Y649" s="7"/>
      <c r="Z649" s="7"/>
      <c r="AA649" s="7"/>
      <c r="AB649" s="13"/>
      <c r="AC649" s="13"/>
      <c r="AD649" s="13"/>
    </row>
    <row r="650" ht="14.4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153"/>
      <c r="R650" s="7"/>
      <c r="S650" s="7"/>
      <c r="T650" s="7"/>
      <c r="U650" s="153"/>
      <c r="V650" s="153"/>
      <c r="W650" s="12"/>
      <c r="X650" s="7"/>
      <c r="Y650" s="7"/>
      <c r="Z650" s="7"/>
      <c r="AA650" s="7"/>
      <c r="AB650" s="13"/>
      <c r="AC650" s="13"/>
      <c r="AD650" s="13"/>
    </row>
    <row r="651" ht="14.4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153"/>
      <c r="R651" s="7"/>
      <c r="S651" s="7"/>
      <c r="T651" s="7"/>
      <c r="U651" s="153"/>
      <c r="V651" s="153"/>
      <c r="W651" s="12"/>
      <c r="X651" s="7"/>
      <c r="Y651" s="7"/>
      <c r="Z651" s="7"/>
      <c r="AA651" s="7"/>
      <c r="AB651" s="13"/>
      <c r="AC651" s="13"/>
      <c r="AD651" s="13"/>
    </row>
    <row r="652" ht="14.4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153"/>
      <c r="R652" s="7"/>
      <c r="S652" s="7"/>
      <c r="T652" s="7"/>
      <c r="U652" s="153"/>
      <c r="V652" s="153"/>
      <c r="W652" s="12"/>
      <c r="X652" s="7"/>
      <c r="Y652" s="7"/>
      <c r="Z652" s="7"/>
      <c r="AA652" s="7"/>
      <c r="AB652" s="13"/>
      <c r="AC652" s="13"/>
      <c r="AD652" s="13"/>
    </row>
    <row r="653" ht="14.4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153"/>
      <c r="R653" s="7"/>
      <c r="S653" s="7"/>
      <c r="T653" s="7"/>
      <c r="U653" s="153"/>
      <c r="V653" s="153"/>
      <c r="W653" s="12"/>
      <c r="X653" s="7"/>
      <c r="Y653" s="7"/>
      <c r="Z653" s="7"/>
      <c r="AA653" s="7"/>
      <c r="AB653" s="13"/>
      <c r="AC653" s="13"/>
      <c r="AD653" s="13"/>
    </row>
    <row r="654" ht="14.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153"/>
      <c r="R654" s="7"/>
      <c r="S654" s="7"/>
      <c r="T654" s="7"/>
      <c r="U654" s="153"/>
      <c r="V654" s="153"/>
      <c r="W654" s="12"/>
      <c r="X654" s="7"/>
      <c r="Y654" s="7"/>
      <c r="Z654" s="7"/>
      <c r="AA654" s="7"/>
      <c r="AB654" s="13"/>
      <c r="AC654" s="13"/>
      <c r="AD654" s="13"/>
    </row>
    <row r="655" ht="14.4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153"/>
      <c r="R655" s="7"/>
      <c r="S655" s="7"/>
      <c r="T655" s="7"/>
      <c r="U655" s="153"/>
      <c r="V655" s="153"/>
      <c r="W655" s="12"/>
      <c r="X655" s="7"/>
      <c r="Y655" s="7"/>
      <c r="Z655" s="7"/>
      <c r="AA655" s="7"/>
      <c r="AB655" s="13"/>
      <c r="AC655" s="13"/>
      <c r="AD655" s="13"/>
    </row>
    <row r="656" ht="14.4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7"/>
      <c r="Q656" s="153"/>
      <c r="R656" s="7"/>
      <c r="S656" s="7"/>
      <c r="T656" s="7"/>
      <c r="U656" s="153"/>
      <c r="V656" s="153"/>
      <c r="W656" s="12"/>
      <c r="X656" s="7"/>
      <c r="Y656" s="7"/>
      <c r="Z656" s="7"/>
      <c r="AA656" s="7"/>
      <c r="AB656" s="13"/>
      <c r="AC656" s="13"/>
      <c r="AD656" s="13"/>
    </row>
    <row r="657" ht="14.4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7"/>
      <c r="Q657" s="153"/>
      <c r="R657" s="7"/>
      <c r="S657" s="7"/>
      <c r="T657" s="7"/>
      <c r="U657" s="153"/>
      <c r="V657" s="153"/>
      <c r="W657" s="12"/>
      <c r="X657" s="7"/>
      <c r="Y657" s="7"/>
      <c r="Z657" s="7"/>
      <c r="AA657" s="7"/>
      <c r="AB657" s="13"/>
      <c r="AC657" s="13"/>
      <c r="AD657" s="13"/>
    </row>
    <row r="658" ht="14.4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7"/>
      <c r="Q658" s="153"/>
      <c r="R658" s="7"/>
      <c r="S658" s="7"/>
      <c r="T658" s="7"/>
      <c r="U658" s="153"/>
      <c r="V658" s="153"/>
      <c r="W658" s="12"/>
      <c r="X658" s="7"/>
      <c r="Y658" s="7"/>
      <c r="Z658" s="7"/>
      <c r="AA658" s="7"/>
      <c r="AB658" s="13"/>
      <c r="AC658" s="13"/>
      <c r="AD658" s="13"/>
    </row>
    <row r="659" ht="14.4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7"/>
      <c r="Q659" s="153"/>
      <c r="R659" s="7"/>
      <c r="S659" s="7"/>
      <c r="T659" s="7"/>
      <c r="U659" s="153"/>
      <c r="V659" s="153"/>
      <c r="W659" s="12"/>
      <c r="X659" s="7"/>
      <c r="Y659" s="7"/>
      <c r="Z659" s="7"/>
      <c r="AA659" s="7"/>
      <c r="AB659" s="13"/>
      <c r="AC659" s="13"/>
      <c r="AD659" s="13"/>
    </row>
    <row r="660" ht="14.4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7"/>
      <c r="Q660" s="153"/>
      <c r="R660" s="7"/>
      <c r="S660" s="7"/>
      <c r="T660" s="7"/>
      <c r="U660" s="153"/>
      <c r="V660" s="153"/>
      <c r="W660" s="12"/>
      <c r="X660" s="7"/>
      <c r="Y660" s="7"/>
      <c r="Z660" s="7"/>
      <c r="AA660" s="7"/>
      <c r="AB660" s="13"/>
      <c r="AC660" s="13"/>
      <c r="AD660" s="13"/>
    </row>
    <row r="661" ht="14.4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7"/>
      <c r="Q661" s="153"/>
      <c r="R661" s="7"/>
      <c r="S661" s="7"/>
      <c r="T661" s="7"/>
      <c r="U661" s="153"/>
      <c r="V661" s="153"/>
      <c r="W661" s="12"/>
      <c r="X661" s="7"/>
      <c r="Y661" s="7"/>
      <c r="Z661" s="7"/>
      <c r="AA661" s="7"/>
      <c r="AB661" s="13"/>
      <c r="AC661" s="13"/>
      <c r="AD661" s="13"/>
    </row>
    <row r="662" ht="14.4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7"/>
      <c r="Q662" s="153"/>
      <c r="R662" s="7"/>
      <c r="S662" s="7"/>
      <c r="T662" s="7"/>
      <c r="U662" s="153"/>
      <c r="V662" s="153"/>
      <c r="W662" s="12"/>
      <c r="X662" s="7"/>
      <c r="Y662" s="7"/>
      <c r="Z662" s="7"/>
      <c r="AA662" s="7"/>
      <c r="AB662" s="13"/>
      <c r="AC662" s="13"/>
      <c r="AD662" s="13"/>
    </row>
    <row r="663" ht="14.4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7"/>
      <c r="Q663" s="153"/>
      <c r="R663" s="7"/>
      <c r="S663" s="7"/>
      <c r="T663" s="7"/>
      <c r="U663" s="153"/>
      <c r="V663" s="153"/>
      <c r="W663" s="12"/>
      <c r="X663" s="7"/>
      <c r="Y663" s="7"/>
      <c r="Z663" s="7"/>
      <c r="AA663" s="7"/>
      <c r="AB663" s="13"/>
      <c r="AC663" s="13"/>
      <c r="AD663" s="13"/>
    </row>
    <row r="664" ht="14.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7"/>
      <c r="Q664" s="153"/>
      <c r="R664" s="7"/>
      <c r="S664" s="7"/>
      <c r="T664" s="7"/>
      <c r="U664" s="153"/>
      <c r="V664" s="153"/>
      <c r="W664" s="12"/>
      <c r="X664" s="7"/>
      <c r="Y664" s="7"/>
      <c r="Z664" s="7"/>
      <c r="AA664" s="7"/>
      <c r="AB664" s="13"/>
      <c r="AC664" s="13"/>
      <c r="AD664" s="13"/>
    </row>
    <row r="665" ht="14.4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7"/>
      <c r="Q665" s="153"/>
      <c r="R665" s="7"/>
      <c r="S665" s="7"/>
      <c r="T665" s="7"/>
      <c r="U665" s="153"/>
      <c r="V665" s="153"/>
      <c r="W665" s="12"/>
      <c r="X665" s="7"/>
      <c r="Y665" s="7"/>
      <c r="Z665" s="7"/>
      <c r="AA665" s="7"/>
      <c r="AB665" s="13"/>
      <c r="AC665" s="13"/>
      <c r="AD665" s="13"/>
    </row>
    <row r="666" ht="14.4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7"/>
      <c r="Q666" s="153"/>
      <c r="R666" s="7"/>
      <c r="S666" s="7"/>
      <c r="T666" s="7"/>
      <c r="U666" s="153"/>
      <c r="V666" s="153"/>
      <c r="W666" s="12"/>
      <c r="X666" s="7"/>
      <c r="Y666" s="7"/>
      <c r="Z666" s="7"/>
      <c r="AA666" s="7"/>
      <c r="AB666" s="13"/>
      <c r="AC666" s="13"/>
      <c r="AD666" s="13"/>
    </row>
    <row r="667" ht="14.4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7"/>
      <c r="Q667" s="153"/>
      <c r="R667" s="7"/>
      <c r="S667" s="7"/>
      <c r="T667" s="7"/>
      <c r="U667" s="153"/>
      <c r="V667" s="153"/>
      <c r="W667" s="12"/>
      <c r="X667" s="7"/>
      <c r="Y667" s="7"/>
      <c r="Z667" s="7"/>
      <c r="AA667" s="7"/>
      <c r="AB667" s="13"/>
      <c r="AC667" s="13"/>
      <c r="AD667" s="13"/>
    </row>
    <row r="668" ht="14.4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7"/>
      <c r="Q668" s="153"/>
      <c r="R668" s="7"/>
      <c r="S668" s="7"/>
      <c r="T668" s="7"/>
      <c r="U668" s="153"/>
      <c r="V668" s="153"/>
      <c r="W668" s="12"/>
      <c r="X668" s="7"/>
      <c r="Y668" s="7"/>
      <c r="Z668" s="7"/>
      <c r="AA668" s="7"/>
      <c r="AB668" s="13"/>
      <c r="AC668" s="13"/>
      <c r="AD668" s="13"/>
    </row>
    <row r="669" ht="14.4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7"/>
      <c r="Q669" s="153"/>
      <c r="R669" s="7"/>
      <c r="S669" s="7"/>
      <c r="T669" s="7"/>
      <c r="U669" s="153"/>
      <c r="V669" s="153"/>
      <c r="W669" s="12"/>
      <c r="X669" s="7"/>
      <c r="Y669" s="7"/>
      <c r="Z669" s="7"/>
      <c r="AA669" s="7"/>
      <c r="AB669" s="13"/>
      <c r="AC669" s="13"/>
      <c r="AD669" s="13"/>
    </row>
    <row r="670" ht="14.4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7"/>
      <c r="Q670" s="153"/>
      <c r="R670" s="7"/>
      <c r="S670" s="7"/>
      <c r="T670" s="7"/>
      <c r="U670" s="153"/>
      <c r="V670" s="153"/>
      <c r="W670" s="12"/>
      <c r="X670" s="7"/>
      <c r="Y670" s="7"/>
      <c r="Z670" s="7"/>
      <c r="AA670" s="7"/>
      <c r="AB670" s="13"/>
      <c r="AC670" s="13"/>
      <c r="AD670" s="13"/>
    </row>
    <row r="671" ht="14.4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7"/>
      <c r="Q671" s="153"/>
      <c r="R671" s="7"/>
      <c r="S671" s="7"/>
      <c r="T671" s="7"/>
      <c r="U671" s="153"/>
      <c r="V671" s="153"/>
      <c r="W671" s="12"/>
      <c r="X671" s="7"/>
      <c r="Y671" s="7"/>
      <c r="Z671" s="7"/>
      <c r="AA671" s="7"/>
      <c r="AB671" s="13"/>
      <c r="AC671" s="13"/>
      <c r="AD671" s="13"/>
    </row>
    <row r="672" ht="14.4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7"/>
      <c r="Q672" s="153"/>
      <c r="R672" s="7"/>
      <c r="S672" s="7"/>
      <c r="T672" s="7"/>
      <c r="U672" s="153"/>
      <c r="V672" s="153"/>
      <c r="W672" s="12"/>
      <c r="X672" s="7"/>
      <c r="Y672" s="7"/>
      <c r="Z672" s="7"/>
      <c r="AA672" s="7"/>
      <c r="AB672" s="13"/>
      <c r="AC672" s="13"/>
      <c r="AD672" s="13"/>
    </row>
    <row r="673" ht="14.4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7"/>
      <c r="Q673" s="153"/>
      <c r="R673" s="7"/>
      <c r="S673" s="7"/>
      <c r="T673" s="7"/>
      <c r="U673" s="153"/>
      <c r="V673" s="153"/>
      <c r="W673" s="12"/>
      <c r="X673" s="7"/>
      <c r="Y673" s="7"/>
      <c r="Z673" s="7"/>
      <c r="AA673" s="7"/>
      <c r="AB673" s="13"/>
      <c r="AC673" s="13"/>
      <c r="AD673" s="13"/>
    </row>
    <row r="674" ht="14.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7"/>
      <c r="Q674" s="153"/>
      <c r="R674" s="7"/>
      <c r="S674" s="7"/>
      <c r="T674" s="7"/>
      <c r="U674" s="153"/>
      <c r="V674" s="153"/>
      <c r="W674" s="12"/>
      <c r="X674" s="7"/>
      <c r="Y674" s="7"/>
      <c r="Z674" s="7"/>
      <c r="AA674" s="7"/>
      <c r="AB674" s="13"/>
      <c r="AC674" s="13"/>
      <c r="AD674" s="13"/>
    </row>
    <row r="675" ht="14.4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7"/>
      <c r="Q675" s="153"/>
      <c r="R675" s="7"/>
      <c r="S675" s="7"/>
      <c r="T675" s="7"/>
      <c r="U675" s="153"/>
      <c r="V675" s="153"/>
      <c r="W675" s="12"/>
      <c r="X675" s="7"/>
      <c r="Y675" s="7"/>
      <c r="Z675" s="7"/>
      <c r="AA675" s="7"/>
      <c r="AB675" s="13"/>
      <c r="AC675" s="13"/>
      <c r="AD675" s="13"/>
    </row>
    <row r="676" ht="14.4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7"/>
      <c r="Q676" s="153"/>
      <c r="R676" s="7"/>
      <c r="S676" s="7"/>
      <c r="T676" s="7"/>
      <c r="U676" s="153"/>
      <c r="V676" s="153"/>
      <c r="W676" s="12"/>
      <c r="X676" s="7"/>
      <c r="Y676" s="7"/>
      <c r="Z676" s="7"/>
      <c r="AA676" s="7"/>
      <c r="AB676" s="13"/>
      <c r="AC676" s="13"/>
      <c r="AD676" s="13"/>
    </row>
    <row r="677" ht="14.4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7"/>
      <c r="Q677" s="153"/>
      <c r="R677" s="7"/>
      <c r="S677" s="7"/>
      <c r="T677" s="7"/>
      <c r="U677" s="153"/>
      <c r="V677" s="153"/>
      <c r="W677" s="12"/>
      <c r="X677" s="7"/>
      <c r="Y677" s="7"/>
      <c r="Z677" s="7"/>
      <c r="AA677" s="7"/>
      <c r="AB677" s="13"/>
      <c r="AC677" s="13"/>
      <c r="AD677" s="13"/>
    </row>
    <row r="678" ht="14.4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7"/>
      <c r="Q678" s="153"/>
      <c r="R678" s="7"/>
      <c r="S678" s="7"/>
      <c r="T678" s="7"/>
      <c r="U678" s="153"/>
      <c r="V678" s="153"/>
      <c r="W678" s="12"/>
      <c r="X678" s="7"/>
      <c r="Y678" s="7"/>
      <c r="Z678" s="7"/>
      <c r="AA678" s="7"/>
      <c r="AB678" s="13"/>
      <c r="AC678" s="13"/>
      <c r="AD678" s="13"/>
    </row>
    <row r="679" ht="14.4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7"/>
      <c r="Q679" s="153"/>
      <c r="R679" s="7"/>
      <c r="S679" s="7"/>
      <c r="T679" s="7"/>
      <c r="U679" s="153"/>
      <c r="V679" s="153"/>
      <c r="W679" s="12"/>
      <c r="X679" s="7"/>
      <c r="Y679" s="7"/>
      <c r="Z679" s="7"/>
      <c r="AA679" s="7"/>
      <c r="AB679" s="13"/>
      <c r="AC679" s="13"/>
      <c r="AD679" s="13"/>
    </row>
    <row r="680" ht="14.4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7"/>
      <c r="Q680" s="153"/>
      <c r="R680" s="7"/>
      <c r="S680" s="7"/>
      <c r="T680" s="7"/>
      <c r="U680" s="153"/>
      <c r="V680" s="153"/>
      <c r="W680" s="12"/>
      <c r="X680" s="7"/>
      <c r="Y680" s="7"/>
      <c r="Z680" s="7"/>
      <c r="AA680" s="7"/>
      <c r="AB680" s="13"/>
      <c r="AC680" s="13"/>
      <c r="AD680" s="13"/>
    </row>
    <row r="681" ht="14.4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7"/>
      <c r="Q681" s="153"/>
      <c r="R681" s="7"/>
      <c r="S681" s="7"/>
      <c r="T681" s="7"/>
      <c r="U681" s="153"/>
      <c r="V681" s="153"/>
      <c r="W681" s="12"/>
      <c r="X681" s="7"/>
      <c r="Y681" s="7"/>
      <c r="Z681" s="7"/>
      <c r="AA681" s="7"/>
      <c r="AB681" s="13"/>
      <c r="AC681" s="13"/>
      <c r="AD681" s="13"/>
    </row>
    <row r="682" ht="14.4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7"/>
      <c r="Q682" s="153"/>
      <c r="R682" s="7"/>
      <c r="S682" s="7"/>
      <c r="T682" s="7"/>
      <c r="U682" s="153"/>
      <c r="V682" s="153"/>
      <c r="W682" s="12"/>
      <c r="X682" s="7"/>
      <c r="Y682" s="7"/>
      <c r="Z682" s="7"/>
      <c r="AA682" s="7"/>
      <c r="AB682" s="13"/>
      <c r="AC682" s="13"/>
      <c r="AD682" s="13"/>
    </row>
    <row r="683" ht="14.4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7"/>
      <c r="Q683" s="153"/>
      <c r="R683" s="7"/>
      <c r="S683" s="7"/>
      <c r="T683" s="7"/>
      <c r="U683" s="153"/>
      <c r="V683" s="153"/>
      <c r="W683" s="12"/>
      <c r="X683" s="7"/>
      <c r="Y683" s="7"/>
      <c r="Z683" s="7"/>
      <c r="AA683" s="7"/>
      <c r="AB683" s="13"/>
      <c r="AC683" s="13"/>
      <c r="AD683" s="13"/>
    </row>
    <row r="684" ht="14.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7"/>
      <c r="Q684" s="153"/>
      <c r="R684" s="7"/>
      <c r="S684" s="7"/>
      <c r="T684" s="7"/>
      <c r="U684" s="153"/>
      <c r="V684" s="153"/>
      <c r="W684" s="12"/>
      <c r="X684" s="7"/>
      <c r="Y684" s="7"/>
      <c r="Z684" s="7"/>
      <c r="AA684" s="7"/>
      <c r="AB684" s="13"/>
      <c r="AC684" s="13"/>
      <c r="AD684" s="13"/>
    </row>
    <row r="685" ht="14.4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7"/>
      <c r="Q685" s="153"/>
      <c r="R685" s="7"/>
      <c r="S685" s="7"/>
      <c r="T685" s="7"/>
      <c r="U685" s="153"/>
      <c r="V685" s="153"/>
      <c r="W685" s="12"/>
      <c r="X685" s="7"/>
      <c r="Y685" s="7"/>
      <c r="Z685" s="7"/>
      <c r="AA685" s="7"/>
      <c r="AB685" s="13"/>
      <c r="AC685" s="13"/>
      <c r="AD685" s="13"/>
    </row>
    <row r="686" ht="14.4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7"/>
      <c r="Q686" s="153"/>
      <c r="R686" s="7"/>
      <c r="S686" s="7"/>
      <c r="T686" s="7"/>
      <c r="U686" s="153"/>
      <c r="V686" s="153"/>
      <c r="W686" s="12"/>
      <c r="X686" s="7"/>
      <c r="Y686" s="7"/>
      <c r="Z686" s="7"/>
      <c r="AA686" s="7"/>
      <c r="AB686" s="13"/>
      <c r="AC686" s="13"/>
      <c r="AD686" s="13"/>
    </row>
    <row r="687" ht="14.4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7"/>
      <c r="Q687" s="153"/>
      <c r="R687" s="7"/>
      <c r="S687" s="7"/>
      <c r="T687" s="7"/>
      <c r="U687" s="153"/>
      <c r="V687" s="153"/>
      <c r="W687" s="12"/>
      <c r="X687" s="7"/>
      <c r="Y687" s="7"/>
      <c r="Z687" s="7"/>
      <c r="AA687" s="7"/>
      <c r="AB687" s="13"/>
      <c r="AC687" s="13"/>
      <c r="AD687" s="13"/>
    </row>
    <row r="688" ht="14.4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7"/>
      <c r="Q688" s="153"/>
      <c r="R688" s="7"/>
      <c r="S688" s="7"/>
      <c r="T688" s="7"/>
      <c r="U688" s="153"/>
      <c r="V688" s="153"/>
      <c r="W688" s="12"/>
      <c r="X688" s="7"/>
      <c r="Y688" s="7"/>
      <c r="Z688" s="7"/>
      <c r="AA688" s="7"/>
      <c r="AB688" s="13"/>
      <c r="AC688" s="13"/>
      <c r="AD688" s="13"/>
    </row>
    <row r="689" ht="14.4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7"/>
      <c r="Q689" s="153"/>
      <c r="R689" s="7"/>
      <c r="S689" s="7"/>
      <c r="T689" s="7"/>
      <c r="U689" s="153"/>
      <c r="V689" s="153"/>
      <c r="W689" s="12"/>
      <c r="X689" s="7"/>
      <c r="Y689" s="7"/>
      <c r="Z689" s="7"/>
      <c r="AA689" s="7"/>
      <c r="AB689" s="13"/>
      <c r="AC689" s="13"/>
      <c r="AD689" s="13"/>
    </row>
    <row r="690" ht="14.4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7"/>
      <c r="Q690" s="153"/>
      <c r="R690" s="7"/>
      <c r="S690" s="7"/>
      <c r="T690" s="7"/>
      <c r="U690" s="153"/>
      <c r="V690" s="153"/>
      <c r="W690" s="12"/>
      <c r="X690" s="7"/>
      <c r="Y690" s="7"/>
      <c r="Z690" s="7"/>
      <c r="AA690" s="7"/>
      <c r="AB690" s="13"/>
      <c r="AC690" s="13"/>
      <c r="AD690" s="13"/>
    </row>
    <row r="691" ht="14.4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7"/>
      <c r="Q691" s="153"/>
      <c r="R691" s="7"/>
      <c r="S691" s="7"/>
      <c r="T691" s="7"/>
      <c r="U691" s="153"/>
      <c r="V691" s="153"/>
      <c r="W691" s="12"/>
      <c r="X691" s="7"/>
      <c r="Y691" s="7"/>
      <c r="Z691" s="7"/>
      <c r="AA691" s="7"/>
      <c r="AB691" s="13"/>
      <c r="AC691" s="13"/>
      <c r="AD691" s="13"/>
    </row>
    <row r="692" ht="14.4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7"/>
      <c r="Q692" s="153"/>
      <c r="R692" s="7"/>
      <c r="S692" s="7"/>
      <c r="T692" s="7"/>
      <c r="U692" s="153"/>
      <c r="V692" s="153"/>
      <c r="W692" s="12"/>
      <c r="X692" s="7"/>
      <c r="Y692" s="7"/>
      <c r="Z692" s="7"/>
      <c r="AA692" s="7"/>
      <c r="AB692" s="13"/>
      <c r="AC692" s="13"/>
      <c r="AD692" s="13"/>
    </row>
    <row r="693" ht="14.4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7"/>
      <c r="Q693" s="153"/>
      <c r="R693" s="7"/>
      <c r="S693" s="7"/>
      <c r="T693" s="7"/>
      <c r="U693" s="153"/>
      <c r="V693" s="153"/>
      <c r="W693" s="12"/>
      <c r="X693" s="7"/>
      <c r="Y693" s="7"/>
      <c r="Z693" s="7"/>
      <c r="AA693" s="7"/>
      <c r="AB693" s="13"/>
      <c r="AC693" s="13"/>
      <c r="AD693" s="13"/>
    </row>
    <row r="694" ht="14.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7"/>
      <c r="Q694" s="153"/>
      <c r="R694" s="7"/>
      <c r="S694" s="7"/>
      <c r="T694" s="7"/>
      <c r="U694" s="153"/>
      <c r="V694" s="153"/>
      <c r="W694" s="12"/>
      <c r="X694" s="21"/>
      <c r="Y694" s="7"/>
      <c r="Z694" s="7"/>
      <c r="AA694" s="7"/>
      <c r="AB694" s="13"/>
      <c r="AC694" s="13"/>
      <c r="AD694" s="13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154"/>
      <c r="R815" s="21"/>
      <c r="S815" s="21"/>
      <c r="T815" s="21"/>
      <c r="U815" s="154"/>
      <c r="V815" s="154"/>
      <c r="W815" s="154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154"/>
      <c r="R816" s="21"/>
      <c r="S816" s="21"/>
      <c r="T816" s="21"/>
      <c r="U816" s="154"/>
      <c r="V816" s="154"/>
      <c r="W816" s="154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154"/>
      <c r="R817" s="21"/>
      <c r="S817" s="21"/>
      <c r="T817" s="21"/>
      <c r="U817" s="154"/>
      <c r="V817" s="154"/>
      <c r="W817" s="154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154"/>
      <c r="R818" s="21"/>
      <c r="S818" s="21"/>
      <c r="T818" s="21"/>
      <c r="U818" s="154"/>
      <c r="V818" s="154"/>
      <c r="W818" s="154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154"/>
      <c r="R819" s="21"/>
      <c r="S819" s="21"/>
      <c r="T819" s="21"/>
      <c r="U819" s="154"/>
      <c r="V819" s="154"/>
      <c r="W819" s="154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154"/>
      <c r="R820" s="21"/>
      <c r="S820" s="21"/>
      <c r="T820" s="21"/>
      <c r="U820" s="154"/>
      <c r="V820" s="154"/>
      <c r="W820" s="154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154"/>
      <c r="R821" s="21"/>
      <c r="S821" s="21"/>
      <c r="T821" s="21"/>
      <c r="U821" s="154"/>
      <c r="V821" s="154"/>
      <c r="W821" s="154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154"/>
      <c r="R822" s="21"/>
      <c r="S822" s="21"/>
      <c r="T822" s="21"/>
      <c r="U822" s="154"/>
      <c r="V822" s="154"/>
      <c r="W822" s="154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154"/>
      <c r="R823" s="21"/>
      <c r="S823" s="21"/>
      <c r="T823" s="21"/>
      <c r="U823" s="154"/>
      <c r="V823" s="154"/>
      <c r="W823" s="154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154"/>
      <c r="R824" s="21"/>
      <c r="S824" s="21"/>
      <c r="T824" s="21"/>
      <c r="U824" s="154"/>
      <c r="V824" s="154"/>
      <c r="W824" s="154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154"/>
      <c r="R825" s="21"/>
      <c r="S825" s="21"/>
      <c r="T825" s="21"/>
      <c r="U825" s="154"/>
      <c r="V825" s="154"/>
      <c r="W825" s="154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154"/>
      <c r="R826" s="21"/>
      <c r="S826" s="21"/>
      <c r="T826" s="21"/>
      <c r="U826" s="154"/>
      <c r="V826" s="154"/>
      <c r="W826" s="154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154"/>
      <c r="R827" s="21"/>
      <c r="S827" s="21"/>
      <c r="T827" s="21"/>
      <c r="U827" s="154"/>
      <c r="V827" s="154"/>
      <c r="W827" s="154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154"/>
      <c r="R828" s="21"/>
      <c r="S828" s="21"/>
      <c r="T828" s="21"/>
      <c r="U828" s="154"/>
      <c r="V828" s="154"/>
      <c r="W828" s="154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154"/>
      <c r="R829" s="21"/>
      <c r="S829" s="21"/>
      <c r="T829" s="21"/>
      <c r="U829" s="154"/>
      <c r="V829" s="154"/>
      <c r="W829" s="154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154"/>
      <c r="R830" s="21"/>
      <c r="S830" s="21"/>
      <c r="T830" s="21"/>
      <c r="U830" s="154"/>
      <c r="V830" s="154"/>
      <c r="W830" s="154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154"/>
      <c r="R831" s="21"/>
      <c r="S831" s="21"/>
      <c r="T831" s="21"/>
      <c r="U831" s="154"/>
      <c r="V831" s="154"/>
      <c r="W831" s="154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154"/>
      <c r="R832" s="21"/>
      <c r="S832" s="21"/>
      <c r="T832" s="21"/>
      <c r="U832" s="154"/>
      <c r="V832" s="154"/>
      <c r="W832" s="154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154"/>
      <c r="R833" s="21"/>
      <c r="S833" s="21"/>
      <c r="T833" s="21"/>
      <c r="U833" s="154"/>
      <c r="V833" s="154"/>
      <c r="W833" s="154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154"/>
      <c r="R834" s="21"/>
      <c r="S834" s="21"/>
      <c r="T834" s="21"/>
      <c r="U834" s="154"/>
      <c r="V834" s="154"/>
      <c r="W834" s="154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154"/>
      <c r="R835" s="21"/>
      <c r="S835" s="21"/>
      <c r="T835" s="21"/>
      <c r="U835" s="154"/>
      <c r="V835" s="154"/>
      <c r="W835" s="154"/>
      <c r="X835" s="21"/>
      <c r="Y835" s="21"/>
      <c r="Z835" s="21"/>
      <c r="AA835" s="21"/>
      <c r="AB835" s="21"/>
      <c r="AC835" s="21"/>
      <c r="AD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154"/>
      <c r="R836" s="21"/>
      <c r="S836" s="21"/>
      <c r="T836" s="21"/>
      <c r="U836" s="154"/>
      <c r="V836" s="154"/>
      <c r="W836" s="154"/>
      <c r="X836" s="21"/>
      <c r="Y836" s="21"/>
      <c r="Z836" s="21"/>
      <c r="AA836" s="21"/>
      <c r="AB836" s="21"/>
      <c r="AC836" s="21"/>
      <c r="AD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154"/>
      <c r="R837" s="21"/>
      <c r="S837" s="21"/>
      <c r="T837" s="21"/>
      <c r="U837" s="154"/>
      <c r="V837" s="154"/>
      <c r="W837" s="154"/>
      <c r="X837" s="21"/>
      <c r="Y837" s="21"/>
      <c r="Z837" s="21"/>
      <c r="AA837" s="21"/>
      <c r="AB837" s="21"/>
      <c r="AC837" s="21"/>
      <c r="AD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154"/>
      <c r="R838" s="21"/>
      <c r="S838" s="21"/>
      <c r="T838" s="21"/>
      <c r="U838" s="154"/>
      <c r="V838" s="154"/>
      <c r="W838" s="154"/>
      <c r="X838" s="21"/>
      <c r="Y838" s="21"/>
      <c r="Z838" s="21"/>
      <c r="AA838" s="21"/>
      <c r="AB838" s="21"/>
      <c r="AC838" s="21"/>
      <c r="AD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154"/>
      <c r="R839" s="21"/>
      <c r="S839" s="21"/>
      <c r="T839" s="21"/>
      <c r="U839" s="154"/>
      <c r="V839" s="154"/>
      <c r="W839" s="154"/>
      <c r="X839" s="21"/>
      <c r="Y839" s="21"/>
      <c r="Z839" s="21"/>
      <c r="AA839" s="21"/>
      <c r="AB839" s="21"/>
      <c r="AC839" s="21"/>
      <c r="AD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154"/>
      <c r="R840" s="21"/>
      <c r="S840" s="21"/>
      <c r="T840" s="21"/>
      <c r="U840" s="154"/>
      <c r="V840" s="154"/>
      <c r="W840" s="154"/>
      <c r="X840" s="21"/>
      <c r="Y840" s="21"/>
      <c r="Z840" s="21"/>
      <c r="AA840" s="21"/>
      <c r="AB840" s="21"/>
      <c r="AC840" s="21"/>
      <c r="AD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154"/>
      <c r="R841" s="21"/>
      <c r="S841" s="21"/>
      <c r="T841" s="21"/>
      <c r="U841" s="154"/>
      <c r="V841" s="154"/>
      <c r="W841" s="154"/>
      <c r="X841" s="21"/>
      <c r="Y841" s="21"/>
      <c r="Z841" s="21"/>
      <c r="AA841" s="21"/>
      <c r="AB841" s="21"/>
      <c r="AC841" s="21"/>
      <c r="AD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154"/>
      <c r="R842" s="21"/>
      <c r="S842" s="21"/>
      <c r="T842" s="21"/>
      <c r="U842" s="154"/>
      <c r="V842" s="154"/>
      <c r="W842" s="154"/>
      <c r="X842" s="21"/>
      <c r="Y842" s="21"/>
      <c r="Z842" s="21"/>
      <c r="AA842" s="21"/>
      <c r="AB842" s="21"/>
      <c r="AC842" s="21"/>
      <c r="AD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154"/>
      <c r="R843" s="21"/>
      <c r="S843" s="21"/>
      <c r="T843" s="21"/>
      <c r="U843" s="154"/>
      <c r="V843" s="154"/>
      <c r="W843" s="154"/>
      <c r="X843" s="21"/>
      <c r="Y843" s="21"/>
      <c r="Z843" s="21"/>
      <c r="AA843" s="21"/>
      <c r="AB843" s="21"/>
      <c r="AC843" s="21"/>
      <c r="AD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154"/>
      <c r="R844" s="21"/>
      <c r="S844" s="21"/>
      <c r="T844" s="21"/>
      <c r="U844" s="154"/>
      <c r="V844" s="154"/>
      <c r="W844" s="154"/>
      <c r="X844" s="21"/>
      <c r="Y844" s="21"/>
      <c r="Z844" s="21"/>
      <c r="AA844" s="21"/>
      <c r="AB844" s="21"/>
      <c r="AC844" s="21"/>
      <c r="AD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154"/>
      <c r="R845" s="21"/>
      <c r="S845" s="21"/>
      <c r="T845" s="21"/>
      <c r="U845" s="154"/>
      <c r="V845" s="154"/>
      <c r="W845" s="154"/>
      <c r="X845" s="21"/>
      <c r="Y845" s="21"/>
      <c r="Z845" s="21"/>
      <c r="AA845" s="21"/>
      <c r="AB845" s="21"/>
      <c r="AC845" s="21"/>
      <c r="AD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154"/>
      <c r="R846" s="21"/>
      <c r="S846" s="21"/>
      <c r="T846" s="21"/>
      <c r="U846" s="154"/>
      <c r="V846" s="154"/>
      <c r="W846" s="154"/>
      <c r="X846" s="21"/>
      <c r="Y846" s="21"/>
      <c r="Z846" s="21"/>
      <c r="AA846" s="21"/>
      <c r="AB846" s="21"/>
      <c r="AC846" s="21"/>
      <c r="AD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154"/>
      <c r="R847" s="21"/>
      <c r="S847" s="21"/>
      <c r="T847" s="21"/>
      <c r="U847" s="154"/>
      <c r="V847" s="154"/>
      <c r="W847" s="154"/>
      <c r="X847" s="21"/>
      <c r="Y847" s="21"/>
      <c r="Z847" s="21"/>
      <c r="AA847" s="21"/>
      <c r="AB847" s="21"/>
      <c r="AC847" s="21"/>
      <c r="AD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154"/>
      <c r="R848" s="21"/>
      <c r="S848" s="21"/>
      <c r="T848" s="21"/>
      <c r="U848" s="154"/>
      <c r="V848" s="154"/>
      <c r="W848" s="154"/>
      <c r="X848" s="21"/>
      <c r="Y848" s="21"/>
      <c r="Z848" s="21"/>
      <c r="AA848" s="21"/>
      <c r="AB848" s="21"/>
      <c r="AC848" s="21"/>
      <c r="AD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154"/>
      <c r="R849" s="21"/>
      <c r="S849" s="21"/>
      <c r="T849" s="21"/>
      <c r="U849" s="154"/>
      <c r="V849" s="154"/>
      <c r="W849" s="154"/>
      <c r="X849" s="21"/>
      <c r="Y849" s="21"/>
      <c r="Z849" s="21"/>
      <c r="AA849" s="21"/>
      <c r="AB849" s="21"/>
      <c r="AC849" s="21"/>
      <c r="AD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154"/>
      <c r="R850" s="21"/>
      <c r="S850" s="21"/>
      <c r="T850" s="21"/>
      <c r="U850" s="154"/>
      <c r="V850" s="154"/>
      <c r="W850" s="154"/>
      <c r="X850" s="21"/>
      <c r="Y850" s="21"/>
      <c r="Z850" s="21"/>
      <c r="AA850" s="21"/>
      <c r="AB850" s="21"/>
      <c r="AC850" s="21"/>
      <c r="AD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154"/>
      <c r="R851" s="21"/>
      <c r="S851" s="21"/>
      <c r="T851" s="21"/>
      <c r="U851" s="154"/>
      <c r="V851" s="154"/>
      <c r="W851" s="154"/>
      <c r="X851" s="21"/>
      <c r="Y851" s="21"/>
      <c r="Z851" s="21"/>
      <c r="AA851" s="21"/>
      <c r="AB851" s="21"/>
      <c r="AC851" s="21"/>
      <c r="AD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154"/>
      <c r="R852" s="21"/>
      <c r="S852" s="21"/>
      <c r="T852" s="21"/>
      <c r="U852" s="154"/>
      <c r="V852" s="154"/>
      <c r="W852" s="154"/>
      <c r="X852" s="21"/>
      <c r="Y852" s="21"/>
      <c r="Z852" s="21"/>
      <c r="AA852" s="21"/>
      <c r="AB852" s="21"/>
      <c r="AC852" s="21"/>
      <c r="AD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154"/>
      <c r="R853" s="21"/>
      <c r="S853" s="21"/>
      <c r="T853" s="21"/>
      <c r="U853" s="154"/>
      <c r="V853" s="154"/>
      <c r="W853" s="154"/>
      <c r="X853" s="21"/>
      <c r="Y853" s="21"/>
      <c r="Z853" s="21"/>
      <c r="AA853" s="21"/>
      <c r="AB853" s="21"/>
      <c r="AC853" s="21"/>
      <c r="AD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154"/>
      <c r="R854" s="21"/>
      <c r="S854" s="21"/>
      <c r="T854" s="21"/>
      <c r="U854" s="154"/>
      <c r="V854" s="154"/>
      <c r="W854" s="154"/>
      <c r="X854" s="21"/>
      <c r="Y854" s="21"/>
      <c r="Z854" s="21"/>
      <c r="AA854" s="21"/>
      <c r="AB854" s="21"/>
      <c r="AC854" s="21"/>
      <c r="AD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154"/>
      <c r="R855" s="21"/>
      <c r="S855" s="21"/>
      <c r="T855" s="21"/>
      <c r="U855" s="154"/>
      <c r="V855" s="154"/>
      <c r="W855" s="154"/>
      <c r="X855" s="21"/>
      <c r="Y855" s="21"/>
      <c r="Z855" s="21"/>
      <c r="AA855" s="21"/>
      <c r="AB855" s="21"/>
      <c r="AC855" s="21"/>
      <c r="AD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154"/>
      <c r="R856" s="21"/>
      <c r="S856" s="21"/>
      <c r="T856" s="21"/>
      <c r="U856" s="154"/>
      <c r="V856" s="154"/>
      <c r="W856" s="154"/>
      <c r="X856" s="21"/>
      <c r="Y856" s="21"/>
      <c r="Z856" s="21"/>
      <c r="AA856" s="21"/>
      <c r="AB856" s="21"/>
      <c r="AC856" s="21"/>
      <c r="AD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154"/>
      <c r="R857" s="21"/>
      <c r="S857" s="21"/>
      <c r="T857" s="21"/>
      <c r="U857" s="154"/>
      <c r="V857" s="154"/>
      <c r="W857" s="154"/>
      <c r="X857" s="21"/>
      <c r="Y857" s="21"/>
      <c r="Z857" s="21"/>
      <c r="AA857" s="21"/>
      <c r="AB857" s="21"/>
      <c r="AC857" s="21"/>
      <c r="AD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154"/>
      <c r="R858" s="21"/>
      <c r="S858" s="21"/>
      <c r="T858" s="21"/>
      <c r="U858" s="154"/>
      <c r="V858" s="154"/>
      <c r="W858" s="154"/>
      <c r="X858" s="21"/>
      <c r="Y858" s="21"/>
      <c r="Z858" s="21"/>
      <c r="AA858" s="21"/>
      <c r="AB858" s="21"/>
      <c r="AC858" s="21"/>
      <c r="AD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154"/>
      <c r="R859" s="21"/>
      <c r="S859" s="21"/>
      <c r="T859" s="21"/>
      <c r="U859" s="154"/>
      <c r="V859" s="154"/>
      <c r="W859" s="154"/>
      <c r="X859" s="21"/>
      <c r="Y859" s="21"/>
      <c r="Z859" s="21"/>
      <c r="AA859" s="21"/>
      <c r="AB859" s="21"/>
      <c r="AC859" s="21"/>
      <c r="AD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154"/>
      <c r="R860" s="21"/>
      <c r="S860" s="21"/>
      <c r="T860" s="21"/>
      <c r="U860" s="154"/>
      <c r="V860" s="154"/>
      <c r="W860" s="154"/>
      <c r="X860" s="21"/>
      <c r="Y860" s="21"/>
      <c r="Z860" s="21"/>
      <c r="AA860" s="21"/>
      <c r="AB860" s="21"/>
      <c r="AC860" s="21"/>
      <c r="AD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154"/>
      <c r="R861" s="21"/>
      <c r="S861" s="21"/>
      <c r="T861" s="21"/>
      <c r="U861" s="154"/>
      <c r="V861" s="154"/>
      <c r="W861" s="154"/>
      <c r="X861" s="21"/>
      <c r="Y861" s="21"/>
      <c r="Z861" s="21"/>
      <c r="AA861" s="21"/>
      <c r="AB861" s="21"/>
      <c r="AC861" s="21"/>
      <c r="AD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154"/>
      <c r="R862" s="21"/>
      <c r="S862" s="21"/>
      <c r="T862" s="21"/>
      <c r="U862" s="154"/>
      <c r="V862" s="154"/>
      <c r="W862" s="154"/>
      <c r="X862" s="21"/>
      <c r="Y862" s="21"/>
      <c r="Z862" s="21"/>
      <c r="AA862" s="21"/>
      <c r="AB862" s="21"/>
      <c r="AC862" s="21"/>
      <c r="AD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154"/>
      <c r="R863" s="21"/>
      <c r="S863" s="21"/>
      <c r="T863" s="21"/>
      <c r="U863" s="154"/>
      <c r="V863" s="154"/>
      <c r="W863" s="154"/>
      <c r="X863" s="21"/>
      <c r="Y863" s="21"/>
      <c r="Z863" s="21"/>
      <c r="AA863" s="21"/>
      <c r="AB863" s="21"/>
      <c r="AC863" s="21"/>
      <c r="AD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154"/>
      <c r="R864" s="21"/>
      <c r="S864" s="21"/>
      <c r="T864" s="21"/>
      <c r="U864" s="154"/>
      <c r="V864" s="154"/>
      <c r="W864" s="154"/>
      <c r="X864" s="21"/>
      <c r="Y864" s="21"/>
      <c r="Z864" s="21"/>
      <c r="AA864" s="21"/>
      <c r="AB864" s="21"/>
      <c r="AC864" s="21"/>
      <c r="AD864" s="21"/>
    </row>
  </sheetData>
  <mergeCells count="14">
    <mergeCell ref="F1:J1"/>
    <mergeCell ref="L1:N5"/>
    <mergeCell ref="F2:K5"/>
    <mergeCell ref="N6:P7"/>
    <mergeCell ref="F7:J7"/>
    <mergeCell ref="A9:Q9"/>
    <mergeCell ref="U9:V9"/>
    <mergeCell ref="P10:Q10"/>
    <mergeCell ref="A27:Q27"/>
    <mergeCell ref="P28:Q28"/>
    <mergeCell ref="A45:Q45"/>
    <mergeCell ref="P46:Q46"/>
    <mergeCell ref="P64:Q64"/>
    <mergeCell ref="P82:Q8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9" zoomScale="100" workbookViewId="0">
      <selection activeCell="N100" activeCellId="0" sqref="N100"/>
    </sheetView>
  </sheetViews>
  <sheetFormatPr defaultRowHeight="13.5"/>
  <cols>
    <col customWidth="1" min="1" max="1" style="787" width="12.6640625"/>
    <col customWidth="1" min="2" max="2" style="788" width="12"/>
    <col customWidth="1" min="3" max="3" style="788" width="4.77734375"/>
    <col customWidth="1" min="4" max="4" style="788" width="12.44140625"/>
    <col customWidth="1" min="5" max="5" style="788" width="4.77734375"/>
    <col customWidth="1" min="6" max="6" style="788" width="11.77734375"/>
    <col customWidth="1" min="7" max="7" style="788" width="4.77734375"/>
    <col customWidth="1" min="8" max="8" style="788" width="13.109375"/>
    <col customWidth="1" min="9" max="9" style="788" width="4.77734375"/>
    <col customWidth="1" min="10" max="10" style="788" width="11.88671875"/>
    <col customWidth="1" min="11" max="11" style="788" width="4.77734375"/>
    <col customWidth="1" min="12" max="12" style="788" width="12.6640625"/>
    <col customWidth="1" min="13" max="13" style="788" width="4.77734375"/>
    <col customWidth="1" min="14" max="14" style="788" width="13.44140625"/>
    <col customWidth="1" min="15" max="15" style="788" width="4.77734375"/>
    <col min="16" max="17" style="787" width="8.88671875"/>
    <col customWidth="1" min="18" max="18" style="787" width="14.6640625"/>
    <col min="19" max="20" style="788" width="8.88671875"/>
    <col min="21" max="16384" style="787" width="8.88671875"/>
  </cols>
  <sheetData>
    <row r="1" ht="14.25">
      <c r="A1" s="789"/>
      <c r="B1" s="790">
        <v>44136</v>
      </c>
      <c r="C1" s="791">
        <v>8</v>
      </c>
      <c r="D1" s="792">
        <v>44136</v>
      </c>
      <c r="E1" s="793">
        <v>8</v>
      </c>
      <c r="F1" s="794" t="s">
        <v>2</v>
      </c>
      <c r="G1" s="795"/>
      <c r="H1" s="795"/>
      <c r="I1" s="795"/>
      <c r="J1" s="795"/>
      <c r="K1" s="796"/>
      <c r="L1" s="797"/>
      <c r="M1" s="797"/>
      <c r="N1" s="797"/>
      <c r="O1" s="797"/>
      <c r="P1" s="798"/>
      <c r="Q1" s="798"/>
      <c r="R1" s="798"/>
      <c r="S1" s="797"/>
      <c r="T1" s="797"/>
      <c r="U1" s="798"/>
      <c r="V1" s="798"/>
      <c r="W1" s="798"/>
      <c r="X1" s="799"/>
      <c r="Y1" s="799"/>
    </row>
    <row r="2" ht="14.25">
      <c r="A2" s="800"/>
      <c r="B2" s="801">
        <v>43252</v>
      </c>
      <c r="C2" s="801">
        <v>12</v>
      </c>
      <c r="D2" s="802">
        <v>45826</v>
      </c>
      <c r="E2" s="802">
        <v>12</v>
      </c>
      <c r="F2" s="794" t="s">
        <v>6</v>
      </c>
      <c r="G2" s="795"/>
      <c r="H2" s="795"/>
      <c r="I2" s="795"/>
      <c r="J2" s="795"/>
      <c r="K2" s="803"/>
      <c r="L2" s="797"/>
      <c r="M2" s="797"/>
      <c r="N2" s="797"/>
      <c r="O2" s="797"/>
      <c r="P2" s="798"/>
      <c r="Q2" s="798"/>
      <c r="R2" s="798"/>
      <c r="S2" s="797"/>
      <c r="T2" s="797"/>
      <c r="U2" s="798"/>
      <c r="V2" s="798"/>
      <c r="W2" s="798"/>
      <c r="X2" s="799"/>
      <c r="Y2" s="799"/>
    </row>
    <row r="3" ht="14.25">
      <c r="A3" s="800"/>
      <c r="B3" s="801">
        <v>44044</v>
      </c>
      <c r="C3" s="801">
        <v>12</v>
      </c>
      <c r="D3" s="802">
        <v>45889</v>
      </c>
      <c r="E3" s="802">
        <v>12</v>
      </c>
      <c r="F3" s="794"/>
      <c r="G3" s="795"/>
      <c r="H3" s="795"/>
      <c r="I3" s="795"/>
      <c r="J3" s="795"/>
      <c r="K3" s="803"/>
      <c r="L3" s="797"/>
      <c r="M3" s="797"/>
      <c r="N3" s="797"/>
      <c r="O3" s="797"/>
      <c r="P3" s="798"/>
      <c r="Q3" s="798"/>
      <c r="R3" s="798"/>
      <c r="S3" s="797"/>
      <c r="T3" s="797"/>
      <c r="U3" s="798"/>
      <c r="V3" s="798"/>
      <c r="W3" s="798"/>
      <c r="X3" s="799"/>
      <c r="Y3" s="799"/>
    </row>
    <row r="4" ht="14.25">
      <c r="A4" s="800"/>
      <c r="B4" s="801">
        <v>44440</v>
      </c>
      <c r="C4" s="801">
        <v>12</v>
      </c>
      <c r="D4" s="802">
        <v>45921</v>
      </c>
      <c r="E4" s="802">
        <v>12</v>
      </c>
      <c r="F4" s="794"/>
      <c r="G4" s="795"/>
      <c r="H4" s="795"/>
      <c r="I4" s="795"/>
      <c r="J4" s="795"/>
      <c r="K4" s="803"/>
      <c r="L4" s="797"/>
      <c r="M4" s="797"/>
      <c r="N4" s="797"/>
      <c r="O4" s="797"/>
      <c r="P4" s="798"/>
      <c r="Q4" s="798"/>
      <c r="R4" s="798"/>
      <c r="S4" s="797"/>
      <c r="T4" s="797"/>
      <c r="U4" s="798"/>
      <c r="V4" s="798"/>
      <c r="W4" s="798"/>
      <c r="X4" s="799"/>
      <c r="Y4" s="799"/>
    </row>
    <row r="5" ht="14.25">
      <c r="A5" s="800"/>
      <c r="B5" s="801">
        <v>44835</v>
      </c>
      <c r="C5" s="801">
        <v>12</v>
      </c>
      <c r="D5" s="802">
        <v>45952</v>
      </c>
      <c r="E5" s="802">
        <v>12</v>
      </c>
      <c r="F5" s="794"/>
      <c r="G5" s="795"/>
      <c r="H5" s="795"/>
      <c r="I5" s="795"/>
      <c r="J5" s="795"/>
      <c r="K5" s="803"/>
      <c r="L5" s="797"/>
      <c r="M5" s="797"/>
      <c r="N5" s="797"/>
      <c r="O5" s="797"/>
      <c r="P5" s="798"/>
      <c r="Q5" s="798"/>
      <c r="R5" s="798"/>
      <c r="S5" s="797"/>
      <c r="T5" s="797"/>
      <c r="U5" s="798"/>
      <c r="V5" s="798"/>
      <c r="W5" s="798"/>
      <c r="X5" s="799"/>
      <c r="Y5" s="799"/>
    </row>
    <row r="6" ht="15">
      <c r="A6" s="804"/>
      <c r="B6" s="805"/>
      <c r="C6" s="805"/>
      <c r="D6" s="806"/>
      <c r="E6" s="806"/>
      <c r="F6" s="795"/>
      <c r="G6" s="795"/>
      <c r="H6" s="795"/>
      <c r="I6" s="795"/>
      <c r="J6" s="795"/>
      <c r="K6" s="807"/>
      <c r="L6" s="797"/>
      <c r="M6" s="797"/>
      <c r="N6" s="797"/>
      <c r="O6" s="797"/>
      <c r="P6" s="798"/>
      <c r="Q6" s="798"/>
      <c r="R6" s="798"/>
      <c r="S6" s="797"/>
      <c r="T6" s="797"/>
      <c r="U6" s="798"/>
      <c r="V6" s="798"/>
      <c r="W6" s="798"/>
      <c r="X6" s="799"/>
      <c r="Y6" s="799"/>
    </row>
    <row r="7" ht="15">
      <c r="A7" s="799"/>
      <c r="B7" s="807"/>
      <c r="C7" s="796"/>
      <c r="D7" s="797"/>
      <c r="E7" s="797"/>
      <c r="F7" s="797"/>
      <c r="G7" s="797"/>
      <c r="H7" s="797"/>
      <c r="I7" s="797"/>
      <c r="J7" s="797"/>
      <c r="K7" s="807"/>
      <c r="L7" s="797"/>
      <c r="M7" s="797"/>
      <c r="N7" s="797"/>
      <c r="O7" s="797"/>
      <c r="P7" s="798"/>
      <c r="Q7" s="798"/>
      <c r="R7" s="798"/>
      <c r="S7" s="797"/>
      <c r="T7" s="797"/>
      <c r="U7" s="798"/>
      <c r="V7" s="798"/>
      <c r="W7" s="798"/>
      <c r="X7" s="799"/>
      <c r="Y7" s="799"/>
    </row>
    <row r="8" ht="17.25">
      <c r="A8" s="808"/>
      <c r="B8" s="809"/>
      <c r="C8" s="809"/>
      <c r="D8" s="810"/>
      <c r="E8" s="810"/>
      <c r="F8" s="809"/>
      <c r="G8" s="809"/>
      <c r="H8" s="811" t="s">
        <v>13</v>
      </c>
      <c r="I8" s="811"/>
      <c r="J8" s="811"/>
      <c r="K8" s="811"/>
      <c r="L8" s="811"/>
      <c r="M8" s="809"/>
      <c r="N8" s="809"/>
      <c r="O8" s="809"/>
      <c r="P8" s="808"/>
      <c r="Q8" s="812"/>
      <c r="R8" s="813"/>
      <c r="S8" s="809"/>
      <c r="T8" s="809"/>
      <c r="U8" s="812"/>
      <c r="V8" s="812"/>
      <c r="W8" s="814"/>
      <c r="X8" s="799"/>
      <c r="Y8" s="799"/>
    </row>
    <row r="9" ht="18.75">
      <c r="A9" s="815" t="s">
        <v>14</v>
      </c>
      <c r="B9" s="816"/>
      <c r="C9" s="816"/>
      <c r="D9" s="816"/>
      <c r="E9" s="816"/>
      <c r="F9" s="816"/>
      <c r="G9" s="816"/>
      <c r="H9" s="816"/>
      <c r="I9" s="816"/>
      <c r="J9" s="816"/>
      <c r="K9" s="816"/>
      <c r="L9" s="816"/>
      <c r="M9" s="816"/>
      <c r="N9" s="816"/>
      <c r="O9" s="816"/>
      <c r="P9" s="816"/>
      <c r="Q9" s="817"/>
      <c r="R9" s="818" t="s">
        <v>15</v>
      </c>
      <c r="S9" s="819"/>
      <c r="T9" s="819"/>
      <c r="U9" s="820" t="s">
        <v>16</v>
      </c>
      <c r="V9" s="821"/>
      <c r="W9" s="822"/>
      <c r="X9" s="799"/>
      <c r="Y9" s="799"/>
    </row>
    <row r="10" ht="14.25">
      <c r="A10" s="823"/>
      <c r="B10" s="824" t="s">
        <v>17</v>
      </c>
      <c r="C10" s="825"/>
      <c r="D10" s="824" t="s">
        <v>18</v>
      </c>
      <c r="E10" s="825"/>
      <c r="F10" s="824" t="s">
        <v>19</v>
      </c>
      <c r="G10" s="825"/>
      <c r="H10" s="824" t="s">
        <v>20</v>
      </c>
      <c r="I10" s="825"/>
      <c r="J10" s="826" t="s">
        <v>21</v>
      </c>
      <c r="K10" s="827"/>
      <c r="L10" s="824" t="s">
        <v>22</v>
      </c>
      <c r="M10" s="825"/>
      <c r="N10" s="824" t="s">
        <v>23</v>
      </c>
      <c r="O10" s="825"/>
      <c r="P10" s="828" t="s">
        <v>24</v>
      </c>
      <c r="Q10" s="829"/>
      <c r="R10" s="823">
        <v>176</v>
      </c>
      <c r="S10" s="830"/>
      <c r="T10" s="830"/>
      <c r="U10" s="823">
        <v>176</v>
      </c>
      <c r="V10" s="823"/>
      <c r="W10" s="823"/>
      <c r="X10" s="831"/>
      <c r="Y10" s="799"/>
    </row>
    <row r="11" ht="14.25">
      <c r="A11" s="832"/>
      <c r="B11" s="833" t="s">
        <v>90</v>
      </c>
      <c r="C11" s="833"/>
      <c r="D11" s="833" t="s">
        <v>91</v>
      </c>
      <c r="E11" s="833"/>
      <c r="F11" s="833" t="s">
        <v>92</v>
      </c>
      <c r="G11" s="833"/>
      <c r="H11" s="833" t="s">
        <v>93</v>
      </c>
      <c r="I11" s="833"/>
      <c r="J11" s="833" t="s">
        <v>94</v>
      </c>
      <c r="K11" s="833"/>
      <c r="L11" s="833" t="s">
        <v>95</v>
      </c>
      <c r="M11" s="833"/>
      <c r="N11" s="833" t="s">
        <v>96</v>
      </c>
      <c r="O11" s="834"/>
      <c r="P11" s="835" t="s">
        <v>25</v>
      </c>
      <c r="Q11" s="835" t="s">
        <v>26</v>
      </c>
      <c r="R11" s="823"/>
      <c r="S11" s="830"/>
      <c r="T11" s="830"/>
      <c r="U11" s="836" t="s">
        <v>27</v>
      </c>
      <c r="V11" s="837" t="s">
        <v>28</v>
      </c>
      <c r="W11" s="832" t="s">
        <v>29</v>
      </c>
      <c r="X11" s="838" t="s">
        <v>30</v>
      </c>
      <c r="Y11" s="799"/>
    </row>
    <row r="12" ht="14.25">
      <c r="A12" s="839" t="s">
        <v>31</v>
      </c>
      <c r="B12" s="840" t="s">
        <v>32</v>
      </c>
      <c r="C12" s="840" t="s">
        <v>33</v>
      </c>
      <c r="D12" s="840" t="s">
        <v>32</v>
      </c>
      <c r="E12" s="840" t="s">
        <v>33</v>
      </c>
      <c r="F12" s="840" t="s">
        <v>32</v>
      </c>
      <c r="G12" s="840" t="s">
        <v>33</v>
      </c>
      <c r="H12" s="840" t="s">
        <v>32</v>
      </c>
      <c r="I12" s="840" t="s">
        <v>33</v>
      </c>
      <c r="J12" s="840" t="s">
        <v>32</v>
      </c>
      <c r="K12" s="840" t="s">
        <v>33</v>
      </c>
      <c r="L12" s="841"/>
      <c r="M12" s="841"/>
      <c r="N12" s="841"/>
      <c r="O12" s="841"/>
      <c r="P12" s="842">
        <f t="shared" ref="P12:P75" si="169">C12+E12+G12+I12+K12+M12+O12</f>
        <v>40</v>
      </c>
      <c r="Q12" s="832">
        <f>R10-P12</f>
        <v>136</v>
      </c>
      <c r="R12" s="843" t="s">
        <v>31</v>
      </c>
      <c r="S12" s="844" t="s">
        <v>10</v>
      </c>
      <c r="T12" s="845" t="s">
        <v>9</v>
      </c>
      <c r="U12" s="832">
        <v>0</v>
      </c>
      <c r="V12" s="832">
        <v>0</v>
      </c>
      <c r="W12" s="832"/>
      <c r="X12" s="846" t="s">
        <v>34</v>
      </c>
      <c r="Y12" s="847"/>
    </row>
    <row r="13" ht="14.25">
      <c r="A13" s="848" t="s">
        <v>35</v>
      </c>
      <c r="B13" s="840" t="s">
        <v>32</v>
      </c>
      <c r="C13" s="840" t="s">
        <v>33</v>
      </c>
      <c r="D13" s="840" t="s">
        <v>32</v>
      </c>
      <c r="E13" s="840" t="s">
        <v>33</v>
      </c>
      <c r="F13" s="840" t="s">
        <v>32</v>
      </c>
      <c r="G13" s="840" t="s">
        <v>33</v>
      </c>
      <c r="H13" s="840" t="s">
        <v>32</v>
      </c>
      <c r="I13" s="840" t="s">
        <v>33</v>
      </c>
      <c r="J13" s="840" t="s">
        <v>32</v>
      </c>
      <c r="K13" s="840" t="s">
        <v>33</v>
      </c>
      <c r="L13" s="841"/>
      <c r="M13" s="841"/>
      <c r="N13" s="841"/>
      <c r="O13" s="841"/>
      <c r="P13" s="842">
        <f t="shared" si="169"/>
        <v>40</v>
      </c>
      <c r="Q13" s="832">
        <f>R10-P13</f>
        <v>136</v>
      </c>
      <c r="R13" s="843" t="s">
        <v>35</v>
      </c>
      <c r="S13" s="849" t="s">
        <v>10</v>
      </c>
      <c r="T13" s="850" t="s">
        <v>9</v>
      </c>
      <c r="U13" s="832">
        <v>0</v>
      </c>
      <c r="V13" s="832">
        <v>0</v>
      </c>
      <c r="W13" s="832"/>
      <c r="X13" s="846" t="s">
        <v>34</v>
      </c>
      <c r="Y13" s="847"/>
    </row>
    <row r="14" ht="14.25">
      <c r="A14" s="839" t="s">
        <v>36</v>
      </c>
      <c r="B14" s="849" t="s">
        <v>37</v>
      </c>
      <c r="C14" s="849" t="s">
        <v>33</v>
      </c>
      <c r="D14" s="849" t="s">
        <v>37</v>
      </c>
      <c r="E14" s="849" t="s">
        <v>33</v>
      </c>
      <c r="F14" s="849" t="s">
        <v>37</v>
      </c>
      <c r="G14" s="849" t="s">
        <v>33</v>
      </c>
      <c r="H14" s="849" t="s">
        <v>37</v>
      </c>
      <c r="I14" s="849" t="s">
        <v>33</v>
      </c>
      <c r="J14" s="849" t="s">
        <v>37</v>
      </c>
      <c r="K14" s="849" t="s">
        <v>33</v>
      </c>
      <c r="L14" s="841"/>
      <c r="M14" s="841"/>
      <c r="N14" s="841"/>
      <c r="O14" s="841"/>
      <c r="P14" s="842">
        <f t="shared" si="169"/>
        <v>40</v>
      </c>
      <c r="Q14" s="832">
        <f>R10-P14</f>
        <v>136</v>
      </c>
      <c r="R14" s="843" t="s">
        <v>36</v>
      </c>
      <c r="S14" s="849" t="s">
        <v>10</v>
      </c>
      <c r="T14" s="850" t="s">
        <v>9</v>
      </c>
      <c r="U14" s="832">
        <v>0</v>
      </c>
      <c r="V14" s="832">
        <v>0</v>
      </c>
      <c r="W14" s="832"/>
      <c r="X14" s="846" t="s">
        <v>38</v>
      </c>
      <c r="Y14" s="847"/>
    </row>
    <row r="15" ht="14.25">
      <c r="A15" s="839" t="s">
        <v>39</v>
      </c>
      <c r="B15" s="840" t="s">
        <v>32</v>
      </c>
      <c r="C15" s="840" t="s">
        <v>33</v>
      </c>
      <c r="D15" s="840" t="s">
        <v>32</v>
      </c>
      <c r="E15" s="840" t="s">
        <v>33</v>
      </c>
      <c r="F15" s="840" t="s">
        <v>32</v>
      </c>
      <c r="G15" s="840" t="s">
        <v>33</v>
      </c>
      <c r="H15" s="840" t="s">
        <v>32</v>
      </c>
      <c r="I15" s="840" t="s">
        <v>33</v>
      </c>
      <c r="J15" s="840" t="s">
        <v>32</v>
      </c>
      <c r="K15" s="840" t="s">
        <v>33</v>
      </c>
      <c r="L15" s="841"/>
      <c r="M15" s="841"/>
      <c r="N15" s="841"/>
      <c r="O15" s="841"/>
      <c r="P15" s="842">
        <f t="shared" si="169"/>
        <v>40</v>
      </c>
      <c r="Q15" s="832">
        <f>R10-P15</f>
        <v>136</v>
      </c>
      <c r="R15" s="843" t="s">
        <v>39</v>
      </c>
      <c r="S15" s="849" t="s">
        <v>10</v>
      </c>
      <c r="T15" s="850" t="s">
        <v>9</v>
      </c>
      <c r="U15" s="832">
        <v>0</v>
      </c>
      <c r="V15" s="832">
        <v>0</v>
      </c>
      <c r="W15" s="832"/>
      <c r="X15" s="851" t="s">
        <v>34</v>
      </c>
      <c r="Y15" s="847"/>
    </row>
    <row r="16" ht="14.25">
      <c r="A16" s="839" t="s">
        <v>40</v>
      </c>
      <c r="B16" s="840" t="s">
        <v>32</v>
      </c>
      <c r="C16" s="840" t="s">
        <v>33</v>
      </c>
      <c r="D16" s="840" t="s">
        <v>32</v>
      </c>
      <c r="E16" s="840" t="s">
        <v>33</v>
      </c>
      <c r="F16" s="840" t="s">
        <v>32</v>
      </c>
      <c r="G16" s="840" t="s">
        <v>33</v>
      </c>
      <c r="H16" s="840" t="s">
        <v>32</v>
      </c>
      <c r="I16" s="840" t="s">
        <v>33</v>
      </c>
      <c r="J16" s="840" t="s">
        <v>32</v>
      </c>
      <c r="K16" s="840" t="s">
        <v>33</v>
      </c>
      <c r="L16" s="841"/>
      <c r="M16" s="841"/>
      <c r="N16" s="841"/>
      <c r="O16" s="841"/>
      <c r="P16" s="842">
        <f t="shared" si="169"/>
        <v>40</v>
      </c>
      <c r="Q16" s="832">
        <f>R10-P16</f>
        <v>136</v>
      </c>
      <c r="R16" s="843" t="s">
        <v>40</v>
      </c>
      <c r="S16" s="849" t="s">
        <v>10</v>
      </c>
      <c r="T16" s="850" t="s">
        <v>9</v>
      </c>
      <c r="U16" s="832">
        <v>0</v>
      </c>
      <c r="V16" s="832">
        <v>0</v>
      </c>
      <c r="W16" s="832"/>
      <c r="X16" s="846" t="s">
        <v>38</v>
      </c>
      <c r="Y16" s="852"/>
    </row>
    <row r="17" ht="14.25">
      <c r="A17" s="839" t="s">
        <v>42</v>
      </c>
      <c r="B17" s="840" t="s">
        <v>32</v>
      </c>
      <c r="C17" s="840" t="s">
        <v>33</v>
      </c>
      <c r="D17" s="840" t="s">
        <v>32</v>
      </c>
      <c r="E17" s="840" t="s">
        <v>33</v>
      </c>
      <c r="F17" s="840" t="s">
        <v>32</v>
      </c>
      <c r="G17" s="840" t="s">
        <v>33</v>
      </c>
      <c r="H17" s="840" t="s">
        <v>32</v>
      </c>
      <c r="I17" s="840" t="s">
        <v>33</v>
      </c>
      <c r="J17" s="840" t="s">
        <v>32</v>
      </c>
      <c r="K17" s="840" t="s">
        <v>33</v>
      </c>
      <c r="L17" s="841"/>
      <c r="M17" s="841"/>
      <c r="N17" s="841"/>
      <c r="O17" s="841"/>
      <c r="P17" s="842">
        <f t="shared" si="169"/>
        <v>40</v>
      </c>
      <c r="Q17" s="832">
        <f>R10-P17</f>
        <v>136</v>
      </c>
      <c r="R17" s="843" t="s">
        <v>42</v>
      </c>
      <c r="S17" s="849" t="s">
        <v>10</v>
      </c>
      <c r="T17" s="850" t="s">
        <v>9</v>
      </c>
      <c r="U17" s="832">
        <v>0</v>
      </c>
      <c r="V17" s="832">
        <v>0</v>
      </c>
      <c r="W17" s="832"/>
      <c r="X17" s="846" t="s">
        <v>38</v>
      </c>
      <c r="Y17" s="852"/>
    </row>
    <row r="18" ht="14.25">
      <c r="A18" s="853" t="s">
        <v>43</v>
      </c>
      <c r="B18" s="849"/>
      <c r="C18" s="849" t="s">
        <v>4</v>
      </c>
      <c r="D18" s="849"/>
      <c r="E18" s="849" t="s">
        <v>4</v>
      </c>
      <c r="F18" s="819"/>
      <c r="G18" s="819"/>
      <c r="H18" s="841"/>
      <c r="I18" s="841"/>
      <c r="J18" s="850"/>
      <c r="K18" s="850" t="s">
        <v>4</v>
      </c>
      <c r="L18" s="850"/>
      <c r="M18" s="850" t="s">
        <v>4</v>
      </c>
      <c r="N18" s="819"/>
      <c r="O18" s="819"/>
      <c r="P18" s="842">
        <f t="shared" si="169"/>
        <v>48</v>
      </c>
      <c r="Q18" s="832">
        <f>R10-P18</f>
        <v>128</v>
      </c>
      <c r="R18" s="843" t="s">
        <v>43</v>
      </c>
      <c r="S18" s="844" t="s">
        <v>12</v>
      </c>
      <c r="T18" s="845" t="s">
        <v>11</v>
      </c>
      <c r="U18" s="832">
        <v>0</v>
      </c>
      <c r="V18" s="832">
        <v>0</v>
      </c>
      <c r="W18" s="832"/>
      <c r="X18" s="846" t="s">
        <v>44</v>
      </c>
      <c r="Y18" s="852"/>
    </row>
    <row r="19" ht="14.25">
      <c r="A19" s="853" t="s">
        <v>45</v>
      </c>
      <c r="B19" s="841"/>
      <c r="C19" s="841"/>
      <c r="D19" s="841"/>
      <c r="E19" s="841"/>
      <c r="F19" s="854"/>
      <c r="G19" s="854"/>
      <c r="H19" s="850"/>
      <c r="I19" s="850" t="s">
        <v>4</v>
      </c>
      <c r="J19" s="819"/>
      <c r="K19" s="819"/>
      <c r="L19" s="849"/>
      <c r="M19" s="849" t="s">
        <v>4</v>
      </c>
      <c r="N19" s="849"/>
      <c r="O19" s="849" t="s">
        <v>4</v>
      </c>
      <c r="P19" s="842">
        <f t="shared" si="169"/>
        <v>36</v>
      </c>
      <c r="Q19" s="832">
        <f>R10-P19</f>
        <v>140</v>
      </c>
      <c r="R19" s="843" t="s">
        <v>45</v>
      </c>
      <c r="S19" s="849" t="s">
        <v>10</v>
      </c>
      <c r="T19" s="850" t="s">
        <v>9</v>
      </c>
      <c r="U19" s="832">
        <v>0</v>
      </c>
      <c r="V19" s="832">
        <v>0</v>
      </c>
      <c r="W19" s="832"/>
      <c r="X19" s="846" t="s">
        <v>34</v>
      </c>
      <c r="Y19" s="852"/>
    </row>
    <row r="20" ht="14.25">
      <c r="A20" s="853" t="s">
        <v>46</v>
      </c>
      <c r="B20" s="850"/>
      <c r="C20" s="850" t="s">
        <v>4</v>
      </c>
      <c r="D20" s="850"/>
      <c r="E20" s="850" t="s">
        <v>4</v>
      </c>
      <c r="F20" s="841"/>
      <c r="G20" s="841"/>
      <c r="H20" s="854"/>
      <c r="I20" s="854"/>
      <c r="J20" s="849"/>
      <c r="K20" s="849" t="s">
        <v>4</v>
      </c>
      <c r="L20" s="849"/>
      <c r="M20" s="849" t="s">
        <v>4</v>
      </c>
      <c r="N20" s="841"/>
      <c r="O20" s="841"/>
      <c r="P20" s="842">
        <f t="shared" si="169"/>
        <v>48</v>
      </c>
      <c r="Q20" s="832">
        <f>R10-P20</f>
        <v>128</v>
      </c>
      <c r="R20" s="843" t="s">
        <v>46</v>
      </c>
      <c r="S20" s="849" t="s">
        <v>10</v>
      </c>
      <c r="T20" s="850" t="s">
        <v>9</v>
      </c>
      <c r="U20" s="832">
        <v>0</v>
      </c>
      <c r="V20" s="832">
        <v>0</v>
      </c>
      <c r="W20" s="832"/>
      <c r="X20" s="846" t="s">
        <v>34</v>
      </c>
      <c r="Y20" s="852"/>
    </row>
    <row r="21" ht="14.25">
      <c r="A21" s="853" t="s">
        <v>47</v>
      </c>
      <c r="B21" s="841"/>
      <c r="C21" s="841"/>
      <c r="D21" s="841"/>
      <c r="E21" s="841"/>
      <c r="F21" s="849"/>
      <c r="G21" s="849" t="s">
        <v>4</v>
      </c>
      <c r="H21" s="849"/>
      <c r="I21" s="849" t="s">
        <v>4</v>
      </c>
      <c r="J21" s="841"/>
      <c r="K21" s="841"/>
      <c r="L21" s="841"/>
      <c r="M21" s="841"/>
      <c r="N21" s="850"/>
      <c r="O21" s="850" t="s">
        <v>4</v>
      </c>
      <c r="P21" s="842">
        <f t="shared" si="169"/>
        <v>36</v>
      </c>
      <c r="Q21" s="832">
        <f>R10-P21</f>
        <v>140</v>
      </c>
      <c r="R21" s="843" t="s">
        <v>47</v>
      </c>
      <c r="S21" s="849" t="s">
        <v>10</v>
      </c>
      <c r="T21" s="850" t="s">
        <v>9</v>
      </c>
      <c r="U21" s="832">
        <v>0</v>
      </c>
      <c r="V21" s="832">
        <v>0</v>
      </c>
      <c r="W21" s="832"/>
      <c r="X21" s="846" t="s">
        <v>34</v>
      </c>
      <c r="Y21" s="847"/>
    </row>
    <row r="22" ht="14.25">
      <c r="A22" s="853" t="s">
        <v>48</v>
      </c>
      <c r="B22" s="841"/>
      <c r="C22" s="841"/>
      <c r="D22" s="841"/>
      <c r="E22" s="841"/>
      <c r="F22" s="849"/>
      <c r="G22" s="849" t="s">
        <v>4</v>
      </c>
      <c r="H22" s="849"/>
      <c r="I22" s="849" t="s">
        <v>4</v>
      </c>
      <c r="J22" s="819"/>
      <c r="K22" s="819"/>
      <c r="L22" s="841"/>
      <c r="M22" s="841"/>
      <c r="N22" s="850"/>
      <c r="O22" s="850" t="s">
        <v>4</v>
      </c>
      <c r="P22" s="842">
        <f t="shared" si="169"/>
        <v>36</v>
      </c>
      <c r="Q22" s="832">
        <f>R10-P22</f>
        <v>140</v>
      </c>
      <c r="R22" s="843" t="s">
        <v>48</v>
      </c>
      <c r="S22" s="844" t="s">
        <v>8</v>
      </c>
      <c r="T22" s="845" t="s">
        <v>7</v>
      </c>
      <c r="U22" s="832">
        <v>0</v>
      </c>
      <c r="V22" s="832">
        <v>0</v>
      </c>
      <c r="W22" s="832"/>
      <c r="X22" s="846" t="s">
        <v>49</v>
      </c>
      <c r="Y22" s="847"/>
    </row>
    <row r="23" ht="14.25">
      <c r="A23" s="853" t="s">
        <v>50</v>
      </c>
      <c r="B23" s="849"/>
      <c r="C23" s="849" t="s">
        <v>4</v>
      </c>
      <c r="D23" s="849"/>
      <c r="E23" s="849" t="s">
        <v>4</v>
      </c>
      <c r="F23" s="819"/>
      <c r="G23" s="819"/>
      <c r="H23" s="841"/>
      <c r="I23" s="841"/>
      <c r="J23" s="850"/>
      <c r="K23" s="850" t="s">
        <v>4</v>
      </c>
      <c r="L23" s="850"/>
      <c r="M23" s="850" t="s">
        <v>4</v>
      </c>
      <c r="N23" s="819"/>
      <c r="O23" s="819"/>
      <c r="P23" s="842">
        <f t="shared" si="169"/>
        <v>48</v>
      </c>
      <c r="Q23" s="832">
        <f>R10-P23</f>
        <v>128</v>
      </c>
      <c r="R23" s="843" t="s">
        <v>50</v>
      </c>
      <c r="S23" s="844" t="s">
        <v>12</v>
      </c>
      <c r="T23" s="845" t="s">
        <v>11</v>
      </c>
      <c r="U23" s="832">
        <v>2</v>
      </c>
      <c r="V23" s="832">
        <v>0</v>
      </c>
      <c r="W23" s="832"/>
      <c r="X23" s="846" t="s">
        <v>44</v>
      </c>
      <c r="Y23" s="847"/>
    </row>
    <row r="24" ht="14.25">
      <c r="A24" s="855" t="s">
        <v>51</v>
      </c>
      <c r="B24" s="854"/>
      <c r="C24" s="854"/>
      <c r="D24" s="854"/>
      <c r="E24" s="854"/>
      <c r="F24" s="856"/>
      <c r="G24" s="856" t="s">
        <v>4</v>
      </c>
      <c r="H24" s="857"/>
      <c r="I24" s="857" t="s">
        <v>33</v>
      </c>
      <c r="J24" s="857"/>
      <c r="K24" s="857" t="s">
        <v>33</v>
      </c>
      <c r="L24" s="857"/>
      <c r="M24" s="857"/>
      <c r="N24" s="858"/>
      <c r="O24" s="858"/>
      <c r="P24" s="842">
        <f t="shared" si="169"/>
        <v>28</v>
      </c>
      <c r="Q24" s="832">
        <f>R10-P24</f>
        <v>148</v>
      </c>
      <c r="R24" s="843" t="s">
        <v>51</v>
      </c>
      <c r="S24" s="844" t="s">
        <v>10</v>
      </c>
      <c r="T24" s="845" t="s">
        <v>9</v>
      </c>
      <c r="U24" s="832">
        <v>0</v>
      </c>
      <c r="V24" s="832">
        <v>0</v>
      </c>
      <c r="W24" s="823"/>
      <c r="X24" s="846" t="s">
        <v>34</v>
      </c>
      <c r="Y24" s="847"/>
    </row>
    <row r="25" ht="14.25">
      <c r="A25" s="843"/>
      <c r="B25" s="833" t="s">
        <v>90</v>
      </c>
      <c r="C25" s="833"/>
      <c r="D25" s="833" t="s">
        <v>91</v>
      </c>
      <c r="E25" s="833"/>
      <c r="F25" s="833" t="s">
        <v>92</v>
      </c>
      <c r="G25" s="833"/>
      <c r="H25" s="833" t="s">
        <v>93</v>
      </c>
      <c r="I25" s="833"/>
      <c r="J25" s="833" t="s">
        <v>94</v>
      </c>
      <c r="K25" s="833"/>
      <c r="L25" s="833" t="s">
        <v>95</v>
      </c>
      <c r="M25" s="833"/>
      <c r="N25" s="833" t="s">
        <v>96</v>
      </c>
      <c r="O25" s="834"/>
      <c r="P25" s="859"/>
      <c r="Q25" s="823"/>
      <c r="R25" s="823"/>
      <c r="S25" s="830"/>
      <c r="T25" s="830"/>
      <c r="U25" s="836" t="s">
        <v>27</v>
      </c>
      <c r="V25" s="837" t="s">
        <v>28</v>
      </c>
      <c r="W25" s="832" t="s">
        <v>29</v>
      </c>
      <c r="X25" s="860"/>
      <c r="Y25" s="799"/>
    </row>
    <row r="26" ht="15">
      <c r="A26" s="861"/>
      <c r="B26" s="862"/>
      <c r="C26" s="862"/>
      <c r="D26" s="862"/>
      <c r="E26" s="862"/>
      <c r="F26" s="862"/>
      <c r="G26" s="862"/>
      <c r="H26" s="862"/>
      <c r="I26" s="862"/>
      <c r="J26" s="862"/>
      <c r="K26" s="862"/>
      <c r="L26" s="862"/>
      <c r="M26" s="862"/>
      <c r="N26" s="862"/>
      <c r="O26" s="862"/>
      <c r="P26" s="862"/>
      <c r="Q26" s="863"/>
      <c r="R26" s="864"/>
      <c r="S26" s="819"/>
      <c r="T26" s="819"/>
      <c r="U26" s="864"/>
      <c r="V26" s="864"/>
      <c r="W26" s="864"/>
      <c r="X26" s="847"/>
      <c r="Y26" s="799"/>
    </row>
    <row r="27" ht="14.25">
      <c r="A27" s="864"/>
      <c r="B27" s="865" t="s">
        <v>17</v>
      </c>
      <c r="C27" s="865"/>
      <c r="D27" s="865" t="s">
        <v>18</v>
      </c>
      <c r="E27" s="865"/>
      <c r="F27" s="865" t="s">
        <v>19</v>
      </c>
      <c r="G27" s="865"/>
      <c r="H27" s="865" t="s">
        <v>20</v>
      </c>
      <c r="I27" s="865"/>
      <c r="J27" s="866" t="s">
        <v>21</v>
      </c>
      <c r="K27" s="866"/>
      <c r="L27" s="865" t="s">
        <v>22</v>
      </c>
      <c r="M27" s="865"/>
      <c r="N27" s="865" t="s">
        <v>23</v>
      </c>
      <c r="O27" s="865"/>
      <c r="P27" s="867" t="s">
        <v>24</v>
      </c>
      <c r="Q27" s="868"/>
      <c r="R27" s="864"/>
      <c r="S27" s="819"/>
      <c r="T27" s="819"/>
      <c r="U27" s="864"/>
      <c r="V27" s="864"/>
      <c r="W27" s="864"/>
      <c r="X27" s="831"/>
      <c r="Y27" s="799"/>
    </row>
    <row r="28" ht="14.25">
      <c r="A28" s="864"/>
      <c r="B28" s="833" t="s">
        <v>97</v>
      </c>
      <c r="C28" s="833"/>
      <c r="D28" s="833" t="s">
        <v>98</v>
      </c>
      <c r="E28" s="833"/>
      <c r="F28" s="833" t="s">
        <v>99</v>
      </c>
      <c r="G28" s="833"/>
      <c r="H28" s="833" t="s">
        <v>100</v>
      </c>
      <c r="I28" s="833"/>
      <c r="J28" s="833" t="s">
        <v>101</v>
      </c>
      <c r="K28" s="833"/>
      <c r="L28" s="833" t="s">
        <v>102</v>
      </c>
      <c r="M28" s="833"/>
      <c r="N28" s="833" t="s">
        <v>103</v>
      </c>
      <c r="O28" s="834"/>
      <c r="P28" s="869" t="s">
        <v>25</v>
      </c>
      <c r="Q28" s="869" t="s">
        <v>26</v>
      </c>
      <c r="R28" s="864"/>
      <c r="S28" s="819"/>
      <c r="T28" s="819"/>
      <c r="U28" s="870" t="s">
        <v>27</v>
      </c>
      <c r="V28" s="871" t="s">
        <v>28</v>
      </c>
      <c r="W28" s="864" t="s">
        <v>29</v>
      </c>
      <c r="X28" s="838" t="s">
        <v>30</v>
      </c>
      <c r="Y28" s="799"/>
    </row>
    <row r="29" ht="14.25">
      <c r="A29" s="839" t="s">
        <v>31</v>
      </c>
      <c r="B29" s="840" t="s">
        <v>32</v>
      </c>
      <c r="C29" s="840" t="s">
        <v>33</v>
      </c>
      <c r="D29" s="840" t="s">
        <v>32</v>
      </c>
      <c r="E29" s="840" t="s">
        <v>33</v>
      </c>
      <c r="F29" s="840" t="s">
        <v>32</v>
      </c>
      <c r="G29" s="840" t="s">
        <v>33</v>
      </c>
      <c r="H29" s="840" t="s">
        <v>32</v>
      </c>
      <c r="I29" s="840" t="s">
        <v>33</v>
      </c>
      <c r="J29" s="840" t="s">
        <v>32</v>
      </c>
      <c r="K29" s="840" t="s">
        <v>33</v>
      </c>
      <c r="L29" s="841"/>
      <c r="M29" s="841"/>
      <c r="N29" s="841"/>
      <c r="O29" s="841"/>
      <c r="P29" s="842">
        <f t="shared" si="169"/>
        <v>40</v>
      </c>
      <c r="Q29" s="832">
        <f t="shared" ref="Q29:Q30" si="170">Q12-P29</f>
        <v>96</v>
      </c>
      <c r="R29" s="843" t="s">
        <v>31</v>
      </c>
      <c r="S29" s="844" t="s">
        <v>10</v>
      </c>
      <c r="T29" s="845" t="s">
        <v>9</v>
      </c>
      <c r="U29" s="832">
        <v>0</v>
      </c>
      <c r="V29" s="832">
        <v>0</v>
      </c>
      <c r="W29" s="832"/>
      <c r="X29" s="846" t="s">
        <v>34</v>
      </c>
      <c r="Y29" s="847"/>
    </row>
    <row r="30" ht="14.25">
      <c r="A30" s="839" t="s">
        <v>35</v>
      </c>
      <c r="B30" s="840" t="s">
        <v>32</v>
      </c>
      <c r="C30" s="840" t="s">
        <v>33</v>
      </c>
      <c r="D30" s="840" t="s">
        <v>32</v>
      </c>
      <c r="E30" s="840" t="s">
        <v>33</v>
      </c>
      <c r="F30" s="840" t="s">
        <v>32</v>
      </c>
      <c r="G30" s="840" t="s">
        <v>33</v>
      </c>
      <c r="H30" s="840" t="s">
        <v>32</v>
      </c>
      <c r="I30" s="840" t="s">
        <v>33</v>
      </c>
      <c r="J30" s="840" t="s">
        <v>32</v>
      </c>
      <c r="K30" s="840" t="s">
        <v>33</v>
      </c>
      <c r="L30" s="841"/>
      <c r="M30" s="841"/>
      <c r="N30" s="841"/>
      <c r="O30" s="841"/>
      <c r="P30" s="842">
        <f t="shared" si="169"/>
        <v>40</v>
      </c>
      <c r="Q30" s="832">
        <f t="shared" si="170"/>
        <v>96</v>
      </c>
      <c r="R30" s="843" t="s">
        <v>35</v>
      </c>
      <c r="S30" s="849" t="s">
        <v>10</v>
      </c>
      <c r="T30" s="850" t="s">
        <v>9</v>
      </c>
      <c r="U30" s="832">
        <v>0</v>
      </c>
      <c r="V30" s="832">
        <v>0</v>
      </c>
      <c r="W30" s="832"/>
      <c r="X30" s="846" t="s">
        <v>34</v>
      </c>
      <c r="Y30" s="847"/>
    </row>
    <row r="31" ht="14.25">
      <c r="A31" s="839" t="s">
        <v>39</v>
      </c>
      <c r="B31" s="840" t="s">
        <v>32</v>
      </c>
      <c r="C31" s="840" t="s">
        <v>33</v>
      </c>
      <c r="D31" s="840" t="s">
        <v>32</v>
      </c>
      <c r="E31" s="840" t="s">
        <v>33</v>
      </c>
      <c r="F31" s="840" t="s">
        <v>32</v>
      </c>
      <c r="G31" s="840" t="s">
        <v>33</v>
      </c>
      <c r="H31" s="840" t="s">
        <v>32</v>
      </c>
      <c r="I31" s="840" t="s">
        <v>33</v>
      </c>
      <c r="J31" s="840" t="s">
        <v>32</v>
      </c>
      <c r="K31" s="840" t="s">
        <v>33</v>
      </c>
      <c r="L31" s="841"/>
      <c r="M31" s="841"/>
      <c r="N31" s="854"/>
      <c r="O31" s="841"/>
      <c r="P31" s="842">
        <f t="shared" si="169"/>
        <v>40</v>
      </c>
      <c r="Q31" s="832">
        <f t="shared" ref="Q31:Q88" si="171">Q15-P31</f>
        <v>96</v>
      </c>
      <c r="R31" s="843" t="s">
        <v>39</v>
      </c>
      <c r="S31" s="849" t="s">
        <v>10</v>
      </c>
      <c r="T31" s="850" t="s">
        <v>9</v>
      </c>
      <c r="U31" s="832">
        <v>0</v>
      </c>
      <c r="V31" s="832">
        <v>0</v>
      </c>
      <c r="W31" s="832"/>
      <c r="X31" s="851" t="s">
        <v>34</v>
      </c>
      <c r="Y31" s="847"/>
    </row>
    <row r="32" ht="14.25">
      <c r="A32" s="839" t="s">
        <v>40</v>
      </c>
      <c r="B32" s="840" t="s">
        <v>32</v>
      </c>
      <c r="C32" s="840" t="s">
        <v>33</v>
      </c>
      <c r="D32" s="840" t="s">
        <v>32</v>
      </c>
      <c r="E32" s="840" t="s">
        <v>33</v>
      </c>
      <c r="F32" s="840" t="s">
        <v>32</v>
      </c>
      <c r="G32" s="840" t="s">
        <v>33</v>
      </c>
      <c r="H32" s="840" t="s">
        <v>32</v>
      </c>
      <c r="I32" s="840" t="s">
        <v>33</v>
      </c>
      <c r="J32" s="840" t="s">
        <v>32</v>
      </c>
      <c r="K32" s="840" t="s">
        <v>33</v>
      </c>
      <c r="L32" s="841"/>
      <c r="M32" s="841"/>
      <c r="N32" s="841"/>
      <c r="O32" s="841"/>
      <c r="P32" s="842">
        <f t="shared" si="169"/>
        <v>40</v>
      </c>
      <c r="Q32" s="832">
        <f t="shared" si="171"/>
        <v>96</v>
      </c>
      <c r="R32" s="843" t="s">
        <v>40</v>
      </c>
      <c r="S32" s="849" t="s">
        <v>10</v>
      </c>
      <c r="T32" s="850" t="s">
        <v>9</v>
      </c>
      <c r="U32" s="832">
        <v>0</v>
      </c>
      <c r="V32" s="832">
        <v>0</v>
      </c>
      <c r="W32" s="832"/>
      <c r="X32" s="846" t="s">
        <v>38</v>
      </c>
      <c r="Y32" s="852"/>
    </row>
    <row r="33" ht="14.25">
      <c r="A33" s="839" t="s">
        <v>42</v>
      </c>
      <c r="B33" s="858" t="s">
        <v>32</v>
      </c>
      <c r="C33" s="858" t="s">
        <v>33</v>
      </c>
      <c r="D33" s="858" t="s">
        <v>32</v>
      </c>
      <c r="E33" s="858" t="s">
        <v>33</v>
      </c>
      <c r="F33" s="858" t="s">
        <v>32</v>
      </c>
      <c r="G33" s="858" t="s">
        <v>33</v>
      </c>
      <c r="H33" s="858" t="s">
        <v>32</v>
      </c>
      <c r="I33" s="858" t="s">
        <v>33</v>
      </c>
      <c r="J33" s="858" t="s">
        <v>32</v>
      </c>
      <c r="K33" s="858" t="s">
        <v>33</v>
      </c>
      <c r="L33" s="841"/>
      <c r="M33" s="841"/>
      <c r="N33" s="841"/>
      <c r="O33" s="841"/>
      <c r="P33" s="842">
        <f t="shared" si="169"/>
        <v>40</v>
      </c>
      <c r="Q33" s="832">
        <f t="shared" si="171"/>
        <v>96</v>
      </c>
      <c r="R33" s="843" t="s">
        <v>42</v>
      </c>
      <c r="S33" s="849" t="s">
        <v>10</v>
      </c>
      <c r="T33" s="850" t="s">
        <v>9</v>
      </c>
      <c r="U33" s="832">
        <v>0</v>
      </c>
      <c r="V33" s="832">
        <v>0</v>
      </c>
      <c r="W33" s="832"/>
      <c r="X33" s="846" t="s">
        <v>38</v>
      </c>
      <c r="Y33" s="852"/>
    </row>
    <row r="34" ht="14.25">
      <c r="A34" s="853" t="s">
        <v>43</v>
      </c>
      <c r="B34" s="841"/>
      <c r="C34" s="841"/>
      <c r="D34" s="849"/>
      <c r="E34" s="849" t="s">
        <v>4</v>
      </c>
      <c r="F34" s="849"/>
      <c r="G34" s="849" t="s">
        <v>4</v>
      </c>
      <c r="H34" s="841"/>
      <c r="I34" s="841"/>
      <c r="J34" s="841"/>
      <c r="K34" s="841"/>
      <c r="L34" s="854"/>
      <c r="M34" s="854"/>
      <c r="N34" s="850"/>
      <c r="O34" s="850" t="s">
        <v>4</v>
      </c>
      <c r="P34" s="842">
        <f t="shared" si="169"/>
        <v>36</v>
      </c>
      <c r="Q34" s="832">
        <f t="shared" si="171"/>
        <v>92</v>
      </c>
      <c r="R34" s="843" t="s">
        <v>43</v>
      </c>
      <c r="S34" s="844" t="s">
        <v>12</v>
      </c>
      <c r="T34" s="845" t="s">
        <v>11</v>
      </c>
      <c r="U34" s="832">
        <v>0</v>
      </c>
      <c r="V34" s="832">
        <v>0</v>
      </c>
      <c r="W34" s="832"/>
      <c r="X34" s="846" t="s">
        <v>44</v>
      </c>
      <c r="Y34" s="852"/>
    </row>
    <row r="35" ht="14.25">
      <c r="A35" s="853" t="s">
        <v>45</v>
      </c>
      <c r="B35" s="849"/>
      <c r="C35" s="849" t="s">
        <v>4</v>
      </c>
      <c r="D35" s="841"/>
      <c r="E35" s="841"/>
      <c r="F35" s="841"/>
      <c r="G35" s="841"/>
      <c r="H35" s="850"/>
      <c r="I35" s="850" t="s">
        <v>4</v>
      </c>
      <c r="J35" s="850"/>
      <c r="K35" s="850" t="s">
        <v>4</v>
      </c>
      <c r="L35" s="841"/>
      <c r="M35" s="841"/>
      <c r="N35" s="872"/>
      <c r="O35" s="873" t="s">
        <v>4</v>
      </c>
      <c r="P35" s="842">
        <f t="shared" si="169"/>
        <v>48</v>
      </c>
      <c r="Q35" s="832">
        <f t="shared" si="171"/>
        <v>92</v>
      </c>
      <c r="R35" s="843" t="s">
        <v>45</v>
      </c>
      <c r="S35" s="849" t="s">
        <v>10</v>
      </c>
      <c r="T35" s="850" t="s">
        <v>9</v>
      </c>
      <c r="U35" s="832">
        <v>0</v>
      </c>
      <c r="V35" s="832">
        <v>0</v>
      </c>
      <c r="W35" s="832"/>
      <c r="X35" s="846" t="s">
        <v>34</v>
      </c>
      <c r="Y35" s="852"/>
    </row>
    <row r="36" ht="14.25">
      <c r="A36" s="853" t="s">
        <v>46</v>
      </c>
      <c r="B36" s="841"/>
      <c r="C36" s="841"/>
      <c r="D36" s="850"/>
      <c r="E36" s="850" t="s">
        <v>4</v>
      </c>
      <c r="F36" s="850"/>
      <c r="G36" s="850" t="s">
        <v>4</v>
      </c>
      <c r="H36" s="841"/>
      <c r="I36" s="841"/>
      <c r="J36" s="841"/>
      <c r="K36" s="841"/>
      <c r="L36" s="849"/>
      <c r="M36" s="849" t="s">
        <v>4</v>
      </c>
      <c r="N36" s="849"/>
      <c r="O36" s="849" t="s">
        <v>4</v>
      </c>
      <c r="P36" s="842">
        <f t="shared" si="169"/>
        <v>48</v>
      </c>
      <c r="Q36" s="832">
        <f t="shared" si="171"/>
        <v>80</v>
      </c>
      <c r="R36" s="843" t="s">
        <v>46</v>
      </c>
      <c r="S36" s="849" t="s">
        <v>10</v>
      </c>
      <c r="T36" s="850" t="s">
        <v>9</v>
      </c>
      <c r="U36" s="832">
        <v>0</v>
      </c>
      <c r="V36" s="832">
        <v>0</v>
      </c>
      <c r="W36" s="832"/>
      <c r="X36" s="846" t="s">
        <v>34</v>
      </c>
      <c r="Y36" s="852"/>
    </row>
    <row r="37" ht="14.25">
      <c r="A37" s="853" t="s">
        <v>47</v>
      </c>
      <c r="B37" s="850"/>
      <c r="C37" s="850" t="s">
        <v>4</v>
      </c>
      <c r="D37" s="854"/>
      <c r="E37" s="854"/>
      <c r="F37" s="854"/>
      <c r="G37" s="854"/>
      <c r="H37" s="854"/>
      <c r="I37" s="854"/>
      <c r="J37" s="854"/>
      <c r="K37" s="854"/>
      <c r="L37" s="856"/>
      <c r="M37" s="856" t="s">
        <v>4</v>
      </c>
      <c r="N37" s="856"/>
      <c r="O37" s="856" t="s">
        <v>4</v>
      </c>
      <c r="P37" s="842">
        <f t="shared" si="169"/>
        <v>36</v>
      </c>
      <c r="Q37" s="832">
        <f t="shared" si="171"/>
        <v>104</v>
      </c>
      <c r="R37" s="843" t="s">
        <v>47</v>
      </c>
      <c r="S37" s="849" t="s">
        <v>10</v>
      </c>
      <c r="T37" s="850" t="s">
        <v>9</v>
      </c>
      <c r="U37" s="832">
        <v>0</v>
      </c>
      <c r="V37" s="832">
        <v>0</v>
      </c>
      <c r="W37" s="832"/>
      <c r="X37" s="846" t="s">
        <v>34</v>
      </c>
      <c r="Y37" s="847"/>
    </row>
    <row r="38" ht="14.25">
      <c r="A38" s="853" t="s">
        <v>48</v>
      </c>
      <c r="B38" s="850"/>
      <c r="C38" s="850" t="s">
        <v>4</v>
      </c>
      <c r="D38" s="819"/>
      <c r="E38" s="819"/>
      <c r="F38" s="841"/>
      <c r="G38" s="841"/>
      <c r="H38" s="849"/>
      <c r="I38" s="849" t="s">
        <v>4</v>
      </c>
      <c r="J38" s="849"/>
      <c r="K38" s="849" t="s">
        <v>4</v>
      </c>
      <c r="L38" s="819"/>
      <c r="M38" s="819"/>
      <c r="N38" s="819"/>
      <c r="O38" s="819"/>
      <c r="P38" s="842">
        <f t="shared" si="169"/>
        <v>36</v>
      </c>
      <c r="Q38" s="832">
        <f t="shared" si="171"/>
        <v>104</v>
      </c>
      <c r="R38" s="843" t="s">
        <v>48</v>
      </c>
      <c r="S38" s="844" t="s">
        <v>8</v>
      </c>
      <c r="T38" s="845" t="s">
        <v>7</v>
      </c>
      <c r="U38" s="832">
        <v>0</v>
      </c>
      <c r="V38" s="832">
        <v>0</v>
      </c>
      <c r="W38" s="832"/>
      <c r="X38" s="846" t="s">
        <v>49</v>
      </c>
      <c r="Y38" s="847"/>
    </row>
    <row r="39" ht="14.25">
      <c r="A39" s="853" t="s">
        <v>50</v>
      </c>
      <c r="B39" s="841"/>
      <c r="C39" s="841"/>
      <c r="D39" s="849"/>
      <c r="E39" s="849" t="s">
        <v>4</v>
      </c>
      <c r="F39" s="849"/>
      <c r="G39" s="849" t="s">
        <v>4</v>
      </c>
      <c r="H39" s="841"/>
      <c r="I39" s="841"/>
      <c r="J39" s="874"/>
      <c r="K39" s="874"/>
      <c r="L39" s="875"/>
      <c r="M39" s="875"/>
      <c r="N39" s="854"/>
      <c r="O39" s="854"/>
      <c r="P39" s="842">
        <f t="shared" si="169"/>
        <v>24</v>
      </c>
      <c r="Q39" s="832">
        <f t="shared" si="171"/>
        <v>104</v>
      </c>
      <c r="R39" s="843" t="s">
        <v>50</v>
      </c>
      <c r="S39" s="844" t="s">
        <v>12</v>
      </c>
      <c r="T39" s="845" t="s">
        <v>11</v>
      </c>
      <c r="U39" s="832">
        <v>0</v>
      </c>
      <c r="V39" s="832">
        <v>0</v>
      </c>
      <c r="W39" s="832"/>
      <c r="X39" s="846" t="s">
        <v>44</v>
      </c>
      <c r="Y39" s="847"/>
    </row>
    <row r="40" ht="14.25">
      <c r="A40" s="855" t="s">
        <v>51</v>
      </c>
      <c r="B40" s="857"/>
      <c r="C40" s="857" t="s">
        <v>33</v>
      </c>
      <c r="D40" s="857"/>
      <c r="E40" s="857" t="s">
        <v>33</v>
      </c>
      <c r="F40" s="857"/>
      <c r="G40" s="857" t="s">
        <v>33</v>
      </c>
      <c r="H40" s="857"/>
      <c r="I40" s="857" t="s">
        <v>33</v>
      </c>
      <c r="J40" s="858"/>
      <c r="K40" s="858" t="s">
        <v>33</v>
      </c>
      <c r="L40" s="858"/>
      <c r="M40" s="858"/>
      <c r="N40" s="876"/>
      <c r="O40" s="876"/>
      <c r="P40" s="842">
        <f t="shared" si="169"/>
        <v>40</v>
      </c>
      <c r="Q40" s="832">
        <f t="shared" si="171"/>
        <v>108</v>
      </c>
      <c r="R40" s="843" t="s">
        <v>51</v>
      </c>
      <c r="S40" s="844" t="s">
        <v>10</v>
      </c>
      <c r="T40" s="845" t="s">
        <v>9</v>
      </c>
      <c r="U40" s="832">
        <v>0</v>
      </c>
      <c r="V40" s="832">
        <v>0</v>
      </c>
      <c r="W40" s="832"/>
      <c r="X40" s="846" t="s">
        <v>34</v>
      </c>
      <c r="Y40" s="847"/>
    </row>
    <row r="41" ht="15">
      <c r="A41" s="877"/>
      <c r="B41" s="833" t="s">
        <v>97</v>
      </c>
      <c r="C41" s="833"/>
      <c r="D41" s="833" t="s">
        <v>98</v>
      </c>
      <c r="E41" s="833"/>
      <c r="F41" s="833" t="s">
        <v>99</v>
      </c>
      <c r="G41" s="833"/>
      <c r="H41" s="833" t="s">
        <v>100</v>
      </c>
      <c r="I41" s="833"/>
      <c r="J41" s="833" t="s">
        <v>101</v>
      </c>
      <c r="K41" s="833"/>
      <c r="L41" s="833" t="s">
        <v>102</v>
      </c>
      <c r="M41" s="833"/>
      <c r="N41" s="833" t="s">
        <v>103</v>
      </c>
      <c r="O41" s="834"/>
      <c r="P41" s="877"/>
      <c r="Q41" s="864"/>
      <c r="R41" s="877"/>
      <c r="S41" s="819"/>
      <c r="T41" s="819"/>
      <c r="U41" s="864"/>
      <c r="V41" s="864"/>
      <c r="W41" s="864"/>
      <c r="X41" s="878"/>
      <c r="Y41" s="799"/>
    </row>
    <row r="42" ht="15">
      <c r="A42" s="861"/>
      <c r="B42" s="862"/>
      <c r="C42" s="862"/>
      <c r="D42" s="862"/>
      <c r="E42" s="862"/>
      <c r="F42" s="862"/>
      <c r="G42" s="862"/>
      <c r="H42" s="862"/>
      <c r="I42" s="862"/>
      <c r="J42" s="862"/>
      <c r="K42" s="862"/>
      <c r="L42" s="862"/>
      <c r="M42" s="862"/>
      <c r="N42" s="862"/>
      <c r="O42" s="862"/>
      <c r="P42" s="862"/>
      <c r="Q42" s="863"/>
      <c r="R42" s="864"/>
      <c r="S42" s="819"/>
      <c r="T42" s="819"/>
      <c r="U42" s="864"/>
      <c r="V42" s="864"/>
      <c r="W42" s="864"/>
      <c r="X42" s="831"/>
      <c r="Y42" s="799"/>
    </row>
    <row r="43" ht="14.25">
      <c r="A43" s="832"/>
      <c r="B43" s="824" t="s">
        <v>17</v>
      </c>
      <c r="C43" s="879"/>
      <c r="D43" s="824" t="s">
        <v>18</v>
      </c>
      <c r="E43" s="879"/>
      <c r="F43" s="824" t="s">
        <v>19</v>
      </c>
      <c r="G43" s="824"/>
      <c r="H43" s="824" t="s">
        <v>20</v>
      </c>
      <c r="I43" s="879"/>
      <c r="J43" s="824" t="s">
        <v>21</v>
      </c>
      <c r="K43" s="824"/>
      <c r="L43" s="824" t="s">
        <v>22</v>
      </c>
      <c r="M43" s="824"/>
      <c r="N43" s="824" t="s">
        <v>23</v>
      </c>
      <c r="O43" s="824"/>
      <c r="P43" s="828" t="s">
        <v>24</v>
      </c>
      <c r="Q43" s="829"/>
      <c r="R43" s="832"/>
      <c r="S43" s="841"/>
      <c r="T43" s="841"/>
      <c r="U43" s="832"/>
      <c r="V43" s="832"/>
      <c r="W43" s="832"/>
      <c r="X43" s="838"/>
      <c r="Y43" s="799"/>
    </row>
    <row r="44" ht="14.25">
      <c r="A44" s="832"/>
      <c r="B44" s="833" t="s">
        <v>104</v>
      </c>
      <c r="C44" s="833"/>
      <c r="D44" s="833" t="s">
        <v>105</v>
      </c>
      <c r="E44" s="833"/>
      <c r="F44" s="833" t="s">
        <v>106</v>
      </c>
      <c r="G44" s="833"/>
      <c r="H44" s="833" t="s">
        <v>107</v>
      </c>
      <c r="I44" s="833"/>
      <c r="J44" s="833" t="s">
        <v>108</v>
      </c>
      <c r="K44" s="833"/>
      <c r="L44" s="833" t="s">
        <v>109</v>
      </c>
      <c r="M44" s="833"/>
      <c r="N44" s="833" t="s">
        <v>110</v>
      </c>
      <c r="O44" s="834"/>
      <c r="P44" s="835" t="s">
        <v>25</v>
      </c>
      <c r="Q44" s="835" t="s">
        <v>26</v>
      </c>
      <c r="R44" s="832"/>
      <c r="S44" s="841"/>
      <c r="T44" s="841"/>
      <c r="U44" s="836" t="s">
        <v>27</v>
      </c>
      <c r="V44" s="837" t="s">
        <v>28</v>
      </c>
      <c r="W44" s="832" t="s">
        <v>29</v>
      </c>
      <c r="X44" s="838" t="s">
        <v>30</v>
      </c>
      <c r="Y44" s="799"/>
    </row>
    <row r="45" ht="14.25">
      <c r="A45" s="839" t="s">
        <v>31</v>
      </c>
      <c r="B45" s="840" t="s">
        <v>32</v>
      </c>
      <c r="C45" s="840" t="s">
        <v>33</v>
      </c>
      <c r="D45" s="840" t="s">
        <v>32</v>
      </c>
      <c r="E45" s="840" t="s">
        <v>33</v>
      </c>
      <c r="F45" s="840" t="s">
        <v>32</v>
      </c>
      <c r="G45" s="840" t="s">
        <v>33</v>
      </c>
      <c r="H45" s="840" t="s">
        <v>32</v>
      </c>
      <c r="I45" s="840" t="s">
        <v>33</v>
      </c>
      <c r="J45" s="840" t="s">
        <v>32</v>
      </c>
      <c r="K45" s="840" t="s">
        <v>33</v>
      </c>
      <c r="L45" s="841"/>
      <c r="M45" s="841"/>
      <c r="N45" s="841"/>
      <c r="O45" s="841"/>
      <c r="P45" s="842">
        <f t="shared" si="169"/>
        <v>40</v>
      </c>
      <c r="Q45" s="832">
        <f t="shared" si="171"/>
        <v>56</v>
      </c>
      <c r="R45" s="843" t="s">
        <v>31</v>
      </c>
      <c r="S45" s="844" t="s">
        <v>10</v>
      </c>
      <c r="T45" s="845" t="s">
        <v>9</v>
      </c>
      <c r="U45" s="832">
        <v>0</v>
      </c>
      <c r="V45" s="832">
        <v>0</v>
      </c>
      <c r="W45" s="832"/>
      <c r="X45" s="846" t="s">
        <v>34</v>
      </c>
      <c r="Y45" s="847"/>
    </row>
    <row r="46" ht="14.25">
      <c r="A46" s="839" t="s">
        <v>35</v>
      </c>
      <c r="B46" s="840" t="s">
        <v>32</v>
      </c>
      <c r="C46" s="840" t="s">
        <v>33</v>
      </c>
      <c r="D46" s="840" t="s">
        <v>32</v>
      </c>
      <c r="E46" s="840" t="s">
        <v>33</v>
      </c>
      <c r="F46" s="840" t="s">
        <v>32</v>
      </c>
      <c r="G46" s="840" t="s">
        <v>33</v>
      </c>
      <c r="H46" s="840" t="s">
        <v>32</v>
      </c>
      <c r="I46" s="840" t="s">
        <v>33</v>
      </c>
      <c r="J46" s="840" t="s">
        <v>32</v>
      </c>
      <c r="K46" s="840" t="s">
        <v>33</v>
      </c>
      <c r="L46" s="874"/>
      <c r="M46" s="874" t="s">
        <v>111</v>
      </c>
      <c r="N46" s="874"/>
      <c r="O46" s="874" t="s">
        <v>86</v>
      </c>
      <c r="P46" s="842">
        <f t="shared" si="169"/>
        <v>41.5</v>
      </c>
      <c r="Q46" s="832">
        <f t="shared" si="171"/>
        <v>54.5</v>
      </c>
      <c r="R46" s="843" t="s">
        <v>35</v>
      </c>
      <c r="S46" s="849" t="s">
        <v>10</v>
      </c>
      <c r="T46" s="850" t="s">
        <v>9</v>
      </c>
      <c r="U46" s="832">
        <v>0</v>
      </c>
      <c r="V46" s="832">
        <v>0</v>
      </c>
      <c r="W46" s="832"/>
      <c r="X46" s="846" t="s">
        <v>34</v>
      </c>
      <c r="Y46" s="847"/>
    </row>
    <row r="47" ht="14.25">
      <c r="A47" s="839" t="s">
        <v>39</v>
      </c>
      <c r="B47" s="840" t="s">
        <v>32</v>
      </c>
      <c r="C47" s="840" t="s">
        <v>33</v>
      </c>
      <c r="D47" s="840" t="s">
        <v>32</v>
      </c>
      <c r="E47" s="840" t="s">
        <v>33</v>
      </c>
      <c r="F47" s="840" t="s">
        <v>32</v>
      </c>
      <c r="G47" s="840" t="s">
        <v>33</v>
      </c>
      <c r="H47" s="840" t="s">
        <v>32</v>
      </c>
      <c r="I47" s="840" t="s">
        <v>33</v>
      </c>
      <c r="J47" s="840" t="s">
        <v>32</v>
      </c>
      <c r="K47" s="840" t="s">
        <v>33</v>
      </c>
      <c r="L47" s="841"/>
      <c r="M47" s="841"/>
      <c r="N47" s="841"/>
      <c r="O47" s="841"/>
      <c r="P47" s="842">
        <f t="shared" si="169"/>
        <v>40</v>
      </c>
      <c r="Q47" s="832">
        <f t="shared" si="171"/>
        <v>56</v>
      </c>
      <c r="R47" s="843" t="s">
        <v>39</v>
      </c>
      <c r="S47" s="849" t="s">
        <v>10</v>
      </c>
      <c r="T47" s="850" t="s">
        <v>9</v>
      </c>
      <c r="U47" s="832">
        <v>0</v>
      </c>
      <c r="V47" s="832">
        <v>0</v>
      </c>
      <c r="W47" s="832"/>
      <c r="X47" s="851" t="s">
        <v>34</v>
      </c>
      <c r="Y47" s="847"/>
    </row>
    <row r="48" ht="14.25">
      <c r="A48" s="839" t="s">
        <v>40</v>
      </c>
      <c r="B48" s="840" t="s">
        <v>32</v>
      </c>
      <c r="C48" s="840" t="s">
        <v>33</v>
      </c>
      <c r="D48" s="840" t="s">
        <v>32</v>
      </c>
      <c r="E48" s="840" t="s">
        <v>33</v>
      </c>
      <c r="F48" s="840" t="s">
        <v>32</v>
      </c>
      <c r="G48" s="840" t="s">
        <v>33</v>
      </c>
      <c r="H48" s="840" t="s">
        <v>32</v>
      </c>
      <c r="I48" s="840" t="s">
        <v>33</v>
      </c>
      <c r="J48" s="840" t="s">
        <v>32</v>
      </c>
      <c r="K48" s="840" t="s">
        <v>33</v>
      </c>
      <c r="L48" s="841"/>
      <c r="M48" s="841"/>
      <c r="N48" s="841"/>
      <c r="O48" s="841"/>
      <c r="P48" s="842">
        <f t="shared" si="169"/>
        <v>40</v>
      </c>
      <c r="Q48" s="832">
        <f t="shared" si="171"/>
        <v>56</v>
      </c>
      <c r="R48" s="843" t="s">
        <v>40</v>
      </c>
      <c r="S48" s="849" t="s">
        <v>10</v>
      </c>
      <c r="T48" s="850" t="s">
        <v>9</v>
      </c>
      <c r="U48" s="832">
        <v>0</v>
      </c>
      <c r="V48" s="832">
        <v>0</v>
      </c>
      <c r="W48" s="832"/>
      <c r="X48" s="846" t="s">
        <v>38</v>
      </c>
      <c r="Y48" s="847"/>
    </row>
    <row r="49" ht="14.25">
      <c r="A49" s="839" t="s">
        <v>42</v>
      </c>
      <c r="B49" s="858" t="s">
        <v>32</v>
      </c>
      <c r="C49" s="858" t="s">
        <v>33</v>
      </c>
      <c r="D49" s="880" t="s">
        <v>32</v>
      </c>
      <c r="E49" s="880" t="s">
        <v>33</v>
      </c>
      <c r="F49" s="880" t="s">
        <v>32</v>
      </c>
      <c r="G49" s="880" t="s">
        <v>33</v>
      </c>
      <c r="H49" s="880" t="s">
        <v>32</v>
      </c>
      <c r="I49" s="880" t="s">
        <v>33</v>
      </c>
      <c r="J49" s="880" t="s">
        <v>32</v>
      </c>
      <c r="K49" s="880" t="s">
        <v>33</v>
      </c>
      <c r="L49" s="841"/>
      <c r="M49" s="841"/>
      <c r="N49" s="841"/>
      <c r="O49" s="841"/>
      <c r="P49" s="842">
        <f t="shared" si="169"/>
        <v>40</v>
      </c>
      <c r="Q49" s="832">
        <f t="shared" si="171"/>
        <v>56</v>
      </c>
      <c r="R49" s="843" t="s">
        <v>42</v>
      </c>
      <c r="S49" s="849" t="s">
        <v>10</v>
      </c>
      <c r="T49" s="850" t="s">
        <v>9</v>
      </c>
      <c r="U49" s="832"/>
      <c r="V49" s="832"/>
      <c r="W49" s="832"/>
      <c r="X49" s="846" t="s">
        <v>38</v>
      </c>
      <c r="Y49" s="847"/>
    </row>
    <row r="50" ht="14.25">
      <c r="A50" s="853" t="s">
        <v>43</v>
      </c>
      <c r="B50" s="854"/>
      <c r="C50" s="854"/>
      <c r="D50" s="841"/>
      <c r="E50" s="841"/>
      <c r="F50" s="850"/>
      <c r="G50" s="850" t="s">
        <v>4</v>
      </c>
      <c r="H50" s="850"/>
      <c r="I50" s="850" t="s">
        <v>4</v>
      </c>
      <c r="J50" s="854"/>
      <c r="K50" s="854"/>
      <c r="L50" s="801"/>
      <c r="M50" s="801" t="s">
        <v>4</v>
      </c>
      <c r="N50" s="841"/>
      <c r="O50" s="841"/>
      <c r="P50" s="842">
        <f t="shared" si="169"/>
        <v>36</v>
      </c>
      <c r="Q50" s="832">
        <f t="shared" si="171"/>
        <v>56</v>
      </c>
      <c r="R50" s="843" t="s">
        <v>43</v>
      </c>
      <c r="S50" s="844" t="s">
        <v>12</v>
      </c>
      <c r="T50" s="845" t="s">
        <v>11</v>
      </c>
      <c r="U50" s="832">
        <v>0</v>
      </c>
      <c r="V50" s="832">
        <v>0</v>
      </c>
      <c r="W50" s="832"/>
      <c r="X50" s="846" t="s">
        <v>44</v>
      </c>
      <c r="Y50" s="852"/>
    </row>
    <row r="51" ht="14.25">
      <c r="A51" s="853" t="s">
        <v>45</v>
      </c>
      <c r="B51" s="849"/>
      <c r="C51" s="849" t="s">
        <v>4</v>
      </c>
      <c r="D51" s="849"/>
      <c r="E51" s="849" t="s">
        <v>4</v>
      </c>
      <c r="F51" s="841"/>
      <c r="G51" s="841"/>
      <c r="H51" s="841"/>
      <c r="I51" s="841"/>
      <c r="J51" s="854"/>
      <c r="K51" s="854"/>
      <c r="L51" s="854"/>
      <c r="M51" s="854"/>
      <c r="N51" s="854"/>
      <c r="O51" s="854"/>
      <c r="P51" s="842">
        <f t="shared" si="169"/>
        <v>24</v>
      </c>
      <c r="Q51" s="832">
        <f t="shared" si="171"/>
        <v>68</v>
      </c>
      <c r="R51" s="843" t="s">
        <v>45</v>
      </c>
      <c r="S51" s="849" t="s">
        <v>10</v>
      </c>
      <c r="T51" s="850" t="s">
        <v>9</v>
      </c>
      <c r="U51" s="832">
        <v>0</v>
      </c>
      <c r="V51" s="832">
        <v>0</v>
      </c>
      <c r="W51" s="832"/>
      <c r="X51" s="846" t="s">
        <v>34</v>
      </c>
      <c r="Y51" s="847"/>
    </row>
    <row r="52" ht="14.25">
      <c r="A52" s="853" t="s">
        <v>46</v>
      </c>
      <c r="B52" s="841"/>
      <c r="C52" s="841"/>
      <c r="D52" s="841"/>
      <c r="E52" s="841"/>
      <c r="F52" s="881"/>
      <c r="G52" s="881" t="s">
        <v>33</v>
      </c>
      <c r="H52" s="881"/>
      <c r="I52" s="881" t="s">
        <v>33</v>
      </c>
      <c r="J52" s="881"/>
      <c r="K52" s="881" t="s">
        <v>33</v>
      </c>
      <c r="L52" s="881"/>
      <c r="M52" s="881"/>
      <c r="N52" s="882"/>
      <c r="O52" s="882"/>
      <c r="P52" s="842">
        <f t="shared" si="169"/>
        <v>24</v>
      </c>
      <c r="Q52" s="832">
        <f t="shared" si="171"/>
        <v>56</v>
      </c>
      <c r="R52" s="843" t="s">
        <v>46</v>
      </c>
      <c r="S52" s="849" t="s">
        <v>10</v>
      </c>
      <c r="T52" s="850" t="s">
        <v>9</v>
      </c>
      <c r="U52" s="832">
        <v>0</v>
      </c>
      <c r="V52" s="832">
        <v>0</v>
      </c>
      <c r="W52" s="832"/>
      <c r="X52" s="846" t="s">
        <v>34</v>
      </c>
      <c r="Y52" s="847"/>
    </row>
    <row r="53" ht="14.25">
      <c r="A53" s="853" t="s">
        <v>47</v>
      </c>
      <c r="B53" s="854"/>
      <c r="C53" s="854"/>
      <c r="D53" s="850"/>
      <c r="E53" s="850" t="s">
        <v>4</v>
      </c>
      <c r="F53" s="841"/>
      <c r="G53" s="841"/>
      <c r="H53" s="841"/>
      <c r="I53" s="841"/>
      <c r="J53" s="849"/>
      <c r="K53" s="849" t="s">
        <v>4</v>
      </c>
      <c r="L53" s="849"/>
      <c r="M53" s="849" t="s">
        <v>4</v>
      </c>
      <c r="N53" s="854"/>
      <c r="O53" s="854"/>
      <c r="P53" s="842">
        <f t="shared" si="169"/>
        <v>36</v>
      </c>
      <c r="Q53" s="832">
        <f t="shared" si="171"/>
        <v>68</v>
      </c>
      <c r="R53" s="843" t="s">
        <v>47</v>
      </c>
      <c r="S53" s="849" t="s">
        <v>10</v>
      </c>
      <c r="T53" s="850" t="s">
        <v>9</v>
      </c>
      <c r="U53" s="832">
        <v>0</v>
      </c>
      <c r="V53" s="832">
        <v>0</v>
      </c>
      <c r="W53" s="832"/>
      <c r="X53" s="846" t="s">
        <v>34</v>
      </c>
      <c r="Y53" s="847"/>
    </row>
    <row r="54" ht="14.25">
      <c r="A54" s="853" t="s">
        <v>48</v>
      </c>
      <c r="B54" s="854"/>
      <c r="C54" s="854"/>
      <c r="D54" s="849"/>
      <c r="E54" s="849" t="s">
        <v>33</v>
      </c>
      <c r="F54" s="841"/>
      <c r="G54" s="841"/>
      <c r="H54" s="819"/>
      <c r="I54" s="819"/>
      <c r="J54" s="854"/>
      <c r="K54" s="854"/>
      <c r="L54" s="850"/>
      <c r="M54" s="850" t="s">
        <v>4</v>
      </c>
      <c r="N54" s="850"/>
      <c r="O54" s="850" t="s">
        <v>4</v>
      </c>
      <c r="P54" s="842">
        <f t="shared" si="169"/>
        <v>32</v>
      </c>
      <c r="Q54" s="832">
        <f t="shared" si="171"/>
        <v>72</v>
      </c>
      <c r="R54" s="843" t="s">
        <v>48</v>
      </c>
      <c r="S54" s="844" t="s">
        <v>8</v>
      </c>
      <c r="T54" s="845" t="s">
        <v>7</v>
      </c>
      <c r="U54" s="832">
        <v>0</v>
      </c>
      <c r="V54" s="832">
        <v>0</v>
      </c>
      <c r="W54" s="832"/>
      <c r="X54" s="846" t="s">
        <v>49</v>
      </c>
      <c r="Y54" s="847"/>
    </row>
    <row r="55" ht="14.25">
      <c r="A55" s="853" t="s">
        <v>50</v>
      </c>
      <c r="B55" s="850"/>
      <c r="C55" s="850" t="s">
        <v>33</v>
      </c>
      <c r="D55" s="850"/>
      <c r="E55" s="850" t="s">
        <v>33</v>
      </c>
      <c r="F55" s="849"/>
      <c r="G55" s="849" t="s">
        <v>4</v>
      </c>
      <c r="H55" s="872"/>
      <c r="I55" s="872" t="s">
        <v>4</v>
      </c>
      <c r="J55" s="854"/>
      <c r="K55" s="854"/>
      <c r="L55" s="854"/>
      <c r="M55" s="854"/>
      <c r="N55" s="872"/>
      <c r="O55" s="872" t="s">
        <v>4</v>
      </c>
      <c r="P55" s="842">
        <f t="shared" si="169"/>
        <v>52</v>
      </c>
      <c r="Q55" s="832">
        <f t="shared" si="171"/>
        <v>52</v>
      </c>
      <c r="R55" s="843" t="s">
        <v>50</v>
      </c>
      <c r="S55" s="844" t="s">
        <v>12</v>
      </c>
      <c r="T55" s="845" t="s">
        <v>11</v>
      </c>
      <c r="U55" s="832">
        <v>0</v>
      </c>
      <c r="V55" s="832">
        <v>0</v>
      </c>
      <c r="W55" s="832"/>
      <c r="X55" s="846" t="s">
        <v>44</v>
      </c>
      <c r="Y55" s="847"/>
    </row>
    <row r="56" ht="14.25">
      <c r="A56" s="855" t="s">
        <v>51</v>
      </c>
      <c r="B56" s="858"/>
      <c r="C56" s="858" t="s">
        <v>33</v>
      </c>
      <c r="D56" s="858"/>
      <c r="E56" s="858" t="s">
        <v>33</v>
      </c>
      <c r="F56" s="858"/>
      <c r="G56" s="858" t="s">
        <v>33</v>
      </c>
      <c r="H56" s="858"/>
      <c r="I56" s="858" t="s">
        <v>33</v>
      </c>
      <c r="J56" s="858"/>
      <c r="K56" s="858" t="s">
        <v>33</v>
      </c>
      <c r="L56" s="858"/>
      <c r="M56" s="858"/>
      <c r="N56" s="857"/>
      <c r="O56" s="857"/>
      <c r="P56" s="842">
        <f t="shared" si="169"/>
        <v>40</v>
      </c>
      <c r="Q56" s="832">
        <f t="shared" si="171"/>
        <v>68</v>
      </c>
      <c r="R56" s="843" t="s">
        <v>51</v>
      </c>
      <c r="S56" s="844" t="s">
        <v>10</v>
      </c>
      <c r="T56" s="845" t="s">
        <v>9</v>
      </c>
      <c r="U56" s="832">
        <v>0</v>
      </c>
      <c r="V56" s="832">
        <v>0</v>
      </c>
      <c r="W56" s="832"/>
      <c r="X56" s="846" t="s">
        <v>34</v>
      </c>
      <c r="Y56" s="847"/>
    </row>
    <row r="57" ht="14.25">
      <c r="A57" s="843"/>
      <c r="B57" s="833" t="s">
        <v>104</v>
      </c>
      <c r="C57" s="833"/>
      <c r="D57" s="833" t="s">
        <v>105</v>
      </c>
      <c r="E57" s="833"/>
      <c r="F57" s="833" t="s">
        <v>106</v>
      </c>
      <c r="G57" s="833"/>
      <c r="H57" s="833" t="s">
        <v>107</v>
      </c>
      <c r="I57" s="833"/>
      <c r="J57" s="833" t="s">
        <v>108</v>
      </c>
      <c r="K57" s="833"/>
      <c r="L57" s="833" t="s">
        <v>109</v>
      </c>
      <c r="M57" s="833"/>
      <c r="N57" s="833" t="s">
        <v>110</v>
      </c>
      <c r="O57" s="834"/>
      <c r="P57" s="883"/>
      <c r="Q57" s="832"/>
      <c r="R57" s="843"/>
      <c r="S57" s="841"/>
      <c r="T57" s="841"/>
      <c r="U57" s="836" t="s">
        <v>27</v>
      </c>
      <c r="V57" s="837" t="s">
        <v>28</v>
      </c>
      <c r="W57" s="832" t="s">
        <v>29</v>
      </c>
      <c r="X57" s="878"/>
      <c r="Y57" s="799"/>
    </row>
    <row r="58" ht="15">
      <c r="A58" s="864"/>
      <c r="B58" s="819"/>
      <c r="C58" s="819"/>
      <c r="D58" s="819"/>
      <c r="E58" s="819"/>
      <c r="F58" s="819"/>
      <c r="G58" s="819"/>
      <c r="H58" s="819"/>
      <c r="I58" s="819"/>
      <c r="J58" s="819"/>
      <c r="K58" s="819"/>
      <c r="L58" s="819"/>
      <c r="M58" s="819"/>
      <c r="N58" s="819"/>
      <c r="O58" s="819"/>
      <c r="P58" s="864"/>
      <c r="Q58" s="864"/>
      <c r="R58" s="864"/>
      <c r="S58" s="819"/>
      <c r="T58" s="884"/>
      <c r="U58" s="885"/>
      <c r="V58" s="885"/>
      <c r="W58" s="885"/>
      <c r="X58" s="799"/>
      <c r="Y58" s="799"/>
    </row>
    <row r="59" ht="14.25">
      <c r="A59" s="832"/>
      <c r="B59" s="824" t="s">
        <v>17</v>
      </c>
      <c r="C59" s="879"/>
      <c r="D59" s="824" t="s">
        <v>18</v>
      </c>
      <c r="E59" s="879"/>
      <c r="F59" s="824" t="s">
        <v>19</v>
      </c>
      <c r="G59" s="824"/>
      <c r="H59" s="824" t="s">
        <v>20</v>
      </c>
      <c r="I59" s="879"/>
      <c r="J59" s="826" t="s">
        <v>21</v>
      </c>
      <c r="K59" s="826"/>
      <c r="L59" s="824" t="s">
        <v>22</v>
      </c>
      <c r="M59" s="824"/>
      <c r="N59" s="824" t="s">
        <v>23</v>
      </c>
      <c r="O59" s="824"/>
      <c r="P59" s="828" t="s">
        <v>24</v>
      </c>
      <c r="Q59" s="829"/>
      <c r="R59" s="832"/>
      <c r="S59" s="841"/>
      <c r="T59" s="841"/>
      <c r="U59" s="832"/>
      <c r="V59" s="832"/>
      <c r="W59" s="832"/>
      <c r="X59" s="831"/>
      <c r="Y59" s="799"/>
    </row>
    <row r="60" ht="14.25">
      <c r="A60" s="832"/>
      <c r="B60" s="833" t="s">
        <v>112</v>
      </c>
      <c r="C60" s="833"/>
      <c r="D60" s="833" t="s">
        <v>113</v>
      </c>
      <c r="E60" s="833"/>
      <c r="F60" s="833" t="s">
        <v>114</v>
      </c>
      <c r="G60" s="833"/>
      <c r="H60" s="833" t="s">
        <v>115</v>
      </c>
      <c r="I60" s="833"/>
      <c r="J60" s="833" t="s">
        <v>116</v>
      </c>
      <c r="K60" s="833"/>
      <c r="L60" s="833" t="s">
        <v>117</v>
      </c>
      <c r="M60" s="833"/>
      <c r="N60" s="833" t="s">
        <v>118</v>
      </c>
      <c r="O60" s="834"/>
      <c r="P60" s="835" t="s">
        <v>25</v>
      </c>
      <c r="Q60" s="835" t="s">
        <v>26</v>
      </c>
      <c r="R60" s="832"/>
      <c r="S60" s="841"/>
      <c r="T60" s="841"/>
      <c r="U60" s="836" t="s">
        <v>27</v>
      </c>
      <c r="V60" s="837" t="s">
        <v>28</v>
      </c>
      <c r="W60" s="832" t="s">
        <v>29</v>
      </c>
      <c r="X60" s="838" t="s">
        <v>30</v>
      </c>
      <c r="Y60" s="799"/>
    </row>
    <row r="61" ht="14.25">
      <c r="A61" s="839" t="s">
        <v>31</v>
      </c>
      <c r="B61" s="840" t="s">
        <v>32</v>
      </c>
      <c r="C61" s="840" t="s">
        <v>33</v>
      </c>
      <c r="D61" s="840" t="s">
        <v>32</v>
      </c>
      <c r="E61" s="840" t="s">
        <v>33</v>
      </c>
      <c r="F61" s="840" t="s">
        <v>32</v>
      </c>
      <c r="G61" s="840" t="s">
        <v>33</v>
      </c>
      <c r="H61" s="840" t="s">
        <v>32</v>
      </c>
      <c r="I61" s="840" t="s">
        <v>33</v>
      </c>
      <c r="J61" s="840" t="s">
        <v>32</v>
      </c>
      <c r="K61" s="840" t="s">
        <v>33</v>
      </c>
      <c r="L61" s="841"/>
      <c r="M61" s="841"/>
      <c r="N61" s="841"/>
      <c r="O61" s="841"/>
      <c r="P61" s="842">
        <f t="shared" si="169"/>
        <v>40</v>
      </c>
      <c r="Q61" s="832">
        <f t="shared" si="171"/>
        <v>16</v>
      </c>
      <c r="R61" s="843" t="s">
        <v>31</v>
      </c>
      <c r="S61" s="844" t="s">
        <v>10</v>
      </c>
      <c r="T61" s="845" t="s">
        <v>9</v>
      </c>
      <c r="U61" s="832">
        <v>0</v>
      </c>
      <c r="V61" s="832">
        <v>0</v>
      </c>
      <c r="W61" s="832"/>
      <c r="X61" s="846" t="s">
        <v>34</v>
      </c>
      <c r="Y61" s="847"/>
    </row>
    <row r="62" ht="14.25">
      <c r="A62" s="848" t="s">
        <v>35</v>
      </c>
      <c r="B62" s="840" t="s">
        <v>32</v>
      </c>
      <c r="C62" s="840" t="s">
        <v>33</v>
      </c>
      <c r="D62" s="840" t="s">
        <v>32</v>
      </c>
      <c r="E62" s="840" t="s">
        <v>33</v>
      </c>
      <c r="F62" s="840" t="s">
        <v>32</v>
      </c>
      <c r="G62" s="840" t="s">
        <v>33</v>
      </c>
      <c r="H62" s="840" t="s">
        <v>32</v>
      </c>
      <c r="I62" s="840" t="s">
        <v>72</v>
      </c>
      <c r="J62" s="840" t="s">
        <v>32</v>
      </c>
      <c r="K62" s="840" t="s">
        <v>33</v>
      </c>
      <c r="L62" s="841"/>
      <c r="M62" s="841"/>
      <c r="N62" s="841"/>
      <c r="O62" s="841"/>
      <c r="P62" s="842">
        <f t="shared" si="169"/>
        <v>40.5</v>
      </c>
      <c r="Q62" s="832">
        <f t="shared" si="171"/>
        <v>14</v>
      </c>
      <c r="R62" s="843" t="s">
        <v>35</v>
      </c>
      <c r="S62" s="849" t="s">
        <v>10</v>
      </c>
      <c r="T62" s="850" t="s">
        <v>9</v>
      </c>
      <c r="U62" s="832">
        <v>0</v>
      </c>
      <c r="V62" s="832">
        <v>0</v>
      </c>
      <c r="W62" s="832"/>
      <c r="X62" s="846" t="s">
        <v>34</v>
      </c>
      <c r="Y62" s="847"/>
    </row>
    <row r="63" ht="14.25">
      <c r="A63" s="839" t="s">
        <v>39</v>
      </c>
      <c r="B63" s="840" t="s">
        <v>32</v>
      </c>
      <c r="C63" s="840" t="s">
        <v>33</v>
      </c>
      <c r="D63" s="840" t="s">
        <v>32</v>
      </c>
      <c r="E63" s="840" t="s">
        <v>33</v>
      </c>
      <c r="F63" s="840" t="s">
        <v>32</v>
      </c>
      <c r="G63" s="840" t="s">
        <v>33</v>
      </c>
      <c r="H63" s="840" t="s">
        <v>32</v>
      </c>
      <c r="I63" s="840" t="s">
        <v>33</v>
      </c>
      <c r="J63" s="840" t="s">
        <v>32</v>
      </c>
      <c r="K63" s="840" t="s">
        <v>33</v>
      </c>
      <c r="L63" s="841"/>
      <c r="M63" s="841"/>
      <c r="N63" s="841"/>
      <c r="O63" s="841"/>
      <c r="P63" s="842">
        <f t="shared" si="169"/>
        <v>40</v>
      </c>
      <c r="Q63" s="832">
        <f t="shared" si="171"/>
        <v>16</v>
      </c>
      <c r="R63" s="843" t="s">
        <v>39</v>
      </c>
      <c r="S63" s="849" t="s">
        <v>10</v>
      </c>
      <c r="T63" s="850" t="s">
        <v>9</v>
      </c>
      <c r="U63" s="832">
        <v>0</v>
      </c>
      <c r="V63" s="832">
        <v>0</v>
      </c>
      <c r="W63" s="832"/>
      <c r="X63" s="851" t="s">
        <v>34</v>
      </c>
      <c r="Y63" s="847"/>
    </row>
    <row r="64" ht="14.25">
      <c r="A64" s="839" t="s">
        <v>40</v>
      </c>
      <c r="B64" s="840" t="s">
        <v>32</v>
      </c>
      <c r="C64" s="840" t="s">
        <v>33</v>
      </c>
      <c r="D64" s="840" t="s">
        <v>32</v>
      </c>
      <c r="E64" s="840" t="s">
        <v>33</v>
      </c>
      <c r="F64" s="840" t="s">
        <v>32</v>
      </c>
      <c r="G64" s="840" t="s">
        <v>33</v>
      </c>
      <c r="H64" s="840" t="s">
        <v>32</v>
      </c>
      <c r="I64" s="840" t="s">
        <v>33</v>
      </c>
      <c r="J64" s="840" t="s">
        <v>32</v>
      </c>
      <c r="K64" s="840" t="s">
        <v>33</v>
      </c>
      <c r="L64" s="841"/>
      <c r="M64" s="841"/>
      <c r="N64" s="841"/>
      <c r="O64" s="841"/>
      <c r="P64" s="842">
        <f t="shared" si="169"/>
        <v>40</v>
      </c>
      <c r="Q64" s="832">
        <f t="shared" si="171"/>
        <v>16</v>
      </c>
      <c r="R64" s="843" t="s">
        <v>40</v>
      </c>
      <c r="S64" s="849" t="s">
        <v>10</v>
      </c>
      <c r="T64" s="850" t="s">
        <v>9</v>
      </c>
      <c r="U64" s="832">
        <v>0</v>
      </c>
      <c r="V64" s="832">
        <v>0</v>
      </c>
      <c r="W64" s="832"/>
      <c r="X64" s="846" t="s">
        <v>38</v>
      </c>
      <c r="Y64" s="847"/>
    </row>
    <row r="65" ht="15">
      <c r="A65" s="839" t="s">
        <v>42</v>
      </c>
      <c r="B65" s="886" t="s">
        <v>32</v>
      </c>
      <c r="C65" s="886" t="s">
        <v>33</v>
      </c>
      <c r="D65" s="840" t="s">
        <v>32</v>
      </c>
      <c r="E65" s="840" t="s">
        <v>33</v>
      </c>
      <c r="F65" s="840" t="s">
        <v>32</v>
      </c>
      <c r="G65" s="840" t="s">
        <v>33</v>
      </c>
      <c r="H65" s="840" t="s">
        <v>32</v>
      </c>
      <c r="I65" s="840" t="s">
        <v>33</v>
      </c>
      <c r="J65" s="840" t="s">
        <v>32</v>
      </c>
      <c r="K65" s="840" t="s">
        <v>33</v>
      </c>
      <c r="L65" s="887"/>
      <c r="M65" s="887"/>
      <c r="N65" s="887"/>
      <c r="O65" s="887"/>
      <c r="P65" s="842">
        <f t="shared" si="169"/>
        <v>40</v>
      </c>
      <c r="Q65" s="832">
        <f t="shared" si="171"/>
        <v>16</v>
      </c>
      <c r="R65" s="843" t="s">
        <v>42</v>
      </c>
      <c r="S65" s="849" t="s">
        <v>10</v>
      </c>
      <c r="T65" s="850" t="s">
        <v>9</v>
      </c>
      <c r="U65" s="832"/>
      <c r="V65" s="832"/>
      <c r="W65" s="832"/>
      <c r="X65" s="846" t="s">
        <v>38</v>
      </c>
      <c r="Y65" s="847"/>
    </row>
    <row r="66" ht="15">
      <c r="A66" s="853" t="s">
        <v>43</v>
      </c>
      <c r="B66" s="856"/>
      <c r="C66" s="856" t="s">
        <v>4</v>
      </c>
      <c r="D66" s="841"/>
      <c r="E66" s="841"/>
      <c r="F66" s="841"/>
      <c r="G66" s="841"/>
      <c r="H66" s="856"/>
      <c r="I66" s="856" t="s">
        <v>33</v>
      </c>
      <c r="J66" s="850"/>
      <c r="K66" s="850" t="s">
        <v>4</v>
      </c>
      <c r="L66" s="819"/>
      <c r="M66" s="819"/>
      <c r="N66" s="841"/>
      <c r="O66" s="841"/>
      <c r="P66" s="842">
        <f t="shared" si="169"/>
        <v>32</v>
      </c>
      <c r="Q66" s="832">
        <f t="shared" si="171"/>
        <v>24</v>
      </c>
      <c r="R66" s="843" t="s">
        <v>43</v>
      </c>
      <c r="S66" s="844" t="s">
        <v>12</v>
      </c>
      <c r="T66" s="845" t="s">
        <v>11</v>
      </c>
      <c r="U66" s="832">
        <v>0</v>
      </c>
      <c r="V66" s="832">
        <v>0</v>
      </c>
      <c r="W66" s="832"/>
      <c r="X66" s="846" t="s">
        <v>44</v>
      </c>
      <c r="Y66" s="852"/>
    </row>
    <row r="67" ht="15">
      <c r="A67" s="853" t="s">
        <v>45</v>
      </c>
      <c r="B67" s="849"/>
      <c r="C67" s="849" t="s">
        <v>4</v>
      </c>
      <c r="D67" s="849"/>
      <c r="E67" s="849" t="s">
        <v>4</v>
      </c>
      <c r="F67" s="875"/>
      <c r="G67" s="875"/>
      <c r="H67" s="819"/>
      <c r="I67" s="819"/>
      <c r="J67" s="841"/>
      <c r="K67" s="841"/>
      <c r="L67" s="856"/>
      <c r="M67" s="856" t="s">
        <v>4</v>
      </c>
      <c r="N67" s="850"/>
      <c r="O67" s="850" t="s">
        <v>4</v>
      </c>
      <c r="P67" s="842">
        <f t="shared" si="169"/>
        <v>48</v>
      </c>
      <c r="Q67" s="832">
        <f t="shared" si="171"/>
        <v>20</v>
      </c>
      <c r="R67" s="843" t="s">
        <v>45</v>
      </c>
      <c r="S67" s="849" t="s">
        <v>10</v>
      </c>
      <c r="T67" s="850" t="s">
        <v>9</v>
      </c>
      <c r="U67" s="832">
        <v>0</v>
      </c>
      <c r="V67" s="832">
        <v>0</v>
      </c>
      <c r="W67" s="832"/>
      <c r="X67" s="846" t="s">
        <v>34</v>
      </c>
      <c r="Y67" s="847"/>
    </row>
    <row r="68" ht="15">
      <c r="A68" s="853" t="s">
        <v>46</v>
      </c>
      <c r="B68" s="881"/>
      <c r="C68" s="881" t="s">
        <v>33</v>
      </c>
      <c r="D68" s="881"/>
      <c r="E68" s="881" t="s">
        <v>33</v>
      </c>
      <c r="F68" s="881"/>
      <c r="G68" s="881" t="s">
        <v>33</v>
      </c>
      <c r="H68" s="881"/>
      <c r="I68" s="881" t="s">
        <v>33</v>
      </c>
      <c r="J68" s="881"/>
      <c r="K68" s="881" t="s">
        <v>33</v>
      </c>
      <c r="L68" s="881"/>
      <c r="M68" s="881"/>
      <c r="N68" s="881"/>
      <c r="O68" s="881"/>
      <c r="P68" s="842">
        <f t="shared" si="169"/>
        <v>40</v>
      </c>
      <c r="Q68" s="832">
        <f t="shared" si="171"/>
        <v>16</v>
      </c>
      <c r="R68" s="843" t="s">
        <v>46</v>
      </c>
      <c r="S68" s="849" t="s">
        <v>10</v>
      </c>
      <c r="T68" s="850" t="s">
        <v>9</v>
      </c>
      <c r="U68" s="832">
        <v>0</v>
      </c>
      <c r="V68" s="832">
        <v>0</v>
      </c>
      <c r="W68" s="832"/>
      <c r="X68" s="846" t="s">
        <v>34</v>
      </c>
      <c r="Y68" s="847"/>
    </row>
    <row r="69" ht="15">
      <c r="A69" s="853" t="s">
        <v>47</v>
      </c>
      <c r="B69" s="841"/>
      <c r="C69" s="841"/>
      <c r="D69" s="850"/>
      <c r="E69" s="850" t="s">
        <v>4</v>
      </c>
      <c r="F69" s="850"/>
      <c r="G69" s="850" t="s">
        <v>33</v>
      </c>
      <c r="H69" s="841"/>
      <c r="I69" s="841"/>
      <c r="J69" s="849"/>
      <c r="K69" s="849" t="s">
        <v>4</v>
      </c>
      <c r="L69" s="841"/>
      <c r="M69" s="841"/>
      <c r="N69" s="854"/>
      <c r="O69" s="854"/>
      <c r="P69" s="842">
        <f t="shared" si="169"/>
        <v>32</v>
      </c>
      <c r="Q69" s="832">
        <f t="shared" si="171"/>
        <v>36</v>
      </c>
      <c r="R69" s="843" t="s">
        <v>47</v>
      </c>
      <c r="S69" s="849" t="s">
        <v>10</v>
      </c>
      <c r="T69" s="850" t="s">
        <v>9</v>
      </c>
      <c r="U69" s="832">
        <v>0</v>
      </c>
      <c r="V69" s="832">
        <v>0</v>
      </c>
      <c r="W69" s="832"/>
      <c r="X69" s="846" t="s">
        <v>34</v>
      </c>
      <c r="Y69" s="847"/>
    </row>
    <row r="70" ht="15">
      <c r="A70" s="853" t="s">
        <v>48</v>
      </c>
      <c r="B70" s="841"/>
      <c r="C70" s="841"/>
      <c r="D70" s="854"/>
      <c r="E70" s="854"/>
      <c r="F70" s="849"/>
      <c r="G70" s="849" t="s">
        <v>4</v>
      </c>
      <c r="H70" s="849"/>
      <c r="I70" s="849" t="s">
        <v>4</v>
      </c>
      <c r="J70" s="819"/>
      <c r="K70" s="819"/>
      <c r="L70" s="849"/>
      <c r="M70" s="849" t="s">
        <v>4</v>
      </c>
      <c r="N70" s="849"/>
      <c r="O70" s="849" t="s">
        <v>4</v>
      </c>
      <c r="P70" s="842">
        <f t="shared" si="169"/>
        <v>48</v>
      </c>
      <c r="Q70" s="832">
        <f t="shared" si="171"/>
        <v>24</v>
      </c>
      <c r="R70" s="843" t="s">
        <v>48</v>
      </c>
      <c r="S70" s="844" t="s">
        <v>8</v>
      </c>
      <c r="T70" s="845" t="s">
        <v>7</v>
      </c>
      <c r="U70" s="832">
        <v>0</v>
      </c>
      <c r="V70" s="832">
        <v>0</v>
      </c>
      <c r="W70" s="832"/>
      <c r="X70" s="846" t="s">
        <v>49</v>
      </c>
      <c r="Y70" s="847"/>
    </row>
    <row r="71" ht="15">
      <c r="A71" s="853" t="s">
        <v>50</v>
      </c>
      <c r="B71" s="802"/>
      <c r="C71" s="802" t="s">
        <v>4</v>
      </c>
      <c r="D71" s="874"/>
      <c r="E71" s="874"/>
      <c r="F71" s="881"/>
      <c r="G71" s="881" t="s">
        <v>33</v>
      </c>
      <c r="H71" s="881"/>
      <c r="I71" s="881" t="s">
        <v>33</v>
      </c>
      <c r="J71" s="888"/>
      <c r="K71" s="888" t="s">
        <v>33</v>
      </c>
      <c r="L71" s="888"/>
      <c r="M71" s="888"/>
      <c r="N71" s="881"/>
      <c r="O71" s="881"/>
      <c r="P71" s="842">
        <f t="shared" si="169"/>
        <v>36</v>
      </c>
      <c r="Q71" s="832">
        <f t="shared" si="171"/>
        <v>16</v>
      </c>
      <c r="R71" s="843" t="s">
        <v>50</v>
      </c>
      <c r="S71" s="844" t="s">
        <v>12</v>
      </c>
      <c r="T71" s="845" t="s">
        <v>11</v>
      </c>
      <c r="U71" s="832">
        <v>0</v>
      </c>
      <c r="V71" s="832">
        <v>0</v>
      </c>
      <c r="W71" s="832"/>
      <c r="X71" s="846" t="s">
        <v>44</v>
      </c>
      <c r="Y71" s="847"/>
    </row>
    <row r="72" ht="15">
      <c r="A72" s="855" t="s">
        <v>51</v>
      </c>
      <c r="B72" s="858"/>
      <c r="C72" s="858" t="s">
        <v>33</v>
      </c>
      <c r="D72" s="857"/>
      <c r="E72" s="857" t="s">
        <v>33</v>
      </c>
      <c r="F72" s="858"/>
      <c r="G72" s="858" t="s">
        <v>33</v>
      </c>
      <c r="H72" s="876"/>
      <c r="I72" s="876" t="s">
        <v>33</v>
      </c>
      <c r="J72" s="889"/>
      <c r="K72" s="889"/>
      <c r="L72" s="890"/>
      <c r="M72" s="890"/>
      <c r="N72" s="890"/>
      <c r="O72" s="891"/>
      <c r="P72" s="842">
        <f t="shared" si="169"/>
        <v>32</v>
      </c>
      <c r="Q72" s="832">
        <f t="shared" si="171"/>
        <v>36</v>
      </c>
      <c r="R72" s="843" t="s">
        <v>51</v>
      </c>
      <c r="S72" s="844" t="s">
        <v>10</v>
      </c>
      <c r="T72" s="845" t="s">
        <v>9</v>
      </c>
      <c r="U72" s="832">
        <v>0</v>
      </c>
      <c r="V72" s="832">
        <v>0</v>
      </c>
      <c r="W72" s="832"/>
      <c r="X72" s="846" t="s">
        <v>34</v>
      </c>
      <c r="Y72" s="847"/>
    </row>
    <row r="73" ht="15">
      <c r="A73" s="832"/>
      <c r="B73" s="833" t="s">
        <v>112</v>
      </c>
      <c r="C73" s="833"/>
      <c r="D73" s="833" t="s">
        <v>113</v>
      </c>
      <c r="E73" s="833"/>
      <c r="F73" s="833" t="s">
        <v>114</v>
      </c>
      <c r="G73" s="833"/>
      <c r="H73" s="833" t="s">
        <v>115</v>
      </c>
      <c r="I73" s="833"/>
      <c r="J73" s="833" t="s">
        <v>116</v>
      </c>
      <c r="K73" s="833"/>
      <c r="L73" s="833" t="s">
        <v>117</v>
      </c>
      <c r="M73" s="833"/>
      <c r="N73" s="833" t="s">
        <v>118</v>
      </c>
      <c r="O73" s="834"/>
      <c r="P73" s="883"/>
      <c r="Q73" s="832"/>
      <c r="R73" s="843"/>
      <c r="S73" s="841"/>
      <c r="T73" s="841"/>
      <c r="U73" s="836" t="s">
        <v>27</v>
      </c>
      <c r="V73" s="837" t="s">
        <v>28</v>
      </c>
      <c r="W73" s="832" t="s">
        <v>29</v>
      </c>
      <c r="X73" s="878"/>
      <c r="Y73" s="799"/>
    </row>
    <row r="74" ht="15">
      <c r="A74" s="892"/>
      <c r="B74" s="810"/>
      <c r="C74" s="810"/>
      <c r="D74" s="810"/>
      <c r="E74" s="810"/>
      <c r="F74" s="810"/>
      <c r="G74" s="810"/>
      <c r="H74" s="810"/>
      <c r="I74" s="810"/>
      <c r="J74" s="810"/>
      <c r="K74" s="810"/>
      <c r="L74" s="810"/>
      <c r="M74" s="810"/>
      <c r="N74" s="810"/>
      <c r="O74" s="810"/>
      <c r="P74" s="892"/>
      <c r="Q74" s="885"/>
      <c r="R74" s="892"/>
      <c r="S74" s="810"/>
      <c r="T74" s="810"/>
      <c r="U74" s="885"/>
      <c r="V74" s="885"/>
      <c r="W74" s="885"/>
      <c r="X74" s="799"/>
      <c r="Y74" s="799"/>
    </row>
    <row r="75" ht="15">
      <c r="A75" s="832"/>
      <c r="B75" s="824" t="s">
        <v>17</v>
      </c>
      <c r="C75" s="879"/>
      <c r="D75" s="824" t="s">
        <v>18</v>
      </c>
      <c r="E75" s="879"/>
      <c r="F75" s="824" t="s">
        <v>19</v>
      </c>
      <c r="G75" s="824"/>
      <c r="H75" s="824" t="s">
        <v>20</v>
      </c>
      <c r="I75" s="879"/>
      <c r="J75" s="826" t="s">
        <v>21</v>
      </c>
      <c r="K75" s="826"/>
      <c r="L75" s="824" t="s">
        <v>22</v>
      </c>
      <c r="M75" s="824"/>
      <c r="N75" s="824" t="s">
        <v>23</v>
      </c>
      <c r="O75" s="824"/>
      <c r="P75" s="828" t="s">
        <v>24</v>
      </c>
      <c r="Q75" s="829"/>
      <c r="R75" s="832"/>
      <c r="S75" s="841"/>
      <c r="T75" s="841"/>
      <c r="U75" s="832"/>
      <c r="V75" s="832"/>
      <c r="W75" s="832"/>
      <c r="X75" s="831"/>
      <c r="Y75" s="799"/>
    </row>
    <row r="76" ht="15">
      <c r="A76" s="832"/>
      <c r="B76" s="833" t="s">
        <v>119</v>
      </c>
      <c r="C76" s="833"/>
      <c r="D76" s="833" t="s">
        <v>120</v>
      </c>
      <c r="E76" s="833"/>
      <c r="F76" s="893" t="s">
        <v>121</v>
      </c>
      <c r="G76" s="893"/>
      <c r="H76" s="833" t="s">
        <v>122</v>
      </c>
      <c r="I76" s="833"/>
      <c r="J76" s="833" t="s">
        <v>123</v>
      </c>
      <c r="K76" s="833"/>
      <c r="L76" s="833" t="s">
        <v>124</v>
      </c>
      <c r="M76" s="833"/>
      <c r="N76" s="833" t="s">
        <v>125</v>
      </c>
      <c r="O76" s="834"/>
      <c r="P76" s="835" t="s">
        <v>25</v>
      </c>
      <c r="Q76" s="835" t="s">
        <v>26</v>
      </c>
      <c r="R76" s="832"/>
      <c r="S76" s="841"/>
      <c r="T76" s="841"/>
      <c r="U76" s="836" t="s">
        <v>27</v>
      </c>
      <c r="V76" s="837" t="s">
        <v>28</v>
      </c>
      <c r="W76" s="832" t="s">
        <v>29</v>
      </c>
      <c r="X76" s="838" t="s">
        <v>30</v>
      </c>
      <c r="Y76" s="799"/>
    </row>
    <row r="77" ht="15">
      <c r="A77" s="839" t="s">
        <v>31</v>
      </c>
      <c r="B77" s="840" t="s">
        <v>32</v>
      </c>
      <c r="C77" s="840" t="s">
        <v>33</v>
      </c>
      <c r="D77" s="840" t="s">
        <v>32</v>
      </c>
      <c r="E77" s="840" t="s">
        <v>33</v>
      </c>
      <c r="F77" s="841"/>
      <c r="G77" s="841"/>
      <c r="H77" s="841"/>
      <c r="I77" s="841"/>
      <c r="J77" s="841"/>
      <c r="K77" s="841"/>
      <c r="L77" s="841"/>
      <c r="M77" s="841"/>
      <c r="N77" s="841"/>
      <c r="O77" s="841"/>
      <c r="P77" s="842">
        <f t="shared" ref="P76:P81" si="172">C77+E77+G77+I77+K77+M77+O77</f>
        <v>16</v>
      </c>
      <c r="Q77" s="832">
        <f t="shared" si="171"/>
        <v>0</v>
      </c>
      <c r="R77" s="843" t="s">
        <v>31</v>
      </c>
      <c r="S77" s="844" t="s">
        <v>10</v>
      </c>
      <c r="T77" s="845" t="s">
        <v>9</v>
      </c>
      <c r="U77" s="832">
        <v>0</v>
      </c>
      <c r="V77" s="832">
        <v>0</v>
      </c>
      <c r="W77" s="832"/>
      <c r="X77" s="846" t="s">
        <v>34</v>
      </c>
      <c r="Y77" s="847"/>
    </row>
    <row r="78" ht="15">
      <c r="A78" s="839" t="s">
        <v>35</v>
      </c>
      <c r="B78" s="840" t="s">
        <v>32</v>
      </c>
      <c r="C78" s="840" t="s">
        <v>53</v>
      </c>
      <c r="D78" s="840" t="s">
        <v>32</v>
      </c>
      <c r="E78" s="840" t="s">
        <v>33</v>
      </c>
      <c r="F78" s="841"/>
      <c r="G78" s="841"/>
      <c r="H78" s="841"/>
      <c r="I78" s="841"/>
      <c r="J78" s="841"/>
      <c r="K78" s="841"/>
      <c r="L78" s="841"/>
      <c r="M78" s="841"/>
      <c r="N78" s="841"/>
      <c r="O78" s="841"/>
      <c r="P78" s="842">
        <f t="shared" si="172"/>
        <v>18</v>
      </c>
      <c r="Q78" s="832">
        <f t="shared" si="171"/>
        <v>-4</v>
      </c>
      <c r="R78" s="843" t="s">
        <v>35</v>
      </c>
      <c r="S78" s="849" t="s">
        <v>10</v>
      </c>
      <c r="T78" s="850" t="s">
        <v>9</v>
      </c>
      <c r="U78" s="832">
        <v>0</v>
      </c>
      <c r="V78" s="832">
        <v>0</v>
      </c>
      <c r="W78" s="832"/>
      <c r="X78" s="846" t="s">
        <v>34</v>
      </c>
      <c r="Y78" s="847"/>
    </row>
    <row r="79" ht="15">
      <c r="A79" s="839" t="s">
        <v>39</v>
      </c>
      <c r="B79" s="840" t="s">
        <v>32</v>
      </c>
      <c r="C79" s="840" t="s">
        <v>33</v>
      </c>
      <c r="D79" s="840" t="s">
        <v>32</v>
      </c>
      <c r="E79" s="840" t="s">
        <v>33</v>
      </c>
      <c r="F79" s="841"/>
      <c r="G79" s="841"/>
      <c r="H79" s="841"/>
      <c r="I79" s="841"/>
      <c r="J79" s="841"/>
      <c r="K79" s="841"/>
      <c r="L79" s="841"/>
      <c r="M79" s="841"/>
      <c r="N79" s="841"/>
      <c r="O79" s="841"/>
      <c r="P79" s="842">
        <f t="shared" si="172"/>
        <v>16</v>
      </c>
      <c r="Q79" s="832">
        <f t="shared" si="171"/>
        <v>0</v>
      </c>
      <c r="R79" s="843" t="s">
        <v>39</v>
      </c>
      <c r="S79" s="849" t="s">
        <v>10</v>
      </c>
      <c r="T79" s="850" t="s">
        <v>9</v>
      </c>
      <c r="U79" s="832">
        <v>0</v>
      </c>
      <c r="V79" s="832">
        <v>0</v>
      </c>
      <c r="W79" s="832"/>
      <c r="X79" s="851" t="s">
        <v>34</v>
      </c>
      <c r="Y79" s="847"/>
    </row>
    <row r="80" ht="15">
      <c r="A80" s="839" t="s">
        <v>40</v>
      </c>
      <c r="B80" s="840" t="s">
        <v>32</v>
      </c>
      <c r="C80" s="840" t="s">
        <v>33</v>
      </c>
      <c r="D80" s="840" t="s">
        <v>32</v>
      </c>
      <c r="E80" s="840" t="s">
        <v>33</v>
      </c>
      <c r="F80" s="841"/>
      <c r="G80" s="841"/>
      <c r="H80" s="894"/>
      <c r="I80" s="894"/>
      <c r="J80" s="894"/>
      <c r="K80" s="894"/>
      <c r="L80" s="894"/>
      <c r="M80" s="894"/>
      <c r="N80" s="894"/>
      <c r="O80" s="894"/>
      <c r="P80" s="842">
        <f t="shared" si="172"/>
        <v>16</v>
      </c>
      <c r="Q80" s="832">
        <f t="shared" si="171"/>
        <v>0</v>
      </c>
      <c r="R80" s="843" t="s">
        <v>40</v>
      </c>
      <c r="S80" s="849" t="s">
        <v>10</v>
      </c>
      <c r="T80" s="850" t="s">
        <v>9</v>
      </c>
      <c r="U80" s="832">
        <v>0</v>
      </c>
      <c r="V80" s="832">
        <v>0</v>
      </c>
      <c r="W80" s="832"/>
      <c r="X80" s="846" t="s">
        <v>38</v>
      </c>
      <c r="Y80" s="847"/>
    </row>
    <row r="81" ht="15">
      <c r="A81" s="839" t="s">
        <v>42</v>
      </c>
      <c r="B81" s="840" t="s">
        <v>32</v>
      </c>
      <c r="C81" s="840" t="s">
        <v>33</v>
      </c>
      <c r="D81" s="840" t="s">
        <v>32</v>
      </c>
      <c r="E81" s="840" t="s">
        <v>33</v>
      </c>
      <c r="F81" s="841"/>
      <c r="G81" s="895"/>
      <c r="H81" s="896"/>
      <c r="I81" s="896"/>
      <c r="J81" s="897"/>
      <c r="K81" s="897"/>
      <c r="L81" s="896"/>
      <c r="M81" s="896"/>
      <c r="N81" s="898"/>
      <c r="O81" s="898"/>
      <c r="P81" s="842">
        <f t="shared" si="172"/>
        <v>16</v>
      </c>
      <c r="Q81" s="832">
        <f t="shared" si="171"/>
        <v>0</v>
      </c>
      <c r="R81" s="843" t="s">
        <v>42</v>
      </c>
      <c r="S81" s="849" t="s">
        <v>10</v>
      </c>
      <c r="T81" s="850" t="s">
        <v>9</v>
      </c>
      <c r="U81" s="832"/>
      <c r="V81" s="832"/>
      <c r="W81" s="832"/>
      <c r="X81" s="846" t="s">
        <v>38</v>
      </c>
      <c r="Y81" s="847"/>
    </row>
    <row r="82" ht="15">
      <c r="A82" s="853" t="s">
        <v>43</v>
      </c>
      <c r="B82" s="849"/>
      <c r="C82" s="849" t="s">
        <v>4</v>
      </c>
      <c r="D82" s="849"/>
      <c r="E82" s="849" t="s">
        <v>4</v>
      </c>
      <c r="F82" s="841"/>
      <c r="G82" s="895"/>
      <c r="H82" s="896"/>
      <c r="I82" s="21"/>
      <c r="J82" s="899"/>
      <c r="K82" s="112"/>
      <c r="L82" s="896"/>
      <c r="M82" s="21"/>
      <c r="N82" s="898"/>
      <c r="O82" s="898"/>
      <c r="P82" s="900">
        <f t="shared" ref="P82:P88" si="173">C82+E82+G82+I81+K81+M81+O81</f>
        <v>24</v>
      </c>
      <c r="Q82" s="832">
        <f t="shared" si="171"/>
        <v>0</v>
      </c>
      <c r="R82" s="843" t="s">
        <v>43</v>
      </c>
      <c r="S82" s="844" t="s">
        <v>12</v>
      </c>
      <c r="T82" s="845" t="s">
        <v>11</v>
      </c>
      <c r="U82" s="832">
        <v>0</v>
      </c>
      <c r="V82" s="832">
        <v>0</v>
      </c>
      <c r="W82" s="832"/>
      <c r="X82" s="846" t="s">
        <v>44</v>
      </c>
      <c r="Y82" s="852"/>
    </row>
    <row r="83" ht="15">
      <c r="A83" s="853" t="s">
        <v>45</v>
      </c>
      <c r="B83" s="854"/>
      <c r="C83" s="854"/>
      <c r="D83" s="872"/>
      <c r="E83" s="873" t="s">
        <v>33</v>
      </c>
      <c r="F83" s="854"/>
      <c r="G83" s="901"/>
      <c r="H83" s="902"/>
      <c r="I83" s="902"/>
      <c r="J83" s="903"/>
      <c r="K83" s="904"/>
      <c r="L83" s="273"/>
      <c r="M83" s="898"/>
      <c r="N83" s="112"/>
      <c r="O83" s="899"/>
      <c r="P83" s="900">
        <f t="shared" si="173"/>
        <v>8</v>
      </c>
      <c r="Q83" s="832">
        <f t="shared" si="171"/>
        <v>12</v>
      </c>
      <c r="R83" s="843" t="s">
        <v>45</v>
      </c>
      <c r="S83" s="849" t="s">
        <v>10</v>
      </c>
      <c r="T83" s="850" t="s">
        <v>9</v>
      </c>
      <c r="U83" s="832">
        <v>0</v>
      </c>
      <c r="V83" s="832">
        <v>0</v>
      </c>
      <c r="W83" s="832"/>
      <c r="X83" s="846" t="s">
        <v>34</v>
      </c>
      <c r="Y83" s="847"/>
    </row>
    <row r="84" ht="15">
      <c r="A84" s="853" t="s">
        <v>46</v>
      </c>
      <c r="B84" s="881"/>
      <c r="C84" s="881" t="s">
        <v>33</v>
      </c>
      <c r="D84" s="881"/>
      <c r="E84" s="881" t="s">
        <v>33</v>
      </c>
      <c r="F84" s="881"/>
      <c r="G84" s="905"/>
      <c r="H84" s="896"/>
      <c r="I84" s="21"/>
      <c r="J84" s="902"/>
      <c r="K84" s="89"/>
      <c r="L84" s="902"/>
      <c r="M84" s="89"/>
      <c r="N84" s="898"/>
      <c r="O84" s="898"/>
      <c r="P84" s="900">
        <f t="shared" si="173"/>
        <v>16</v>
      </c>
      <c r="Q84" s="832">
        <f t="shared" si="171"/>
        <v>0</v>
      </c>
      <c r="R84" s="843" t="s">
        <v>46</v>
      </c>
      <c r="S84" s="849" t="s">
        <v>10</v>
      </c>
      <c r="T84" s="850" t="s">
        <v>9</v>
      </c>
      <c r="U84" s="832">
        <v>0</v>
      </c>
      <c r="V84" s="832">
        <v>0</v>
      </c>
      <c r="W84" s="832"/>
      <c r="X84" s="846" t="s">
        <v>34</v>
      </c>
      <c r="Y84" s="847"/>
    </row>
    <row r="85" ht="15">
      <c r="A85" s="853" t="s">
        <v>47</v>
      </c>
      <c r="B85" s="854"/>
      <c r="C85" s="854"/>
      <c r="D85" s="854"/>
      <c r="E85" s="854"/>
      <c r="F85" s="841"/>
      <c r="G85" s="895"/>
      <c r="H85" s="906"/>
      <c r="I85" s="906"/>
      <c r="J85" s="273"/>
      <c r="K85" s="898"/>
      <c r="L85" s="89"/>
      <c r="M85" s="902"/>
      <c r="N85" s="89"/>
      <c r="O85" s="902"/>
      <c r="P85" s="900">
        <f t="shared" si="173"/>
        <v>0</v>
      </c>
      <c r="Q85" s="832">
        <f t="shared" si="171"/>
        <v>36</v>
      </c>
      <c r="R85" s="843" t="s">
        <v>47</v>
      </c>
      <c r="S85" s="849" t="s">
        <v>10</v>
      </c>
      <c r="T85" s="850" t="s">
        <v>9</v>
      </c>
      <c r="U85" s="832">
        <v>0</v>
      </c>
      <c r="V85" s="832">
        <v>0</v>
      </c>
      <c r="W85" s="832"/>
      <c r="X85" s="846" t="s">
        <v>34</v>
      </c>
      <c r="Y85" s="847"/>
    </row>
    <row r="86" ht="15">
      <c r="A86" s="853" t="s">
        <v>48</v>
      </c>
      <c r="B86" s="849"/>
      <c r="C86" s="849" t="s">
        <v>4</v>
      </c>
      <c r="D86" s="841"/>
      <c r="E86" s="841"/>
      <c r="F86" s="850"/>
      <c r="G86" s="907" t="s">
        <v>4</v>
      </c>
      <c r="H86" s="899"/>
      <c r="I86" s="112"/>
      <c r="J86" s="908"/>
      <c r="K86" s="302"/>
      <c r="L86" s="898"/>
      <c r="M86" s="273"/>
      <c r="N86" s="902"/>
      <c r="O86" s="902"/>
      <c r="P86" s="900">
        <f t="shared" si="173"/>
        <v>24</v>
      </c>
      <c r="Q86" s="832">
        <f t="shared" si="171"/>
        <v>0</v>
      </c>
      <c r="R86" s="843" t="s">
        <v>48</v>
      </c>
      <c r="S86" s="844" t="s">
        <v>8</v>
      </c>
      <c r="T86" s="845" t="s">
        <v>7</v>
      </c>
      <c r="U86" s="832">
        <v>0</v>
      </c>
      <c r="V86" s="832">
        <v>0</v>
      </c>
      <c r="W86" s="832"/>
      <c r="X86" s="846" t="s">
        <v>49</v>
      </c>
      <c r="Y86" s="847"/>
    </row>
    <row r="87" ht="15">
      <c r="A87" s="853" t="s">
        <v>50</v>
      </c>
      <c r="B87" s="881"/>
      <c r="C87" s="881" t="s">
        <v>33</v>
      </c>
      <c r="D87" s="881"/>
      <c r="E87" s="881" t="s">
        <v>33</v>
      </c>
      <c r="F87" s="797"/>
      <c r="G87" s="909"/>
      <c r="H87" s="910"/>
      <c r="I87" s="910"/>
      <c r="J87" s="899"/>
      <c r="K87" s="899"/>
      <c r="L87" s="906"/>
      <c r="M87" s="906"/>
      <c r="N87" s="908"/>
      <c r="O87" s="908"/>
      <c r="P87" s="900">
        <f t="shared" si="173"/>
        <v>16</v>
      </c>
      <c r="Q87" s="832">
        <f t="shared" si="171"/>
        <v>0</v>
      </c>
      <c r="R87" s="843" t="s">
        <v>50</v>
      </c>
      <c r="S87" s="844" t="s">
        <v>12</v>
      </c>
      <c r="T87" s="845" t="s">
        <v>11</v>
      </c>
      <c r="U87" s="832">
        <v>0</v>
      </c>
      <c r="V87" s="832">
        <v>0</v>
      </c>
      <c r="W87" s="832"/>
      <c r="X87" s="846" t="s">
        <v>44</v>
      </c>
      <c r="Y87" s="847"/>
    </row>
    <row r="88" ht="15">
      <c r="A88" s="855" t="s">
        <v>51</v>
      </c>
      <c r="B88" s="889"/>
      <c r="C88" s="889"/>
      <c r="D88" s="889"/>
      <c r="E88" s="889"/>
      <c r="F88" s="911"/>
      <c r="G88" s="912" t="s">
        <v>4</v>
      </c>
      <c r="H88" s="902"/>
      <c r="I88" s="902"/>
      <c r="J88" s="898"/>
      <c r="K88" s="898"/>
      <c r="L88" s="913"/>
      <c r="M88" s="913"/>
      <c r="N88" s="899"/>
      <c r="O88" s="899"/>
      <c r="P88" s="900">
        <f t="shared" si="173"/>
        <v>12</v>
      </c>
      <c r="Q88" s="832">
        <f t="shared" si="171"/>
        <v>24</v>
      </c>
      <c r="R88" s="843" t="s">
        <v>51</v>
      </c>
      <c r="S88" s="844" t="s">
        <v>10</v>
      </c>
      <c r="T88" s="845" t="s">
        <v>9</v>
      </c>
      <c r="U88" s="832">
        <v>0</v>
      </c>
      <c r="V88" s="832">
        <v>0</v>
      </c>
      <c r="W88" s="832"/>
      <c r="X88" s="846" t="s">
        <v>34</v>
      </c>
      <c r="Y88" s="847"/>
    </row>
    <row r="89" ht="15">
      <c r="A89" s="843"/>
      <c r="B89" s="833" t="s">
        <v>119</v>
      </c>
      <c r="C89" s="833"/>
      <c r="D89" s="833" t="s">
        <v>120</v>
      </c>
      <c r="E89" s="833"/>
      <c r="F89" s="893" t="s">
        <v>121</v>
      </c>
      <c r="G89" s="893"/>
      <c r="H89" s="914" t="s">
        <v>122</v>
      </c>
      <c r="I89" s="914"/>
      <c r="J89" s="914" t="s">
        <v>123</v>
      </c>
      <c r="K89" s="914"/>
      <c r="L89" s="914" t="s">
        <v>124</v>
      </c>
      <c r="M89" s="914"/>
      <c r="N89" s="914" t="s">
        <v>125</v>
      </c>
      <c r="O89" s="915"/>
      <c r="P89" s="883"/>
      <c r="Q89" s="832"/>
      <c r="R89" s="843"/>
      <c r="S89" s="841"/>
      <c r="T89" s="841"/>
      <c r="U89" s="836" t="s">
        <v>27</v>
      </c>
      <c r="V89" s="837" t="s">
        <v>28</v>
      </c>
      <c r="W89" s="832" t="s">
        <v>29</v>
      </c>
      <c r="X89" s="878"/>
      <c r="Y89" s="799"/>
    </row>
    <row r="90" ht="15">
      <c r="A90" s="892"/>
      <c r="B90" s="810"/>
      <c r="C90" s="810"/>
      <c r="D90" s="810"/>
      <c r="E90" s="810"/>
      <c r="F90" s="810"/>
      <c r="G90" s="810"/>
      <c r="H90" s="810"/>
      <c r="I90" s="810"/>
      <c r="J90" s="810"/>
      <c r="K90" s="810"/>
      <c r="L90" s="810"/>
      <c r="M90" s="810"/>
      <c r="N90" s="810"/>
      <c r="O90" s="810"/>
      <c r="P90" s="892"/>
      <c r="Q90" s="885"/>
      <c r="R90" s="892"/>
      <c r="S90" s="810"/>
      <c r="T90" s="810"/>
      <c r="U90" s="885"/>
      <c r="V90" s="885"/>
      <c r="W90" s="885"/>
      <c r="X90" s="799"/>
      <c r="Y90" s="799"/>
    </row>
  </sheetData>
  <mergeCells count="11">
    <mergeCell ref="F1:J1"/>
    <mergeCell ref="F2:K5"/>
    <mergeCell ref="A9:Q9"/>
    <mergeCell ref="U9:V9"/>
    <mergeCell ref="P10:Q10"/>
    <mergeCell ref="A26:Q26"/>
    <mergeCell ref="P27:Q27"/>
    <mergeCell ref="A42:Q42"/>
    <mergeCell ref="P43:Q43"/>
    <mergeCell ref="P59:Q59"/>
    <mergeCell ref="P75:Q7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2" zoomScale="100" workbookViewId="0">
      <selection activeCell="A1" activeCellId="0" sqref="A1"/>
    </sheetView>
  </sheetViews>
  <sheetFormatPr defaultRowHeight="15"/>
  <cols>
    <col customWidth="1" min="1" max="1" width="18.44140625"/>
    <col customWidth="1" min="2" max="2" width="12.109375"/>
    <col customWidth="1" min="3" max="3" width="5.109375"/>
    <col customWidth="1" min="4" max="4" width="12.33203125"/>
    <col customWidth="1" min="5" max="5" width="5.109375"/>
    <col customWidth="1" min="6" max="6" width="13.33203125"/>
    <col customWidth="1" min="7" max="7" width="6.109375"/>
    <col customWidth="1" min="8" max="8" width="13.5546875"/>
    <col customWidth="1" min="9" max="9" width="6"/>
    <col customWidth="1" min="10" max="10" width="10.6640625"/>
    <col customWidth="1" min="11" max="11" width="5.88671875"/>
    <col customWidth="1" min="12" max="12" width="11.88671875"/>
    <col customWidth="1" min="13" max="13" width="5.109375"/>
    <col customWidth="1" min="14" max="14" width="11"/>
    <col customWidth="1" min="15" max="15" width="5.88671875"/>
    <col customWidth="1" min="16" max="17" width="9.140625"/>
    <col customWidth="1" min="18" max="18" width="13.33203125"/>
    <col customWidth="1" min="19" max="30" width="9.140625"/>
  </cols>
  <sheetData>
    <row r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ht="14.25">
      <c r="A2" s="14"/>
      <c r="B2" s="15" t="s">
        <v>3</v>
      </c>
      <c r="C2" s="15" t="s">
        <v>81</v>
      </c>
      <c r="D2" s="16" t="s">
        <v>5</v>
      </c>
      <c r="E2" s="16" t="s">
        <v>81</v>
      </c>
      <c r="F2" s="6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ht="14.25">
      <c r="A3" s="14"/>
      <c r="B3" s="15" t="s">
        <v>7</v>
      </c>
      <c r="C3" s="15" t="s">
        <v>81</v>
      </c>
      <c r="D3" s="16" t="s">
        <v>8</v>
      </c>
      <c r="E3" s="16" t="s">
        <v>81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ht="14.25">
      <c r="A4" s="14"/>
      <c r="B4" s="15" t="s">
        <v>9</v>
      </c>
      <c r="C4" s="15" t="s">
        <v>81</v>
      </c>
      <c r="D4" s="16" t="s">
        <v>10</v>
      </c>
      <c r="E4" s="16" t="s">
        <v>81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ht="14.25">
      <c r="A5" s="14"/>
      <c r="B5" s="15" t="s">
        <v>11</v>
      </c>
      <c r="C5" s="15" t="s">
        <v>81</v>
      </c>
      <c r="D5" s="16" t="s">
        <v>12</v>
      </c>
      <c r="E5" s="16" t="s">
        <v>81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ht="14.25">
      <c r="A6" s="6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ht="14.25">
      <c r="A7" s="7"/>
      <c r="B7" s="7"/>
      <c r="C7" s="7"/>
      <c r="D7" s="519"/>
      <c r="E7" s="916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ht="14.25">
      <c r="A10" s="143"/>
      <c r="B10" s="214" t="s">
        <v>17</v>
      </c>
      <c r="C10" s="481"/>
      <c r="D10" s="214" t="s">
        <v>18</v>
      </c>
      <c r="E10" s="481"/>
      <c r="F10" s="214" t="s">
        <v>19</v>
      </c>
      <c r="G10" s="214"/>
      <c r="H10" s="214" t="s">
        <v>20</v>
      </c>
      <c r="I10" s="481"/>
      <c r="J10" s="482" t="s">
        <v>21</v>
      </c>
      <c r="K10" s="482"/>
      <c r="L10" s="214" t="s">
        <v>22</v>
      </c>
      <c r="M10" s="214"/>
      <c r="N10" s="214" t="s">
        <v>23</v>
      </c>
      <c r="O10" s="214"/>
      <c r="P10" s="208" t="s">
        <v>24</v>
      </c>
      <c r="Q10" s="209"/>
      <c r="R10" s="143">
        <v>152</v>
      </c>
      <c r="S10" s="143"/>
      <c r="T10" s="143"/>
      <c r="U10" s="286">
        <v>152</v>
      </c>
      <c r="V10" s="90"/>
      <c r="W10" s="62"/>
      <c r="X10" s="51"/>
      <c r="Y10" s="7"/>
      <c r="Z10" s="7"/>
      <c r="AA10" s="7"/>
      <c r="AB10" s="13"/>
      <c r="AC10" s="13"/>
      <c r="AD10" s="13"/>
    </row>
    <row r="11" ht="14.25">
      <c r="A11" s="143"/>
      <c r="B11" s="515">
        <v>46048</v>
      </c>
      <c r="C11" s="517"/>
      <c r="D11" s="515">
        <v>46049</v>
      </c>
      <c r="E11" s="517"/>
      <c r="F11" s="515">
        <v>46050</v>
      </c>
      <c r="G11" s="517"/>
      <c r="H11" s="515">
        <v>46051</v>
      </c>
      <c r="I11" s="517"/>
      <c r="J11" s="515">
        <v>46052</v>
      </c>
      <c r="K11" s="517"/>
      <c r="L11" s="515">
        <v>46053</v>
      </c>
      <c r="M11" s="517"/>
      <c r="N11" s="515">
        <v>46023</v>
      </c>
      <c r="O11" s="517"/>
      <c r="P11" s="213" t="s">
        <v>25</v>
      </c>
      <c r="Q11" s="214" t="s">
        <v>26</v>
      </c>
      <c r="R11" s="524"/>
      <c r="S11" s="147"/>
      <c r="T11" s="147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ht="14.25">
      <c r="A12" s="415" t="s">
        <v>35</v>
      </c>
      <c r="B12" s="527"/>
      <c r="C12" s="527"/>
      <c r="D12" s="527"/>
      <c r="E12" s="527"/>
      <c r="F12" s="527"/>
      <c r="G12" s="527"/>
      <c r="H12" s="527"/>
      <c r="I12" s="527"/>
      <c r="J12" s="527"/>
      <c r="K12" s="527"/>
      <c r="L12" s="528"/>
      <c r="M12" s="528"/>
      <c r="N12" s="528"/>
      <c r="O12" s="528"/>
      <c r="P12" s="253">
        <f t="shared" ref="P12:P75" si="174">C12+E12+G12+I12+K12+M12+O12</f>
        <v>0</v>
      </c>
      <c r="Q12" s="62">
        <f>R10-P12</f>
        <v>152</v>
      </c>
      <c r="R12" s="219" t="str">
        <f t="shared" ref="R12:R75" si="175">A12</f>
        <v>Рычков</v>
      </c>
      <c r="S12" s="76" t="s">
        <v>10</v>
      </c>
      <c r="T12" s="77" t="s">
        <v>9</v>
      </c>
      <c r="U12" s="73">
        <f>COUNTIF(T11,B11)+COUNTIF(T11,D11)+COUNTIF(T11,F11)+COUNTIF(T11,H11)+COUNTIF(T11,J11)+COUNTIF(T11,L11)+COUNTIF(T11,N11)</f>
        <v>0</v>
      </c>
      <c r="V12" s="62">
        <f>COUNTIF(S11,B11)+COUNTIF(S11,D11)+COUNTIF(S11,F11)+COUNTIF(S11,H11)+COUNTIF(S11,J11)+COUNTIF(S11,L11)+COUNTIF(S11,N11)</f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ht="14.25">
      <c r="A13" s="415" t="s">
        <v>39</v>
      </c>
      <c r="B13" s="527"/>
      <c r="C13" s="527"/>
      <c r="D13" s="527"/>
      <c r="E13" s="527"/>
      <c r="F13" s="527"/>
      <c r="G13" s="527"/>
      <c r="H13" s="527"/>
      <c r="I13" s="527"/>
      <c r="J13" s="527"/>
      <c r="K13" s="527"/>
      <c r="L13" s="528"/>
      <c r="M13" s="528"/>
      <c r="N13" s="528"/>
      <c r="O13" s="528"/>
      <c r="P13" s="253">
        <f t="shared" si="174"/>
        <v>0</v>
      </c>
      <c r="Q13" s="62">
        <f>R10-P13</f>
        <v>152</v>
      </c>
      <c r="R13" s="219" t="str">
        <f t="shared" si="175"/>
        <v>Игумнов</v>
      </c>
      <c r="S13" s="76" t="s">
        <v>10</v>
      </c>
      <c r="T13" s="77" t="s">
        <v>9</v>
      </c>
      <c r="U13" s="73">
        <f t="shared" ref="U13:U67" si="176">COUNTIF(T13,B13)+COUNTIF(T13,D13)+COUNTIF(T13,F13)+COUNTIF(T13,H13)+COUNTIF(T13,J13)+COUNTIF(T13,L13)+COUNTIF(T13,N13)</f>
        <v>0</v>
      </c>
      <c r="V13" s="62">
        <f t="shared" ref="V13:V61" si="177">COUNTIF(S13,B13)+COUNTIF(S13,D13)+COUNTIF(S13,F13)+COUNTIF(S13,H13)+COUNTIF(S13,J13)+COUNTIF(S13,L13)+COUNTIF(S13,N13)</f>
        <v>0</v>
      </c>
      <c r="W13" s="62"/>
      <c r="X13" s="79" t="s">
        <v>34</v>
      </c>
      <c r="Y13" s="7"/>
      <c r="Z13" s="7"/>
      <c r="AA13" s="7"/>
      <c r="AB13" s="13"/>
      <c r="AC13" s="13"/>
      <c r="AD13" s="13"/>
    </row>
    <row r="14" ht="14.25">
      <c r="A14" s="415" t="s">
        <v>40</v>
      </c>
      <c r="B14" s="527"/>
      <c r="C14" s="527"/>
      <c r="D14" s="527"/>
      <c r="E14" s="527"/>
      <c r="F14" s="527"/>
      <c r="G14" s="527"/>
      <c r="H14" s="527"/>
      <c r="I14" s="527"/>
      <c r="J14" s="527"/>
      <c r="K14" s="527"/>
      <c r="L14" s="528"/>
      <c r="M14" s="528"/>
      <c r="N14" s="528" t="s">
        <v>82</v>
      </c>
      <c r="O14" s="528"/>
      <c r="P14" s="253">
        <f t="shared" si="174"/>
        <v>0</v>
      </c>
      <c r="Q14" s="62">
        <f>R10-P14</f>
        <v>152</v>
      </c>
      <c r="R14" s="219" t="str">
        <f t="shared" si="175"/>
        <v>Душин</v>
      </c>
      <c r="S14" s="76" t="s">
        <v>10</v>
      </c>
      <c r="T14" s="77" t="s">
        <v>9</v>
      </c>
      <c r="U14" s="73">
        <f t="shared" si="176"/>
        <v>0</v>
      </c>
      <c r="V14" s="62">
        <f t="shared" si="177"/>
        <v>0</v>
      </c>
      <c r="W14" s="62"/>
      <c r="X14" s="74" t="s">
        <v>38</v>
      </c>
      <c r="Y14" s="7"/>
      <c r="Z14" s="7"/>
      <c r="AA14" s="7"/>
      <c r="AB14" s="13"/>
      <c r="AC14" s="13"/>
      <c r="AD14" s="13"/>
    </row>
    <row r="15" ht="14.25">
      <c r="A15" s="415" t="s">
        <v>31</v>
      </c>
      <c r="B15" s="527"/>
      <c r="C15" s="527"/>
      <c r="D15" s="527"/>
      <c r="E15" s="527"/>
      <c r="F15" s="527"/>
      <c r="G15" s="527"/>
      <c r="H15" s="527"/>
      <c r="I15" s="527"/>
      <c r="J15" s="527"/>
      <c r="K15" s="527"/>
      <c r="L15" s="528"/>
      <c r="M15" s="528"/>
      <c r="N15" s="528"/>
      <c r="O15" s="528"/>
      <c r="P15" s="253">
        <f t="shared" si="174"/>
        <v>0</v>
      </c>
      <c r="Q15" s="62">
        <f>R10-P15</f>
        <v>152</v>
      </c>
      <c r="R15" s="219" t="str">
        <f t="shared" si="175"/>
        <v>Нетронин</v>
      </c>
      <c r="S15" s="76" t="s">
        <v>58</v>
      </c>
      <c r="T15" s="77" t="s">
        <v>59</v>
      </c>
      <c r="U15" s="73"/>
      <c r="V15" s="62"/>
      <c r="W15" s="62"/>
      <c r="X15" s="74" t="s">
        <v>34</v>
      </c>
      <c r="Y15" s="7"/>
      <c r="Z15" s="7"/>
      <c r="AA15" s="7"/>
      <c r="AB15" s="13"/>
      <c r="AC15" s="13"/>
      <c r="AD15" s="13"/>
    </row>
    <row r="16" ht="14.25">
      <c r="A16" s="415" t="s">
        <v>42</v>
      </c>
      <c r="B16" s="527"/>
      <c r="C16" s="527"/>
      <c r="D16" s="527"/>
      <c r="E16" s="527"/>
      <c r="F16" s="527"/>
      <c r="G16" s="527"/>
      <c r="H16" s="527"/>
      <c r="I16" s="527"/>
      <c r="J16" s="527"/>
      <c r="K16" s="527"/>
      <c r="L16" s="528"/>
      <c r="M16" s="528"/>
      <c r="N16" s="528"/>
      <c r="O16" s="528"/>
      <c r="P16" s="253">
        <f t="shared" si="174"/>
        <v>0</v>
      </c>
      <c r="Q16" s="62">
        <f>R10-P16</f>
        <v>152</v>
      </c>
      <c r="R16" s="219" t="str">
        <f t="shared" si="175"/>
        <v>Юращик</v>
      </c>
      <c r="S16" s="76" t="s">
        <v>10</v>
      </c>
      <c r="T16" s="77" t="s">
        <v>9</v>
      </c>
      <c r="U16" s="73"/>
      <c r="V16" s="62"/>
      <c r="W16" s="62"/>
      <c r="X16" s="74" t="s">
        <v>38</v>
      </c>
      <c r="Y16" s="7"/>
      <c r="Z16" s="7"/>
      <c r="AA16" s="7"/>
      <c r="AB16" s="13"/>
      <c r="AC16" s="13"/>
      <c r="AD16" s="13"/>
    </row>
    <row r="17" ht="14.25">
      <c r="A17" s="388" t="s">
        <v>45</v>
      </c>
      <c r="B17" s="528"/>
      <c r="C17" s="528"/>
      <c r="D17" s="616"/>
      <c r="E17" s="616"/>
      <c r="F17" s="528"/>
      <c r="G17" s="528"/>
      <c r="H17" s="528"/>
      <c r="I17" s="528"/>
      <c r="J17" s="247"/>
      <c r="K17" s="247"/>
      <c r="L17" s="295"/>
      <c r="M17" s="295"/>
      <c r="N17" s="295"/>
      <c r="O17" s="295" t="s">
        <v>81</v>
      </c>
      <c r="P17" s="253">
        <f t="shared" si="174"/>
        <v>11</v>
      </c>
      <c r="Q17" s="62">
        <f>R10-P17</f>
        <v>141</v>
      </c>
      <c r="R17" s="219" t="str">
        <f t="shared" si="175"/>
        <v>Пузырь</v>
      </c>
      <c r="S17" s="76" t="s">
        <v>10</v>
      </c>
      <c r="T17" s="77" t="s">
        <v>9</v>
      </c>
      <c r="U17" s="73">
        <f t="shared" si="176"/>
        <v>0</v>
      </c>
      <c r="V17" s="62">
        <f t="shared" si="177"/>
        <v>0</v>
      </c>
      <c r="W17" s="62"/>
      <c r="X17" s="74" t="s">
        <v>34</v>
      </c>
      <c r="Y17" s="7"/>
      <c r="Z17" s="7"/>
      <c r="AA17" s="7"/>
      <c r="AB17" s="13"/>
      <c r="AC17" s="13"/>
      <c r="AD17" s="13"/>
    </row>
    <row r="18" ht="14.25">
      <c r="A18" s="388" t="s">
        <v>46</v>
      </c>
      <c r="B18" s="619"/>
      <c r="C18" s="619"/>
      <c r="D18" s="619"/>
      <c r="E18" s="619"/>
      <c r="F18" s="254"/>
      <c r="G18" s="254"/>
      <c r="H18" s="620"/>
      <c r="I18" s="620"/>
      <c r="J18" s="621"/>
      <c r="K18" s="621"/>
      <c r="L18" s="15"/>
      <c r="M18" s="15"/>
      <c r="N18" s="737"/>
      <c r="O18" s="737" t="s">
        <v>81</v>
      </c>
      <c r="P18" s="253">
        <f t="shared" si="174"/>
        <v>11</v>
      </c>
      <c r="Q18" s="62">
        <f>R10-P18</f>
        <v>141</v>
      </c>
      <c r="R18" s="219" t="str">
        <f t="shared" si="175"/>
        <v>Голышев</v>
      </c>
      <c r="S18" s="76" t="s">
        <v>10</v>
      </c>
      <c r="T18" s="77" t="s">
        <v>9</v>
      </c>
      <c r="U18" s="73">
        <f t="shared" si="176"/>
        <v>0</v>
      </c>
      <c r="V18" s="62">
        <f t="shared" si="177"/>
        <v>0</v>
      </c>
      <c r="W18" s="62"/>
      <c r="X18" s="74" t="s">
        <v>34</v>
      </c>
      <c r="Y18" s="7"/>
      <c r="Z18" s="7"/>
      <c r="AA18" s="7"/>
      <c r="AB18" s="13"/>
      <c r="AC18" s="13"/>
      <c r="AD18" s="13"/>
    </row>
    <row r="19" ht="14.25">
      <c r="A19" s="388" t="s">
        <v>47</v>
      </c>
      <c r="B19" s="294"/>
      <c r="C19" s="294"/>
      <c r="D19" s="294"/>
      <c r="E19" s="294"/>
      <c r="F19" s="247"/>
      <c r="G19" s="247"/>
      <c r="H19" s="254"/>
      <c r="I19" s="254"/>
      <c r="J19" s="624"/>
      <c r="K19" s="624"/>
      <c r="L19" s="254"/>
      <c r="M19" s="254"/>
      <c r="N19" s="531"/>
      <c r="O19" s="531"/>
      <c r="P19" s="253">
        <f t="shared" si="174"/>
        <v>0</v>
      </c>
      <c r="Q19" s="62">
        <f>R10-P19</f>
        <v>152</v>
      </c>
      <c r="R19" s="219" t="str">
        <f t="shared" si="175"/>
        <v>Торубара</v>
      </c>
      <c r="S19" s="76" t="s">
        <v>10</v>
      </c>
      <c r="T19" s="77" t="s">
        <v>9</v>
      </c>
      <c r="U19" s="73">
        <f t="shared" si="176"/>
        <v>0</v>
      </c>
      <c r="V19" s="62">
        <f t="shared" si="177"/>
        <v>0</v>
      </c>
      <c r="W19" s="62"/>
      <c r="X19" s="74" t="s">
        <v>34</v>
      </c>
      <c r="Y19" s="7"/>
      <c r="Z19" s="7"/>
      <c r="AA19" s="7"/>
      <c r="AB19" s="13"/>
      <c r="AC19" s="13"/>
      <c r="AD19" s="13"/>
    </row>
    <row r="20" ht="14.25">
      <c r="A20" s="388" t="s">
        <v>48</v>
      </c>
      <c r="B20" s="528"/>
      <c r="C20" s="528"/>
      <c r="D20" s="528"/>
      <c r="E20" s="528"/>
      <c r="F20" s="621"/>
      <c r="G20" s="621"/>
      <c r="H20" s="619"/>
      <c r="I20" s="626"/>
      <c r="J20" s="247"/>
      <c r="K20" s="247"/>
      <c r="L20" s="528"/>
      <c r="M20" s="627"/>
      <c r="N20" s="295"/>
      <c r="O20" s="295" t="s">
        <v>81</v>
      </c>
      <c r="P20" s="285">
        <f t="shared" si="174"/>
        <v>11</v>
      </c>
      <c r="Q20" s="62">
        <f>R10-P20</f>
        <v>141</v>
      </c>
      <c r="R20" s="219" t="str">
        <f t="shared" si="175"/>
        <v>Стрыгин</v>
      </c>
      <c r="S20" s="71" t="s">
        <v>8</v>
      </c>
      <c r="T20" s="72" t="s">
        <v>7</v>
      </c>
      <c r="U20" s="73">
        <f t="shared" si="176"/>
        <v>0</v>
      </c>
      <c r="V20" s="62">
        <f t="shared" si="177"/>
        <v>0</v>
      </c>
      <c r="W20" s="62"/>
      <c r="X20" s="74" t="s">
        <v>49</v>
      </c>
      <c r="Y20" s="7"/>
      <c r="Z20" s="7"/>
      <c r="AA20" s="7"/>
      <c r="AB20" s="13"/>
      <c r="AC20" s="13"/>
      <c r="AD20" s="13"/>
    </row>
    <row r="21" ht="14.25">
      <c r="A21" s="388" t="s">
        <v>50</v>
      </c>
      <c r="B21" s="628"/>
      <c r="C21" s="628"/>
      <c r="D21" s="528"/>
      <c r="E21" s="528"/>
      <c r="F21" s="247"/>
      <c r="G21" s="247"/>
      <c r="H21" s="621"/>
      <c r="I21" s="621"/>
      <c r="J21" s="626"/>
      <c r="K21" s="626"/>
      <c r="L21" s="247"/>
      <c r="M21" s="633"/>
      <c r="N21" s="737"/>
      <c r="O21" s="737" t="s">
        <v>81</v>
      </c>
      <c r="P21" s="285">
        <f t="shared" si="174"/>
        <v>11</v>
      </c>
      <c r="Q21" s="62">
        <f>R10-P21</f>
        <v>141</v>
      </c>
      <c r="R21" s="219" t="str">
        <f t="shared" si="175"/>
        <v>Фрик</v>
      </c>
      <c r="S21" s="71" t="s">
        <v>12</v>
      </c>
      <c r="T21" s="72" t="s">
        <v>11</v>
      </c>
      <c r="U21" s="73">
        <f t="shared" si="176"/>
        <v>0</v>
      </c>
      <c r="V21" s="62">
        <f t="shared" si="177"/>
        <v>0</v>
      </c>
      <c r="W21" s="62"/>
      <c r="X21" s="74" t="s">
        <v>44</v>
      </c>
      <c r="Y21" s="7"/>
      <c r="Z21" s="7"/>
      <c r="AA21" s="7"/>
      <c r="AB21" s="13"/>
      <c r="AC21" s="13"/>
      <c r="AD21" s="13"/>
    </row>
    <row r="22" ht="14.25">
      <c r="A22" s="563" t="s">
        <v>51</v>
      </c>
      <c r="B22" s="616"/>
      <c r="C22" s="616"/>
      <c r="D22" s="528"/>
      <c r="E22" s="528"/>
      <c r="F22" s="630"/>
      <c r="G22" s="620"/>
      <c r="H22" s="632"/>
      <c r="I22" s="632"/>
      <c r="J22" s="528"/>
      <c r="K22" s="528"/>
      <c r="L22" s="247"/>
      <c r="M22" s="633"/>
      <c r="N22" s="537"/>
      <c r="O22" s="537"/>
      <c r="P22" s="285">
        <f t="shared" si="174"/>
        <v>0</v>
      </c>
      <c r="Q22" s="62">
        <f>R10-P22</f>
        <v>152</v>
      </c>
      <c r="R22" s="219" t="str">
        <f t="shared" si="175"/>
        <v>Истрашкин</v>
      </c>
      <c r="S22" s="71" t="s">
        <v>10</v>
      </c>
      <c r="T22" s="72" t="s">
        <v>9</v>
      </c>
      <c r="U22" s="73">
        <f t="shared" si="176"/>
        <v>0</v>
      </c>
      <c r="V22" s="62">
        <f t="shared" si="177"/>
        <v>0</v>
      </c>
      <c r="W22" s="62"/>
      <c r="X22" s="74" t="s">
        <v>34</v>
      </c>
      <c r="Y22" s="7"/>
      <c r="Z22" s="7"/>
      <c r="AA22" s="7"/>
      <c r="AB22" s="13"/>
      <c r="AC22" s="13"/>
      <c r="AD22" s="13"/>
    </row>
    <row r="23" ht="14.25">
      <c r="A23" s="388" t="s">
        <v>43</v>
      </c>
      <c r="B23" s="621"/>
      <c r="C23" s="621"/>
      <c r="D23" s="634"/>
      <c r="E23" s="634"/>
      <c r="F23" s="635"/>
      <c r="G23" s="636"/>
      <c r="H23" s="637"/>
      <c r="I23" s="637"/>
      <c r="J23" s="637"/>
      <c r="K23" s="637"/>
      <c r="L23" s="254"/>
      <c r="M23" s="254"/>
      <c r="N23" s="136"/>
      <c r="O23" s="136"/>
      <c r="P23" s="253">
        <f t="shared" si="174"/>
        <v>0</v>
      </c>
      <c r="Q23" s="62">
        <f>R10-P23</f>
        <v>152</v>
      </c>
      <c r="R23" s="219" t="str">
        <f t="shared" si="175"/>
        <v>Дащенко</v>
      </c>
      <c r="S23" s="71" t="s">
        <v>12</v>
      </c>
      <c r="T23" s="72" t="s">
        <v>11</v>
      </c>
      <c r="U23" s="73">
        <f t="shared" si="176"/>
        <v>0</v>
      </c>
      <c r="V23" s="62">
        <f t="shared" si="177"/>
        <v>0</v>
      </c>
      <c r="W23" s="62"/>
      <c r="X23" s="80" t="s">
        <v>44</v>
      </c>
      <c r="Y23" s="7"/>
      <c r="Z23" s="7"/>
      <c r="AA23" s="7"/>
      <c r="AB23" s="13"/>
      <c r="AC23" s="13"/>
      <c r="AD23" s="13"/>
    </row>
    <row r="24" ht="14.25">
      <c r="A24" s="207"/>
      <c r="B24" s="515">
        <v>46048</v>
      </c>
      <c r="C24" s="517"/>
      <c r="D24" s="515">
        <v>46049</v>
      </c>
      <c r="E24" s="517"/>
      <c r="F24" s="515">
        <v>46050</v>
      </c>
      <c r="G24" s="517"/>
      <c r="H24" s="515">
        <v>46051</v>
      </c>
      <c r="I24" s="517"/>
      <c r="J24" s="515">
        <v>46052</v>
      </c>
      <c r="K24" s="517"/>
      <c r="L24" s="515">
        <v>46053</v>
      </c>
      <c r="M24" s="517"/>
      <c r="N24" s="515">
        <v>46023</v>
      </c>
      <c r="O24" s="517"/>
      <c r="P24" s="253"/>
      <c r="Q24" s="254"/>
      <c r="R24" s="207"/>
      <c r="S24" s="138"/>
      <c r="T24" s="138"/>
      <c r="U24" s="60" t="s">
        <v>27</v>
      </c>
      <c r="V24" s="61" t="s">
        <v>28</v>
      </c>
      <c r="W24" s="62" t="s">
        <v>29</v>
      </c>
      <c r="X24" s="7"/>
      <c r="Y24" s="7"/>
      <c r="Z24" s="7"/>
      <c r="AA24" s="7"/>
      <c r="AB24" s="13"/>
      <c r="AC24" s="13"/>
      <c r="AD24" s="13"/>
    </row>
    <row r="25" ht="14.25">
      <c r="A25" s="162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4"/>
      <c r="R25" s="165"/>
      <c r="S25" s="165"/>
      <c r="T25" s="165"/>
      <c r="U25" s="100"/>
      <c r="V25" s="100"/>
      <c r="W25" s="100"/>
      <c r="X25" s="7"/>
      <c r="Y25" s="7"/>
      <c r="Z25" s="7"/>
      <c r="AA25" s="7"/>
      <c r="AB25" s="13"/>
      <c r="AC25" s="13"/>
      <c r="AD25" s="13"/>
    </row>
    <row r="26" ht="14.25">
      <c r="A26" s="165"/>
      <c r="B26" s="237" t="s">
        <v>17</v>
      </c>
      <c r="C26" s="237"/>
      <c r="D26" s="237" t="s">
        <v>18</v>
      </c>
      <c r="E26" s="237"/>
      <c r="F26" s="237" t="s">
        <v>19</v>
      </c>
      <c r="G26" s="237"/>
      <c r="H26" s="237" t="s">
        <v>20</v>
      </c>
      <c r="I26" s="237"/>
      <c r="J26" s="565" t="s">
        <v>21</v>
      </c>
      <c r="K26" s="565"/>
      <c r="L26" s="237" t="s">
        <v>22</v>
      </c>
      <c r="M26" s="237"/>
      <c r="N26" s="237" t="s">
        <v>23</v>
      </c>
      <c r="O26" s="237"/>
      <c r="P26" s="234" t="s">
        <v>24</v>
      </c>
      <c r="Q26" s="235"/>
      <c r="R26" s="165"/>
      <c r="S26" s="165"/>
      <c r="T26" s="165"/>
      <c r="U26" s="100"/>
      <c r="V26" s="100"/>
      <c r="W26" s="100"/>
      <c r="X26" s="51"/>
      <c r="Y26" s="7"/>
      <c r="Z26" s="7"/>
      <c r="AA26" s="7"/>
      <c r="AB26" s="13"/>
      <c r="AC26" s="13"/>
      <c r="AD26" s="13"/>
    </row>
    <row r="27" ht="14.25">
      <c r="A27" s="165"/>
      <c r="B27" s="515">
        <v>46055</v>
      </c>
      <c r="C27" s="517"/>
      <c r="D27" s="515">
        <v>46056</v>
      </c>
      <c r="E27" s="517"/>
      <c r="F27" s="515">
        <v>46057</v>
      </c>
      <c r="G27" s="517"/>
      <c r="H27" s="515">
        <v>46058</v>
      </c>
      <c r="I27" s="517"/>
      <c r="J27" s="515">
        <v>46059</v>
      </c>
      <c r="K27" s="517"/>
      <c r="L27" s="515">
        <v>46060</v>
      </c>
      <c r="M27" s="517"/>
      <c r="N27" s="515">
        <v>46061</v>
      </c>
      <c r="O27" s="517"/>
      <c r="P27" s="236" t="s">
        <v>25</v>
      </c>
      <c r="Q27" s="237" t="s">
        <v>26</v>
      </c>
      <c r="R27" s="566"/>
      <c r="S27" s="239"/>
      <c r="T27" s="239"/>
      <c r="U27" s="15" t="s">
        <v>27</v>
      </c>
      <c r="V27" s="106" t="s">
        <v>28</v>
      </c>
      <c r="W27" s="100" t="s">
        <v>29</v>
      </c>
      <c r="X27" s="63" t="s">
        <v>30</v>
      </c>
      <c r="Y27" s="7"/>
      <c r="Z27" s="7"/>
      <c r="AA27" s="7"/>
      <c r="AB27" s="13"/>
      <c r="AC27" s="13"/>
      <c r="AD27" s="13"/>
    </row>
    <row r="28" ht="14.25">
      <c r="A28" s="525" t="s">
        <v>35</v>
      </c>
      <c r="B28" s="527" t="s">
        <v>32</v>
      </c>
      <c r="C28" s="527" t="s">
        <v>33</v>
      </c>
      <c r="D28" s="527" t="s">
        <v>32</v>
      </c>
      <c r="E28" s="527" t="s">
        <v>33</v>
      </c>
      <c r="F28" s="527" t="s">
        <v>32</v>
      </c>
      <c r="G28" s="527" t="s">
        <v>33</v>
      </c>
      <c r="H28" s="527" t="s">
        <v>32</v>
      </c>
      <c r="I28" s="527" t="s">
        <v>33</v>
      </c>
      <c r="J28" s="527" t="s">
        <v>32</v>
      </c>
      <c r="K28" s="527" t="s">
        <v>33</v>
      </c>
      <c r="L28" s="638"/>
      <c r="M28" s="638"/>
      <c r="N28" s="528"/>
      <c r="O28" s="528"/>
      <c r="P28" s="253">
        <f t="shared" si="174"/>
        <v>40</v>
      </c>
      <c r="Q28" s="62">
        <f t="shared" ref="Q28:Q31" si="178">Q12-P28</f>
        <v>112</v>
      </c>
      <c r="R28" s="219" t="str">
        <f t="shared" si="175"/>
        <v>Рычков</v>
      </c>
      <c r="S28" s="76" t="s">
        <v>10</v>
      </c>
      <c r="T28" s="77" t="s">
        <v>9</v>
      </c>
      <c r="U28" s="73">
        <f t="shared" si="176"/>
        <v>0</v>
      </c>
      <c r="V28" s="62">
        <f t="shared" si="177"/>
        <v>0</v>
      </c>
      <c r="W28" s="62"/>
      <c r="X28" s="74" t="s">
        <v>34</v>
      </c>
      <c r="Y28" s="7"/>
      <c r="Z28" s="7"/>
      <c r="AA28" s="7"/>
      <c r="AB28" s="13"/>
      <c r="AC28" s="13"/>
      <c r="AD28" s="13"/>
    </row>
    <row r="29" ht="14.25">
      <c r="A29" s="415" t="s">
        <v>39</v>
      </c>
      <c r="B29" s="527" t="s">
        <v>32</v>
      </c>
      <c r="C29" s="527" t="s">
        <v>33</v>
      </c>
      <c r="D29" s="527" t="s">
        <v>32</v>
      </c>
      <c r="E29" s="527" t="s">
        <v>33</v>
      </c>
      <c r="F29" s="527" t="s">
        <v>32</v>
      </c>
      <c r="G29" s="527" t="s">
        <v>33</v>
      </c>
      <c r="H29" s="527" t="s">
        <v>32</v>
      </c>
      <c r="I29" s="527" t="s">
        <v>33</v>
      </c>
      <c r="J29" s="527" t="s">
        <v>32</v>
      </c>
      <c r="K29" s="527" t="s">
        <v>33</v>
      </c>
      <c r="L29" s="528"/>
      <c r="M29" s="528"/>
      <c r="N29" s="528"/>
      <c r="O29" s="528"/>
      <c r="P29" s="253">
        <f t="shared" si="174"/>
        <v>40</v>
      </c>
      <c r="Q29" s="62">
        <f t="shared" si="178"/>
        <v>112</v>
      </c>
      <c r="R29" s="219" t="str">
        <f t="shared" si="175"/>
        <v>Игумнов</v>
      </c>
      <c r="S29" s="76" t="s">
        <v>10</v>
      </c>
      <c r="T29" s="77" t="s">
        <v>9</v>
      </c>
      <c r="U29" s="73">
        <f t="shared" si="176"/>
        <v>0</v>
      </c>
      <c r="V29" s="62">
        <f t="shared" si="177"/>
        <v>0</v>
      </c>
      <c r="W29" s="62"/>
      <c r="X29" s="79" t="s">
        <v>34</v>
      </c>
      <c r="Y29" s="7"/>
      <c r="Z29" s="80"/>
      <c r="AA29" s="80"/>
      <c r="AB29" s="13"/>
      <c r="AC29" s="13"/>
      <c r="AD29" s="13"/>
    </row>
    <row r="30" ht="14.25">
      <c r="A30" s="415" t="s">
        <v>40</v>
      </c>
      <c r="B30" s="527" t="s">
        <v>32</v>
      </c>
      <c r="C30" s="527" t="s">
        <v>33</v>
      </c>
      <c r="D30" s="527" t="s">
        <v>32</v>
      </c>
      <c r="E30" s="527" t="s">
        <v>33</v>
      </c>
      <c r="F30" s="527" t="s">
        <v>32</v>
      </c>
      <c r="G30" s="527" t="s">
        <v>33</v>
      </c>
      <c r="H30" s="527" t="s">
        <v>32</v>
      </c>
      <c r="I30" s="527" t="s">
        <v>33</v>
      </c>
      <c r="J30" s="527" t="s">
        <v>32</v>
      </c>
      <c r="K30" s="527" t="s">
        <v>33</v>
      </c>
      <c r="L30" s="528"/>
      <c r="M30" s="528"/>
      <c r="N30" s="528"/>
      <c r="O30" s="528"/>
      <c r="P30" s="253">
        <f t="shared" si="174"/>
        <v>40</v>
      </c>
      <c r="Q30" s="62">
        <f t="shared" si="178"/>
        <v>112</v>
      </c>
      <c r="R30" s="219" t="str">
        <f t="shared" si="175"/>
        <v>Душин</v>
      </c>
      <c r="S30" s="76" t="s">
        <v>10</v>
      </c>
      <c r="T30" s="77" t="s">
        <v>9</v>
      </c>
      <c r="U30" s="73">
        <f t="shared" si="176"/>
        <v>0</v>
      </c>
      <c r="V30" s="62">
        <f t="shared" si="177"/>
        <v>0</v>
      </c>
      <c r="W30" s="62"/>
      <c r="X30" s="74" t="s">
        <v>38</v>
      </c>
      <c r="Y30" s="80"/>
      <c r="Z30" s="80"/>
      <c r="AA30" s="80"/>
      <c r="AB30" s="13"/>
      <c r="AC30" s="13"/>
      <c r="AD30" s="13"/>
    </row>
    <row r="31" ht="14.25">
      <c r="A31" s="415" t="s">
        <v>31</v>
      </c>
      <c r="B31" s="527" t="s">
        <v>32</v>
      </c>
      <c r="C31" s="527" t="s">
        <v>33</v>
      </c>
      <c r="D31" s="527" t="s">
        <v>32</v>
      </c>
      <c r="E31" s="527" t="s">
        <v>33</v>
      </c>
      <c r="F31" s="527" t="s">
        <v>32</v>
      </c>
      <c r="G31" s="527" t="s">
        <v>33</v>
      </c>
      <c r="H31" s="527" t="s">
        <v>32</v>
      </c>
      <c r="I31" s="527" t="s">
        <v>33</v>
      </c>
      <c r="J31" s="527" t="s">
        <v>32</v>
      </c>
      <c r="K31" s="527" t="s">
        <v>33</v>
      </c>
      <c r="L31" s="528"/>
      <c r="M31" s="528"/>
      <c r="N31" s="528"/>
      <c r="O31" s="528"/>
      <c r="P31" s="253">
        <f t="shared" si="174"/>
        <v>40</v>
      </c>
      <c r="Q31" s="62">
        <f t="shared" si="178"/>
        <v>112</v>
      </c>
      <c r="R31" s="219" t="str">
        <f t="shared" si="175"/>
        <v>Нетронин</v>
      </c>
      <c r="S31" s="76" t="s">
        <v>58</v>
      </c>
      <c r="T31" s="77" t="s">
        <v>59</v>
      </c>
      <c r="U31" s="73">
        <f t="shared" si="176"/>
        <v>0</v>
      </c>
      <c r="V31" s="62">
        <f t="shared" si="177"/>
        <v>0</v>
      </c>
      <c r="W31" s="62"/>
      <c r="X31" s="74" t="s">
        <v>34</v>
      </c>
      <c r="Y31" s="80"/>
      <c r="Z31" s="80"/>
      <c r="AA31" s="80"/>
      <c r="AB31" s="13"/>
      <c r="AC31" s="13"/>
      <c r="AD31" s="13"/>
    </row>
    <row r="32" ht="14.25">
      <c r="A32" s="415" t="s">
        <v>42</v>
      </c>
      <c r="B32" s="530" t="s">
        <v>32</v>
      </c>
      <c r="C32" s="530" t="s">
        <v>33</v>
      </c>
      <c r="D32" s="530" t="s">
        <v>32</v>
      </c>
      <c r="E32" s="530" t="s">
        <v>33</v>
      </c>
      <c r="F32" s="530" t="s">
        <v>32</v>
      </c>
      <c r="G32" s="530" t="s">
        <v>33</v>
      </c>
      <c r="H32" s="530" t="s">
        <v>32</v>
      </c>
      <c r="I32" s="530" t="s">
        <v>33</v>
      </c>
      <c r="J32" s="530" t="s">
        <v>32</v>
      </c>
      <c r="K32" s="530" t="s">
        <v>33</v>
      </c>
      <c r="L32" s="531"/>
      <c r="M32" s="531"/>
      <c r="N32" s="531"/>
      <c r="O32" s="531"/>
      <c r="P32" s="253">
        <f t="shared" si="174"/>
        <v>40</v>
      </c>
      <c r="Q32" s="62">
        <f>Q19-P32</f>
        <v>112</v>
      </c>
      <c r="R32" s="219" t="str">
        <f t="shared" si="175"/>
        <v>Юращик</v>
      </c>
      <c r="S32" s="76" t="s">
        <v>10</v>
      </c>
      <c r="T32" s="77" t="s">
        <v>9</v>
      </c>
      <c r="U32" s="73">
        <f t="shared" si="176"/>
        <v>0</v>
      </c>
      <c r="V32" s="62">
        <f t="shared" si="177"/>
        <v>0</v>
      </c>
      <c r="W32" s="62"/>
      <c r="X32" s="74" t="s">
        <v>38</v>
      </c>
      <c r="Y32" s="80"/>
      <c r="Z32" s="80"/>
      <c r="AA32" s="80"/>
      <c r="AB32" s="13"/>
      <c r="AC32" s="13"/>
      <c r="AD32" s="13"/>
    </row>
    <row r="33" ht="14.25">
      <c r="A33" s="278" t="s">
        <v>43</v>
      </c>
      <c r="B33" s="295"/>
      <c r="C33" s="295" t="s">
        <v>81</v>
      </c>
      <c r="D33" s="295"/>
      <c r="E33" s="295" t="s">
        <v>81</v>
      </c>
      <c r="F33" s="917"/>
      <c r="G33" s="291"/>
      <c r="H33" s="291"/>
      <c r="I33" s="918"/>
      <c r="J33" s="737"/>
      <c r="K33" s="737" t="s">
        <v>81</v>
      </c>
      <c r="L33" s="737"/>
      <c r="M33" s="737" t="s">
        <v>81</v>
      </c>
      <c r="N33" s="917"/>
      <c r="O33" s="291"/>
      <c r="P33" s="285">
        <f t="shared" si="174"/>
        <v>44</v>
      </c>
      <c r="Q33" s="62">
        <f>Q23-P33</f>
        <v>108</v>
      </c>
      <c r="R33" s="219" t="str">
        <f t="shared" si="175"/>
        <v>Дащенко</v>
      </c>
      <c r="S33" s="71" t="s">
        <v>12</v>
      </c>
      <c r="T33" s="72" t="s">
        <v>11</v>
      </c>
      <c r="U33" s="73">
        <f t="shared" si="176"/>
        <v>0</v>
      </c>
      <c r="V33" s="62">
        <f t="shared" si="177"/>
        <v>0</v>
      </c>
      <c r="W33" s="62"/>
      <c r="X33" s="434" t="s">
        <v>44</v>
      </c>
      <c r="Y33" s="7"/>
      <c r="Z33" s="7"/>
      <c r="AA33" s="7"/>
      <c r="AB33" s="13"/>
      <c r="AC33" s="13"/>
      <c r="AD33" s="13"/>
    </row>
    <row r="34" ht="14.25">
      <c r="A34" s="278" t="s">
        <v>45</v>
      </c>
      <c r="B34" s="537"/>
      <c r="C34" s="537"/>
      <c r="D34" s="537"/>
      <c r="E34" s="919"/>
      <c r="F34" s="920"/>
      <c r="G34" s="920" t="s">
        <v>81</v>
      </c>
      <c r="H34" s="920"/>
      <c r="I34" s="920" t="s">
        <v>81</v>
      </c>
      <c r="J34" s="921"/>
      <c r="K34" s="537"/>
      <c r="L34" s="537"/>
      <c r="M34" s="919"/>
      <c r="N34" s="922"/>
      <c r="O34" s="922" t="s">
        <v>81</v>
      </c>
      <c r="P34" s="285">
        <f t="shared" si="174"/>
        <v>33</v>
      </c>
      <c r="Q34" s="62">
        <f>Q20-P34</f>
        <v>108</v>
      </c>
      <c r="R34" s="219" t="str">
        <f t="shared" si="175"/>
        <v>Пузырь</v>
      </c>
      <c r="S34" s="76" t="s">
        <v>10</v>
      </c>
      <c r="T34" s="77" t="s">
        <v>9</v>
      </c>
      <c r="U34" s="73">
        <f t="shared" si="176"/>
        <v>0</v>
      </c>
      <c r="V34" s="62">
        <f t="shared" si="177"/>
        <v>0</v>
      </c>
      <c r="W34" s="62"/>
      <c r="X34" s="74" t="s">
        <v>34</v>
      </c>
      <c r="Y34" s="80"/>
      <c r="Z34" s="7"/>
      <c r="AA34" s="7"/>
      <c r="AB34" s="13"/>
      <c r="AC34" s="13"/>
      <c r="AD34" s="13"/>
    </row>
    <row r="35" ht="14.25">
      <c r="A35" s="278" t="s">
        <v>46</v>
      </c>
      <c r="B35" s="291"/>
      <c r="C35" s="291"/>
      <c r="D35" s="291"/>
      <c r="E35" s="918"/>
      <c r="F35" s="295"/>
      <c r="G35" s="295" t="s">
        <v>81</v>
      </c>
      <c r="H35" s="295"/>
      <c r="I35" s="295" t="s">
        <v>81</v>
      </c>
      <c r="K35" s="291"/>
      <c r="M35" s="923"/>
      <c r="N35" s="737"/>
      <c r="O35" s="737" t="s">
        <v>81</v>
      </c>
      <c r="P35" s="285">
        <f t="shared" si="174"/>
        <v>33</v>
      </c>
      <c r="Q35" s="62">
        <f t="shared" ref="Q35:Q39" si="179">Q18-P35</f>
        <v>108</v>
      </c>
      <c r="R35" s="219" t="str">
        <f t="shared" si="175"/>
        <v>Голышев</v>
      </c>
      <c r="S35" s="76" t="s">
        <v>10</v>
      </c>
      <c r="T35" s="77" t="s">
        <v>9</v>
      </c>
      <c r="U35" s="73">
        <f t="shared" si="176"/>
        <v>0</v>
      </c>
      <c r="V35" s="62">
        <f t="shared" si="177"/>
        <v>0</v>
      </c>
      <c r="W35" s="62"/>
      <c r="X35" s="74" t="s">
        <v>34</v>
      </c>
      <c r="Y35" s="80"/>
      <c r="Z35" s="7"/>
      <c r="AA35" s="7"/>
      <c r="AB35" s="13"/>
      <c r="AC35" s="13"/>
      <c r="AD35" s="13"/>
    </row>
    <row r="36" ht="14.25">
      <c r="A36" s="278" t="s">
        <v>47</v>
      </c>
      <c r="B36" s="737"/>
      <c r="C36" s="737" t="s">
        <v>81</v>
      </c>
      <c r="D36" s="737"/>
      <c r="E36" s="737" t="s">
        <v>81</v>
      </c>
      <c r="F36" s="921"/>
      <c r="G36" s="537"/>
      <c r="H36" s="924"/>
      <c r="I36" s="925"/>
      <c r="J36" s="295"/>
      <c r="K36" s="295" t="s">
        <v>81</v>
      </c>
      <c r="L36" s="295"/>
      <c r="M36" s="295" t="s">
        <v>81</v>
      </c>
      <c r="N36" s="921"/>
      <c r="O36" s="537"/>
      <c r="P36" s="285">
        <f t="shared" si="174"/>
        <v>44</v>
      </c>
      <c r="Q36" s="62">
        <f t="shared" si="179"/>
        <v>108</v>
      </c>
      <c r="R36" s="219" t="str">
        <f t="shared" si="175"/>
        <v>Торубара</v>
      </c>
      <c r="S36" s="76" t="s">
        <v>10</v>
      </c>
      <c r="T36" s="77" t="s">
        <v>9</v>
      </c>
      <c r="U36" s="73">
        <f t="shared" si="176"/>
        <v>0</v>
      </c>
      <c r="V36" s="62">
        <f t="shared" si="177"/>
        <v>0</v>
      </c>
      <c r="W36" s="62"/>
      <c r="X36" s="74" t="s">
        <v>34</v>
      </c>
      <c r="Y36" s="7"/>
      <c r="Z36" s="7"/>
      <c r="AA36" s="7"/>
      <c r="AB36" s="13"/>
      <c r="AC36" s="13"/>
      <c r="AD36" s="13"/>
    </row>
    <row r="37" ht="14.25">
      <c r="A37" s="278" t="s">
        <v>48</v>
      </c>
      <c r="B37" s="295"/>
      <c r="C37" s="295" t="s">
        <v>81</v>
      </c>
      <c r="D37" s="921"/>
      <c r="E37" s="537"/>
      <c r="F37" s="87"/>
      <c r="G37" s="293"/>
      <c r="H37" s="920"/>
      <c r="I37" s="920" t="s">
        <v>81</v>
      </c>
      <c r="J37" s="920"/>
      <c r="K37" s="920" t="s">
        <v>81</v>
      </c>
      <c r="L37" s="921"/>
      <c r="M37" s="537"/>
      <c r="N37" s="87"/>
      <c r="O37" s="87"/>
      <c r="P37" s="285">
        <f t="shared" si="174"/>
        <v>33</v>
      </c>
      <c r="Q37" s="62">
        <f t="shared" si="179"/>
        <v>108</v>
      </c>
      <c r="R37" s="219" t="str">
        <f t="shared" si="175"/>
        <v>Стрыгин</v>
      </c>
      <c r="S37" s="71" t="s">
        <v>8</v>
      </c>
      <c r="T37" s="72" t="s">
        <v>7</v>
      </c>
      <c r="U37" s="73">
        <f t="shared" si="176"/>
        <v>0</v>
      </c>
      <c r="V37" s="62">
        <f t="shared" si="177"/>
        <v>0</v>
      </c>
      <c r="W37" s="62"/>
      <c r="X37" s="74" t="s">
        <v>49</v>
      </c>
      <c r="Y37" s="7"/>
      <c r="Z37" s="7"/>
      <c r="AA37" s="7"/>
      <c r="AB37" s="13"/>
      <c r="AC37" s="13"/>
      <c r="AD37" s="13"/>
    </row>
    <row r="38" ht="14.25">
      <c r="A38" s="278" t="s">
        <v>50</v>
      </c>
      <c r="B38" s="737"/>
      <c r="C38" s="737" t="s">
        <v>81</v>
      </c>
      <c r="D38" s="917"/>
      <c r="E38" s="291"/>
      <c r="F38" s="291"/>
      <c r="G38" s="918"/>
      <c r="H38" s="295"/>
      <c r="I38" s="295" t="s">
        <v>81</v>
      </c>
      <c r="J38" s="295"/>
      <c r="K38" s="295" t="s">
        <v>81</v>
      </c>
      <c r="L38" s="917"/>
      <c r="M38" s="291"/>
      <c r="N38" s="291"/>
      <c r="O38" s="291"/>
      <c r="P38" s="285">
        <f t="shared" si="174"/>
        <v>33</v>
      </c>
      <c r="Q38" s="62">
        <f t="shared" si="179"/>
        <v>108</v>
      </c>
      <c r="R38" s="219" t="str">
        <f t="shared" si="175"/>
        <v>Фрик</v>
      </c>
      <c r="S38" s="71" t="s">
        <v>12</v>
      </c>
      <c r="T38" s="72" t="s">
        <v>11</v>
      </c>
      <c r="U38" s="73">
        <f t="shared" si="176"/>
        <v>0</v>
      </c>
      <c r="V38" s="62">
        <f t="shared" si="177"/>
        <v>0</v>
      </c>
      <c r="W38" s="62"/>
      <c r="X38" s="74" t="s">
        <v>44</v>
      </c>
      <c r="Y38" s="7"/>
      <c r="Z38" s="7"/>
      <c r="AA38" s="7"/>
      <c r="AB38" s="13"/>
      <c r="AC38" s="13"/>
      <c r="AD38" s="13"/>
    </row>
    <row r="39" ht="14.25">
      <c r="A39" s="206" t="s">
        <v>51</v>
      </c>
      <c r="B39" s="537"/>
      <c r="C39" s="919"/>
      <c r="D39" s="920"/>
      <c r="E39" s="920" t="s">
        <v>81</v>
      </c>
      <c r="F39" s="920"/>
      <c r="G39" s="920" t="s">
        <v>81</v>
      </c>
      <c r="H39" s="921"/>
      <c r="I39" s="537"/>
      <c r="J39" s="537"/>
      <c r="K39" s="919"/>
      <c r="L39" s="295"/>
      <c r="M39" s="295" t="s">
        <v>81</v>
      </c>
      <c r="N39" s="295"/>
      <c r="O39" s="295" t="s">
        <v>81</v>
      </c>
      <c r="P39" s="285">
        <f t="shared" si="174"/>
        <v>44</v>
      </c>
      <c r="Q39" s="62">
        <f t="shared" si="179"/>
        <v>108</v>
      </c>
      <c r="R39" s="219" t="str">
        <f t="shared" si="175"/>
        <v>Истрашкин</v>
      </c>
      <c r="S39" s="71" t="s">
        <v>10</v>
      </c>
      <c r="T39" s="72" t="s">
        <v>9</v>
      </c>
      <c r="U39" s="73">
        <f t="shared" si="176"/>
        <v>0</v>
      </c>
      <c r="V39" s="62">
        <f t="shared" si="177"/>
        <v>0</v>
      </c>
      <c r="W39" s="62"/>
      <c r="X39" s="74" t="s">
        <v>34</v>
      </c>
      <c r="Y39" s="7"/>
      <c r="Z39" s="7"/>
      <c r="AA39" s="7"/>
      <c r="AB39" s="13"/>
      <c r="AC39" s="13"/>
      <c r="AD39" s="13"/>
    </row>
    <row r="40" ht="14.25">
      <c r="A40" s="245"/>
      <c r="B40" s="488">
        <v>46055</v>
      </c>
      <c r="C40" s="157"/>
      <c r="D40" s="489">
        <v>46056</v>
      </c>
      <c r="E40" s="669"/>
      <c r="F40" s="489">
        <v>46057</v>
      </c>
      <c r="G40" s="669"/>
      <c r="H40" s="489">
        <v>46058</v>
      </c>
      <c r="I40" s="669"/>
      <c r="J40" s="489">
        <v>46059</v>
      </c>
      <c r="K40" s="669"/>
      <c r="L40" s="489">
        <v>46060</v>
      </c>
      <c r="M40" s="669"/>
      <c r="N40" s="489">
        <v>46061</v>
      </c>
      <c r="O40" s="669"/>
      <c r="P40" s="246"/>
      <c r="Q40" s="247"/>
      <c r="R40" s="245"/>
      <c r="S40" s="178"/>
      <c r="T40" s="178"/>
      <c r="U40" s="100"/>
      <c r="V40" s="100"/>
      <c r="W40" s="100"/>
      <c r="X40" s="7"/>
      <c r="Y40" s="7"/>
      <c r="Z40" s="7"/>
      <c r="AA40" s="7"/>
      <c r="AB40" s="13"/>
      <c r="AC40" s="13"/>
      <c r="AD40" s="13"/>
    </row>
    <row r="41" ht="14.25">
      <c r="A41" s="162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4"/>
      <c r="R41" s="165"/>
      <c r="S41" s="165"/>
      <c r="T41" s="165"/>
      <c r="U41" s="100"/>
      <c r="V41" s="100"/>
      <c r="W41" s="100"/>
      <c r="X41" s="51"/>
      <c r="Y41" s="7"/>
      <c r="Z41" s="7"/>
      <c r="AA41" s="7"/>
      <c r="AB41" s="13"/>
      <c r="AC41" s="13"/>
      <c r="AD41" s="13"/>
    </row>
    <row r="42" ht="14.25">
      <c r="A42" s="143"/>
      <c r="B42" s="214" t="s">
        <v>17</v>
      </c>
      <c r="C42" s="481"/>
      <c r="D42" s="214" t="s">
        <v>18</v>
      </c>
      <c r="E42" s="481"/>
      <c r="F42" s="214" t="s">
        <v>19</v>
      </c>
      <c r="G42" s="214"/>
      <c r="H42" s="214" t="s">
        <v>20</v>
      </c>
      <c r="I42" s="481"/>
      <c r="J42" s="214" t="s">
        <v>21</v>
      </c>
      <c r="K42" s="214"/>
      <c r="L42" s="214" t="s">
        <v>22</v>
      </c>
      <c r="M42" s="214"/>
      <c r="N42" s="214" t="s">
        <v>23</v>
      </c>
      <c r="O42" s="214"/>
      <c r="P42" s="208" t="s">
        <v>24</v>
      </c>
      <c r="Q42" s="209"/>
      <c r="R42" s="143"/>
      <c r="S42" s="143"/>
      <c r="T42" s="143"/>
      <c r="U42" s="62"/>
      <c r="V42" s="62"/>
      <c r="W42" s="62"/>
      <c r="X42" s="63"/>
      <c r="Y42" s="7"/>
      <c r="Z42" s="7"/>
      <c r="AA42" s="7"/>
      <c r="AB42" s="13"/>
      <c r="AC42" s="13"/>
      <c r="AD42" s="13"/>
    </row>
    <row r="43" ht="14.25">
      <c r="A43" s="143"/>
      <c r="B43" s="515">
        <v>46062</v>
      </c>
      <c r="C43" s="517"/>
      <c r="D43" s="515">
        <v>46063</v>
      </c>
      <c r="E43" s="517"/>
      <c r="F43" s="515">
        <v>46064</v>
      </c>
      <c r="G43" s="517"/>
      <c r="H43" s="515">
        <v>46065</v>
      </c>
      <c r="I43" s="517"/>
      <c r="J43" s="515">
        <v>46066</v>
      </c>
      <c r="K43" s="517"/>
      <c r="L43" s="515">
        <v>46067</v>
      </c>
      <c r="M43" s="517"/>
      <c r="N43" s="515">
        <v>46068</v>
      </c>
      <c r="O43" s="517"/>
      <c r="P43" s="213" t="s">
        <v>25</v>
      </c>
      <c r="Q43" s="214" t="s">
        <v>26</v>
      </c>
      <c r="R43" s="524"/>
      <c r="S43" s="147"/>
      <c r="T43" s="147"/>
      <c r="U43" s="60" t="s">
        <v>27</v>
      </c>
      <c r="V43" s="61" t="s">
        <v>28</v>
      </c>
      <c r="W43" s="62" t="s">
        <v>29</v>
      </c>
      <c r="X43" s="63" t="s">
        <v>30</v>
      </c>
      <c r="Y43" s="7"/>
      <c r="Z43" s="7"/>
      <c r="AA43" s="7"/>
      <c r="AB43" s="13"/>
      <c r="AC43" s="13"/>
      <c r="AD43" s="13"/>
    </row>
    <row r="44" ht="14.25">
      <c r="A44" s="525" t="s">
        <v>35</v>
      </c>
      <c r="B44" s="527" t="s">
        <v>32</v>
      </c>
      <c r="C44" s="527" t="s">
        <v>33</v>
      </c>
      <c r="D44" s="527" t="s">
        <v>32</v>
      </c>
      <c r="E44" s="527" t="s">
        <v>33</v>
      </c>
      <c r="F44" s="527" t="s">
        <v>32</v>
      </c>
      <c r="G44" s="527" t="s">
        <v>33</v>
      </c>
      <c r="H44" s="527" t="s">
        <v>32</v>
      </c>
      <c r="I44" s="527" t="s">
        <v>33</v>
      </c>
      <c r="J44" s="527" t="s">
        <v>32</v>
      </c>
      <c r="K44" s="527" t="s">
        <v>33</v>
      </c>
      <c r="L44" s="528"/>
      <c r="M44" s="528"/>
      <c r="N44" s="528"/>
      <c r="O44" s="528"/>
      <c r="P44" s="253">
        <f t="shared" si="174"/>
        <v>40</v>
      </c>
      <c r="Q44" s="62">
        <f t="shared" ref="Q44:Q87" si="180">Q28-P44</f>
        <v>72</v>
      </c>
      <c r="R44" s="219" t="str">
        <f t="shared" si="175"/>
        <v>Рычков</v>
      </c>
      <c r="S44" s="76" t="s">
        <v>10</v>
      </c>
      <c r="T44" s="77" t="s">
        <v>9</v>
      </c>
      <c r="U44" s="73">
        <f t="shared" si="176"/>
        <v>0</v>
      </c>
      <c r="V44" s="62">
        <f t="shared" si="177"/>
        <v>0</v>
      </c>
      <c r="W44" s="62"/>
      <c r="X44" s="74" t="s">
        <v>34</v>
      </c>
      <c r="Y44" s="7"/>
      <c r="Z44" s="7"/>
      <c r="AA44" s="7"/>
      <c r="AB44" s="13"/>
      <c r="AC44" s="13"/>
      <c r="AD44" s="13"/>
    </row>
    <row r="45" ht="14.25">
      <c r="A45" s="415" t="s">
        <v>39</v>
      </c>
      <c r="B45" s="527" t="s">
        <v>32</v>
      </c>
      <c r="C45" s="527" t="s">
        <v>33</v>
      </c>
      <c r="D45" s="527" t="s">
        <v>32</v>
      </c>
      <c r="E45" s="527" t="s">
        <v>33</v>
      </c>
      <c r="F45" s="527" t="s">
        <v>32</v>
      </c>
      <c r="G45" s="527" t="s">
        <v>33</v>
      </c>
      <c r="H45" s="527" t="s">
        <v>32</v>
      </c>
      <c r="I45" s="527" t="s">
        <v>33</v>
      </c>
      <c r="J45" s="527" t="s">
        <v>32</v>
      </c>
      <c r="K45" s="527" t="s">
        <v>33</v>
      </c>
      <c r="L45" s="528"/>
      <c r="M45" s="528"/>
      <c r="N45" s="528"/>
      <c r="O45" s="528"/>
      <c r="P45" s="253">
        <f t="shared" si="174"/>
        <v>40</v>
      </c>
      <c r="Q45" s="62">
        <f t="shared" si="180"/>
        <v>72</v>
      </c>
      <c r="R45" s="219" t="str">
        <f t="shared" si="175"/>
        <v>Игумнов</v>
      </c>
      <c r="S45" s="76" t="s">
        <v>10</v>
      </c>
      <c r="T45" s="77" t="s">
        <v>9</v>
      </c>
      <c r="U45" s="73">
        <f t="shared" si="176"/>
        <v>0</v>
      </c>
      <c r="V45" s="62">
        <f t="shared" si="177"/>
        <v>0</v>
      </c>
      <c r="W45" s="62"/>
      <c r="X45" s="79" t="s">
        <v>34</v>
      </c>
      <c r="Y45" s="7"/>
      <c r="Z45" s="7"/>
      <c r="AA45" s="7"/>
      <c r="AB45" s="13"/>
      <c r="AC45" s="13"/>
      <c r="AD45" s="13"/>
    </row>
    <row r="46" ht="14.25">
      <c r="A46" s="415" t="s">
        <v>40</v>
      </c>
      <c r="B46" s="527" t="s">
        <v>32</v>
      </c>
      <c r="C46" s="527" t="s">
        <v>33</v>
      </c>
      <c r="D46" s="527" t="s">
        <v>32</v>
      </c>
      <c r="E46" s="527" t="s">
        <v>33</v>
      </c>
      <c r="F46" s="527" t="s">
        <v>32</v>
      </c>
      <c r="G46" s="527" t="s">
        <v>33</v>
      </c>
      <c r="H46" s="527" t="s">
        <v>32</v>
      </c>
      <c r="I46" s="527" t="s">
        <v>33</v>
      </c>
      <c r="J46" s="527" t="s">
        <v>32</v>
      </c>
      <c r="K46" s="527" t="s">
        <v>33</v>
      </c>
      <c r="L46" s="528"/>
      <c r="M46" s="528"/>
      <c r="N46" s="528"/>
      <c r="O46" s="528"/>
      <c r="P46" s="253">
        <f t="shared" si="174"/>
        <v>40</v>
      </c>
      <c r="Q46" s="62">
        <f t="shared" si="180"/>
        <v>72</v>
      </c>
      <c r="R46" s="219" t="str">
        <f t="shared" si="175"/>
        <v>Душин</v>
      </c>
      <c r="S46" s="76" t="s">
        <v>10</v>
      </c>
      <c r="T46" s="77" t="s">
        <v>9</v>
      </c>
      <c r="U46" s="73">
        <f t="shared" si="176"/>
        <v>0</v>
      </c>
      <c r="V46" s="62">
        <f t="shared" si="177"/>
        <v>0</v>
      </c>
      <c r="W46" s="62"/>
      <c r="X46" s="74" t="s">
        <v>38</v>
      </c>
      <c r="Y46" s="7"/>
      <c r="Z46" s="7"/>
      <c r="AA46" s="7"/>
      <c r="AB46" s="13"/>
      <c r="AC46" s="13"/>
      <c r="AD46" s="13"/>
    </row>
    <row r="47" ht="14.25">
      <c r="A47" s="415" t="s">
        <v>31</v>
      </c>
      <c r="B47" s="527" t="s">
        <v>32</v>
      </c>
      <c r="C47" s="527" t="s">
        <v>33</v>
      </c>
      <c r="D47" s="527" t="s">
        <v>32</v>
      </c>
      <c r="E47" s="527" t="s">
        <v>33</v>
      </c>
      <c r="F47" s="527" t="s">
        <v>32</v>
      </c>
      <c r="G47" s="527" t="s">
        <v>33</v>
      </c>
      <c r="H47" s="527" t="s">
        <v>32</v>
      </c>
      <c r="I47" s="527" t="s">
        <v>33</v>
      </c>
      <c r="J47" s="527" t="s">
        <v>32</v>
      </c>
      <c r="K47" s="527" t="s">
        <v>33</v>
      </c>
      <c r="L47" s="528"/>
      <c r="M47" s="528"/>
      <c r="N47" s="528"/>
      <c r="O47" s="528"/>
      <c r="P47" s="253">
        <f t="shared" si="174"/>
        <v>40</v>
      </c>
      <c r="Q47" s="62">
        <f t="shared" si="180"/>
        <v>72</v>
      </c>
      <c r="R47" s="219" t="str">
        <f t="shared" si="175"/>
        <v>Нетронин</v>
      </c>
      <c r="S47" s="76" t="s">
        <v>58</v>
      </c>
      <c r="T47" s="77" t="s">
        <v>59</v>
      </c>
      <c r="U47" s="73"/>
      <c r="V47" s="62"/>
      <c r="W47" s="62"/>
      <c r="X47" s="74" t="s">
        <v>34</v>
      </c>
      <c r="Y47" s="7"/>
      <c r="Z47" s="7"/>
      <c r="AA47" s="7"/>
      <c r="AB47" s="13"/>
      <c r="AC47" s="13"/>
      <c r="AD47" s="13"/>
    </row>
    <row r="48" ht="14.25">
      <c r="A48" s="415" t="s">
        <v>42</v>
      </c>
      <c r="B48" s="530" t="s">
        <v>32</v>
      </c>
      <c r="C48" s="530" t="s">
        <v>33</v>
      </c>
      <c r="D48" s="530" t="s">
        <v>32</v>
      </c>
      <c r="E48" s="530" t="s">
        <v>33</v>
      </c>
      <c r="F48" s="530" t="s">
        <v>32</v>
      </c>
      <c r="G48" s="530" t="s">
        <v>33</v>
      </c>
      <c r="H48" s="530" t="s">
        <v>32</v>
      </c>
      <c r="I48" s="530" t="s">
        <v>33</v>
      </c>
      <c r="J48" s="530" t="s">
        <v>32</v>
      </c>
      <c r="K48" s="530" t="s">
        <v>33</v>
      </c>
      <c r="L48" s="531"/>
      <c r="M48" s="531"/>
      <c r="N48" s="531"/>
      <c r="O48" s="531"/>
      <c r="P48" s="253">
        <f t="shared" si="174"/>
        <v>40</v>
      </c>
      <c r="Q48" s="62">
        <f t="shared" si="180"/>
        <v>72</v>
      </c>
      <c r="R48" s="219" t="str">
        <f t="shared" si="175"/>
        <v>Юращик</v>
      </c>
      <c r="S48" s="76" t="s">
        <v>10</v>
      </c>
      <c r="T48" s="77" t="s">
        <v>9</v>
      </c>
      <c r="U48" s="73"/>
      <c r="V48" s="62"/>
      <c r="W48" s="62"/>
      <c r="X48" s="74" t="s">
        <v>38</v>
      </c>
      <c r="Y48" s="7"/>
      <c r="Z48" s="7"/>
      <c r="AA48" s="7"/>
      <c r="AB48" s="13"/>
      <c r="AC48" s="13"/>
      <c r="AD48" s="13"/>
    </row>
    <row r="49" ht="14.25">
      <c r="A49" s="278" t="s">
        <v>43</v>
      </c>
      <c r="B49" s="291"/>
      <c r="C49" s="918"/>
      <c r="D49" s="295"/>
      <c r="E49" s="295" t="s">
        <v>81</v>
      </c>
      <c r="F49" s="295"/>
      <c r="G49" s="295" t="s">
        <v>81</v>
      </c>
      <c r="H49" s="917"/>
      <c r="I49" s="291"/>
      <c r="J49" s="291"/>
      <c r="K49" s="918"/>
      <c r="L49" s="920"/>
      <c r="M49" s="920" t="s">
        <v>81</v>
      </c>
      <c r="N49" s="920"/>
      <c r="O49" s="920" t="s">
        <v>81</v>
      </c>
      <c r="P49" s="285">
        <f t="shared" si="174"/>
        <v>44</v>
      </c>
      <c r="Q49" s="62">
        <f t="shared" si="180"/>
        <v>64</v>
      </c>
      <c r="R49" s="219" t="str">
        <f t="shared" si="175"/>
        <v>Дащенко</v>
      </c>
      <c r="S49" s="71" t="s">
        <v>12</v>
      </c>
      <c r="T49" s="72" t="s">
        <v>11</v>
      </c>
      <c r="U49" s="73">
        <f t="shared" si="176"/>
        <v>0</v>
      </c>
      <c r="V49" s="62">
        <f t="shared" si="177"/>
        <v>0</v>
      </c>
      <c r="W49" s="62"/>
      <c r="X49" s="434" t="s">
        <v>44</v>
      </c>
      <c r="Y49" s="7"/>
      <c r="Z49" s="7"/>
      <c r="AA49" s="7"/>
      <c r="AB49" s="13"/>
      <c r="AC49" s="13"/>
      <c r="AD49" s="13"/>
    </row>
    <row r="50" ht="14.25">
      <c r="A50" s="278" t="s">
        <v>45</v>
      </c>
      <c r="B50" s="922"/>
      <c r="C50" s="922" t="s">
        <v>81</v>
      </c>
      <c r="D50" s="921"/>
      <c r="E50" s="537"/>
      <c r="F50" s="537"/>
      <c r="G50" s="919"/>
      <c r="H50" s="920"/>
      <c r="I50" s="920" t="s">
        <v>81</v>
      </c>
      <c r="J50" s="920"/>
      <c r="K50" s="920" t="s">
        <v>81</v>
      </c>
      <c r="L50" s="921"/>
      <c r="M50" s="537"/>
      <c r="N50" s="537"/>
      <c r="O50" s="537"/>
      <c r="P50" s="285">
        <f t="shared" si="174"/>
        <v>33</v>
      </c>
      <c r="Q50" s="62">
        <f t="shared" si="180"/>
        <v>75</v>
      </c>
      <c r="R50" s="219" t="str">
        <f t="shared" si="175"/>
        <v>Пузырь</v>
      </c>
      <c r="S50" s="76" t="s">
        <v>10</v>
      </c>
      <c r="T50" s="77" t="s">
        <v>9</v>
      </c>
      <c r="U50" s="73">
        <f t="shared" si="176"/>
        <v>0</v>
      </c>
      <c r="V50" s="62">
        <f t="shared" si="177"/>
        <v>0</v>
      </c>
      <c r="W50" s="62"/>
      <c r="X50" s="74" t="s">
        <v>34</v>
      </c>
      <c r="Y50" s="7"/>
      <c r="Z50" s="7"/>
      <c r="AA50" s="7"/>
      <c r="AB50" s="13"/>
      <c r="AC50" s="13"/>
      <c r="AD50" s="13"/>
    </row>
    <row r="51" ht="14.25">
      <c r="A51" s="278" t="s">
        <v>46</v>
      </c>
      <c r="B51" s="737"/>
      <c r="C51" s="737" t="s">
        <v>81</v>
      </c>
      <c r="D51" s="917"/>
      <c r="E51" s="291"/>
      <c r="F51" s="291"/>
      <c r="G51" s="918"/>
      <c r="H51" s="295"/>
      <c r="I51" s="295" t="s">
        <v>81</v>
      </c>
      <c r="J51" s="295"/>
      <c r="K51" s="295" t="s">
        <v>81</v>
      </c>
      <c r="L51" s="917"/>
      <c r="M51" s="291"/>
      <c r="N51" s="291"/>
      <c r="O51" s="291"/>
      <c r="P51" s="285">
        <f t="shared" si="174"/>
        <v>33</v>
      </c>
      <c r="Q51" s="62">
        <f t="shared" si="180"/>
        <v>75</v>
      </c>
      <c r="R51" s="219" t="str">
        <f t="shared" si="175"/>
        <v>Голышев</v>
      </c>
      <c r="S51" s="76" t="s">
        <v>10</v>
      </c>
      <c r="T51" s="77" t="s">
        <v>9</v>
      </c>
      <c r="U51" s="73">
        <f t="shared" si="176"/>
        <v>0</v>
      </c>
      <c r="V51" s="62">
        <f t="shared" si="177"/>
        <v>0</v>
      </c>
      <c r="W51" s="62"/>
      <c r="X51" s="74" t="s">
        <v>34</v>
      </c>
      <c r="Y51" s="7"/>
      <c r="Z51" s="7"/>
      <c r="AA51" s="7"/>
      <c r="AB51" s="13"/>
      <c r="AC51" s="13"/>
      <c r="AD51" s="13"/>
    </row>
    <row r="52" ht="14.25">
      <c r="A52" s="278" t="s">
        <v>47</v>
      </c>
      <c r="B52" s="924"/>
      <c r="C52" s="925"/>
      <c r="D52" s="920"/>
      <c r="E52" s="920" t="s">
        <v>81</v>
      </c>
      <c r="F52" s="920"/>
      <c r="G52" s="920" t="s">
        <v>81</v>
      </c>
      <c r="H52" s="921"/>
      <c r="I52" s="537"/>
      <c r="J52" s="924"/>
      <c r="K52" s="925"/>
      <c r="L52" s="295"/>
      <c r="M52" s="295" t="s">
        <v>81</v>
      </c>
      <c r="N52" s="295"/>
      <c r="O52" s="295" t="s">
        <v>81</v>
      </c>
      <c r="P52" s="285">
        <f t="shared" si="174"/>
        <v>44</v>
      </c>
      <c r="Q52" s="62">
        <f t="shared" si="180"/>
        <v>64</v>
      </c>
      <c r="R52" s="219" t="str">
        <f t="shared" si="175"/>
        <v>Торубара</v>
      </c>
      <c r="S52" s="76" t="s">
        <v>10</v>
      </c>
      <c r="T52" s="77" t="s">
        <v>9</v>
      </c>
      <c r="U52" s="73">
        <f t="shared" si="176"/>
        <v>0</v>
      </c>
      <c r="V52" s="62">
        <f t="shared" si="177"/>
        <v>0</v>
      </c>
      <c r="W52" s="62"/>
      <c r="X52" s="74" t="s">
        <v>34</v>
      </c>
      <c r="Y52" s="7"/>
      <c r="Z52" s="7"/>
      <c r="AA52" s="7"/>
      <c r="AB52" s="13"/>
      <c r="AC52" s="13"/>
      <c r="AD52" s="13"/>
    </row>
    <row r="53" ht="14.25">
      <c r="A53" s="278" t="s">
        <v>48</v>
      </c>
      <c r="B53" s="295"/>
      <c r="C53" s="295" t="s">
        <v>81</v>
      </c>
      <c r="D53" s="295"/>
      <c r="E53" s="295" t="s">
        <v>81</v>
      </c>
      <c r="F53" s="921"/>
      <c r="G53" s="537"/>
      <c r="H53" s="87"/>
      <c r="I53" s="293"/>
      <c r="J53" s="920"/>
      <c r="K53" s="920" t="s">
        <v>81</v>
      </c>
      <c r="L53" s="920"/>
      <c r="M53" s="920" t="s">
        <v>81</v>
      </c>
      <c r="N53" s="921"/>
      <c r="O53" s="537"/>
      <c r="P53" s="285">
        <f t="shared" si="174"/>
        <v>44</v>
      </c>
      <c r="Q53" s="62">
        <f t="shared" si="180"/>
        <v>64</v>
      </c>
      <c r="R53" s="219" t="str">
        <f t="shared" si="175"/>
        <v>Стрыгин</v>
      </c>
      <c r="S53" s="71" t="s">
        <v>8</v>
      </c>
      <c r="T53" s="72" t="s">
        <v>7</v>
      </c>
      <c r="U53" s="73">
        <f t="shared" si="176"/>
        <v>0</v>
      </c>
      <c r="V53" s="62">
        <f t="shared" si="177"/>
        <v>0</v>
      </c>
      <c r="W53" s="62"/>
      <c r="X53" s="74" t="s">
        <v>49</v>
      </c>
      <c r="Y53" s="7"/>
      <c r="Z53" s="7"/>
      <c r="AA53" s="7"/>
      <c r="AB53" s="13"/>
      <c r="AC53" s="13"/>
      <c r="AD53" s="13"/>
    </row>
    <row r="54" ht="14.25">
      <c r="A54" s="278" t="s">
        <v>50</v>
      </c>
      <c r="B54" s="920"/>
      <c r="C54" s="920" t="s">
        <v>81</v>
      </c>
      <c r="D54" s="920"/>
      <c r="E54" s="920" t="s">
        <v>81</v>
      </c>
      <c r="F54" s="917"/>
      <c r="G54" s="291"/>
      <c r="H54" s="291"/>
      <c r="I54" s="918"/>
      <c r="J54" s="295"/>
      <c r="K54" s="295" t="s">
        <v>81</v>
      </c>
      <c r="L54" s="295"/>
      <c r="M54" s="295" t="s">
        <v>81</v>
      </c>
      <c r="N54" s="917"/>
      <c r="O54" s="291"/>
      <c r="P54" s="285">
        <f t="shared" si="174"/>
        <v>44</v>
      </c>
      <c r="Q54" s="62">
        <f t="shared" si="180"/>
        <v>64</v>
      </c>
      <c r="R54" s="219" t="str">
        <f t="shared" si="175"/>
        <v>Фрик</v>
      </c>
      <c r="S54" s="71" t="s">
        <v>12</v>
      </c>
      <c r="T54" s="72" t="s">
        <v>11</v>
      </c>
      <c r="U54" s="73">
        <f t="shared" si="176"/>
        <v>0</v>
      </c>
      <c r="V54" s="62">
        <f t="shared" si="177"/>
        <v>0</v>
      </c>
      <c r="W54" s="62"/>
      <c r="X54" s="74" t="s">
        <v>44</v>
      </c>
      <c r="Y54" s="7"/>
      <c r="Z54" s="7"/>
      <c r="AA54" s="7"/>
      <c r="AB54" s="13"/>
      <c r="AC54" s="13"/>
      <c r="AD54" s="13"/>
    </row>
    <row r="55" ht="14.25">
      <c r="A55" s="278" t="s">
        <v>51</v>
      </c>
      <c r="B55" s="537"/>
      <c r="C55" s="537"/>
      <c r="D55" s="537"/>
      <c r="E55" s="919"/>
      <c r="F55" s="920"/>
      <c r="G55" s="920" t="s">
        <v>81</v>
      </c>
      <c r="H55" s="920"/>
      <c r="I55" s="920" t="s">
        <v>81</v>
      </c>
      <c r="J55" s="921"/>
      <c r="K55" s="537"/>
      <c r="L55" s="537"/>
      <c r="M55" s="919"/>
      <c r="N55" s="295"/>
      <c r="O55" s="295" t="s">
        <v>81</v>
      </c>
      <c r="P55" s="285">
        <f t="shared" si="174"/>
        <v>33</v>
      </c>
      <c r="Q55" s="62">
        <f t="shared" si="180"/>
        <v>75</v>
      </c>
      <c r="R55" s="219" t="str">
        <f t="shared" si="175"/>
        <v>Истрашкин</v>
      </c>
      <c r="S55" s="71" t="s">
        <v>10</v>
      </c>
      <c r="T55" s="72" t="s">
        <v>9</v>
      </c>
      <c r="U55" s="73">
        <f t="shared" si="176"/>
        <v>0</v>
      </c>
      <c r="V55" s="62">
        <f t="shared" si="177"/>
        <v>0</v>
      </c>
      <c r="W55" s="62"/>
      <c r="X55" s="74" t="s">
        <v>34</v>
      </c>
      <c r="Y55" s="7"/>
      <c r="Z55" s="7"/>
      <c r="AA55" s="7"/>
      <c r="AB55" s="13"/>
      <c r="AC55" s="13"/>
      <c r="AD55" s="13"/>
    </row>
    <row r="56" ht="14.25">
      <c r="A56" s="207"/>
      <c r="B56" s="489">
        <v>46062</v>
      </c>
      <c r="C56" s="669"/>
      <c r="D56" s="489">
        <v>46063</v>
      </c>
      <c r="E56" s="669"/>
      <c r="F56" s="489">
        <v>46064</v>
      </c>
      <c r="G56" s="669"/>
      <c r="H56" s="489">
        <v>46064</v>
      </c>
      <c r="I56" s="669"/>
      <c r="J56" s="489">
        <v>46066</v>
      </c>
      <c r="K56" s="669"/>
      <c r="L56" s="488">
        <v>46067</v>
      </c>
      <c r="M56" s="157"/>
      <c r="N56" s="489">
        <v>46068</v>
      </c>
      <c r="O56" s="669"/>
      <c r="P56" s="253"/>
      <c r="Q56" s="254"/>
      <c r="R56" s="207"/>
      <c r="S56" s="138"/>
      <c r="T56" s="138"/>
      <c r="U56" s="60" t="s">
        <v>27</v>
      </c>
      <c r="V56" s="61" t="s">
        <v>28</v>
      </c>
      <c r="W56" s="62" t="s">
        <v>29</v>
      </c>
      <c r="X56" s="7"/>
      <c r="Y56" s="7"/>
      <c r="Z56" s="7"/>
      <c r="AA56" s="7"/>
      <c r="AB56" s="13"/>
      <c r="AC56" s="13"/>
      <c r="AD56" s="13"/>
    </row>
    <row r="57" ht="14.25">
      <c r="A57" s="165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93"/>
      <c r="S57" s="127"/>
      <c r="T57" s="127"/>
      <c r="U57" s="127"/>
      <c r="V57" s="127"/>
      <c r="W57" s="128"/>
      <c r="X57" s="7"/>
      <c r="Y57" s="7"/>
      <c r="Z57" s="7"/>
      <c r="AA57" s="7"/>
      <c r="AB57" s="13"/>
      <c r="AC57" s="13"/>
      <c r="AD57" s="13"/>
    </row>
    <row r="58" ht="14.25">
      <c r="A58" s="143"/>
      <c r="B58" s="214" t="s">
        <v>17</v>
      </c>
      <c r="C58" s="481"/>
      <c r="D58" s="214" t="s">
        <v>18</v>
      </c>
      <c r="E58" s="481"/>
      <c r="F58" s="214" t="s">
        <v>19</v>
      </c>
      <c r="G58" s="214"/>
      <c r="H58" s="214" t="s">
        <v>20</v>
      </c>
      <c r="I58" s="481"/>
      <c r="J58" s="482" t="s">
        <v>21</v>
      </c>
      <c r="K58" s="482"/>
      <c r="L58" s="214" t="s">
        <v>22</v>
      </c>
      <c r="M58" s="214"/>
      <c r="N58" s="214" t="s">
        <v>23</v>
      </c>
      <c r="O58" s="214"/>
      <c r="P58" s="208" t="s">
        <v>24</v>
      </c>
      <c r="Q58" s="209"/>
      <c r="R58" s="143"/>
      <c r="S58" s="143"/>
      <c r="T58" s="143"/>
      <c r="U58" s="62"/>
      <c r="V58" s="62"/>
      <c r="W58" s="62"/>
      <c r="X58" s="51"/>
      <c r="Y58" s="7"/>
      <c r="Z58" s="7"/>
      <c r="AA58" s="7"/>
      <c r="AB58" s="13"/>
      <c r="AC58" s="13"/>
      <c r="AD58" s="13"/>
    </row>
    <row r="59" ht="14.25">
      <c r="A59" s="143"/>
      <c r="B59" s="515">
        <v>46069</v>
      </c>
      <c r="C59" s="517"/>
      <c r="D59" s="515">
        <v>46070</v>
      </c>
      <c r="E59" s="517"/>
      <c r="F59" s="515">
        <v>46071</v>
      </c>
      <c r="G59" s="517"/>
      <c r="H59" s="515">
        <v>46072</v>
      </c>
      <c r="I59" s="517"/>
      <c r="J59" s="515">
        <v>46073</v>
      </c>
      <c r="K59" s="517"/>
      <c r="L59" s="515">
        <v>46074</v>
      </c>
      <c r="M59" s="517"/>
      <c r="N59" s="515">
        <v>46075</v>
      </c>
      <c r="O59" s="517"/>
      <c r="P59" s="213" t="s">
        <v>25</v>
      </c>
      <c r="Q59" s="214" t="s">
        <v>26</v>
      </c>
      <c r="R59" s="524"/>
      <c r="S59" s="147"/>
      <c r="T59" s="147"/>
      <c r="U59" s="60" t="s">
        <v>27</v>
      </c>
      <c r="V59" s="61" t="s">
        <v>28</v>
      </c>
      <c r="W59" s="62" t="s">
        <v>29</v>
      </c>
      <c r="X59" s="63" t="s">
        <v>30</v>
      </c>
      <c r="Y59" s="7"/>
      <c r="Z59" s="7"/>
      <c r="AA59" s="7"/>
      <c r="AB59" s="13"/>
      <c r="AC59" s="13"/>
      <c r="AD59" s="13"/>
    </row>
    <row r="60" ht="14.25">
      <c r="A60" s="415" t="s">
        <v>35</v>
      </c>
      <c r="B60" s="527" t="s">
        <v>32</v>
      </c>
      <c r="C60" s="527" t="s">
        <v>33</v>
      </c>
      <c r="D60" s="527" t="s">
        <v>32</v>
      </c>
      <c r="E60" s="527" t="s">
        <v>33</v>
      </c>
      <c r="F60" s="527" t="s">
        <v>32</v>
      </c>
      <c r="G60" s="527" t="s">
        <v>33</v>
      </c>
      <c r="H60" s="527" t="s">
        <v>32</v>
      </c>
      <c r="I60" s="527" t="s">
        <v>33</v>
      </c>
      <c r="J60" s="527" t="s">
        <v>32</v>
      </c>
      <c r="K60" s="527" t="s">
        <v>33</v>
      </c>
      <c r="L60" s="528"/>
      <c r="M60" s="528"/>
      <c r="N60" s="528"/>
      <c r="O60" s="528"/>
      <c r="P60" s="253">
        <f t="shared" si="174"/>
        <v>40</v>
      </c>
      <c r="Q60" s="62">
        <f t="shared" si="180"/>
        <v>32</v>
      </c>
      <c r="R60" s="219" t="str">
        <f t="shared" si="175"/>
        <v>Рычков</v>
      </c>
      <c r="S60" s="76" t="s">
        <v>10</v>
      </c>
      <c r="T60" s="77" t="s">
        <v>9</v>
      </c>
      <c r="U60" s="73">
        <f t="shared" si="176"/>
        <v>0</v>
      </c>
      <c r="V60" s="62">
        <f t="shared" si="177"/>
        <v>0</v>
      </c>
      <c r="W60" s="62"/>
      <c r="X60" s="74" t="s">
        <v>34</v>
      </c>
      <c r="Y60" s="7"/>
      <c r="Z60" s="7"/>
      <c r="AA60" s="7"/>
      <c r="AB60" s="13"/>
      <c r="AC60" s="13"/>
      <c r="AD60" s="13"/>
    </row>
    <row r="61" ht="14.25">
      <c r="A61" s="415" t="s">
        <v>39</v>
      </c>
      <c r="B61" s="527" t="s">
        <v>32</v>
      </c>
      <c r="C61" s="527" t="s">
        <v>33</v>
      </c>
      <c r="D61" s="527" t="s">
        <v>32</v>
      </c>
      <c r="E61" s="527" t="s">
        <v>33</v>
      </c>
      <c r="F61" s="527" t="s">
        <v>32</v>
      </c>
      <c r="G61" s="527" t="s">
        <v>33</v>
      </c>
      <c r="H61" s="527" t="s">
        <v>32</v>
      </c>
      <c r="I61" s="527" t="s">
        <v>33</v>
      </c>
      <c r="J61" s="527" t="s">
        <v>32</v>
      </c>
      <c r="K61" s="527" t="s">
        <v>33</v>
      </c>
      <c r="L61" s="528"/>
      <c r="M61" s="528"/>
      <c r="N61" s="528"/>
      <c r="O61" s="528"/>
      <c r="P61" s="253">
        <f t="shared" si="174"/>
        <v>40</v>
      </c>
      <c r="Q61" s="62">
        <f t="shared" si="180"/>
        <v>32</v>
      </c>
      <c r="R61" s="219" t="str">
        <f t="shared" si="175"/>
        <v>Игумнов</v>
      </c>
      <c r="S61" s="76" t="s">
        <v>10</v>
      </c>
      <c r="T61" s="77" t="s">
        <v>9</v>
      </c>
      <c r="U61" s="73">
        <f t="shared" si="176"/>
        <v>0</v>
      </c>
      <c r="V61" s="62">
        <f t="shared" si="177"/>
        <v>0</v>
      </c>
      <c r="W61" s="62"/>
      <c r="X61" s="79" t="s">
        <v>34</v>
      </c>
      <c r="Y61" s="7"/>
      <c r="Z61" s="7"/>
      <c r="AA61" s="7"/>
      <c r="AB61" s="13"/>
      <c r="AC61" s="13"/>
      <c r="AD61" s="13"/>
    </row>
    <row r="62" ht="14.25">
      <c r="A62" s="415" t="s">
        <v>40</v>
      </c>
      <c r="B62" s="527" t="s">
        <v>32</v>
      </c>
      <c r="C62" s="527" t="s">
        <v>33</v>
      </c>
      <c r="D62" s="527" t="s">
        <v>32</v>
      </c>
      <c r="E62" s="527" t="s">
        <v>33</v>
      </c>
      <c r="F62" s="527" t="s">
        <v>32</v>
      </c>
      <c r="G62" s="527" t="s">
        <v>33</v>
      </c>
      <c r="H62" s="527" t="s">
        <v>32</v>
      </c>
      <c r="I62" s="527" t="s">
        <v>33</v>
      </c>
      <c r="J62" s="527" t="s">
        <v>32</v>
      </c>
      <c r="K62" s="527" t="s">
        <v>33</v>
      </c>
      <c r="L62" s="528"/>
      <c r="M62" s="528"/>
      <c r="N62" s="528"/>
      <c r="O62" s="528"/>
      <c r="P62" s="253">
        <f t="shared" si="174"/>
        <v>40</v>
      </c>
      <c r="Q62" s="62">
        <f t="shared" si="180"/>
        <v>32</v>
      </c>
      <c r="R62" s="219" t="str">
        <f t="shared" si="175"/>
        <v>Душин</v>
      </c>
      <c r="S62" s="76" t="s">
        <v>10</v>
      </c>
      <c r="T62" s="77" t="s">
        <v>9</v>
      </c>
      <c r="U62" s="73">
        <f t="shared" si="176"/>
        <v>0</v>
      </c>
      <c r="V62" s="62">
        <f>COUNTIF(U62,C62)+COUNTIF(U62,E62)+COUNTIF(U62,G62)+COUNTIF(U62,I62)+COUNTIF(U62,K62)+COUNTIF(U62,M62)+COUNTIF(U62,O62)</f>
        <v>0</v>
      </c>
      <c r="W62" s="62"/>
      <c r="X62" s="74" t="s">
        <v>38</v>
      </c>
      <c r="Y62" s="7"/>
      <c r="Z62" s="7"/>
      <c r="AA62" s="7"/>
      <c r="AB62" s="13"/>
      <c r="AC62" s="13"/>
      <c r="AD62" s="13"/>
    </row>
    <row r="63" ht="14.25">
      <c r="A63" s="415" t="s">
        <v>31</v>
      </c>
      <c r="B63" s="527" t="s">
        <v>32</v>
      </c>
      <c r="C63" s="527" t="s">
        <v>33</v>
      </c>
      <c r="D63" s="527" t="s">
        <v>32</v>
      </c>
      <c r="E63" s="527" t="s">
        <v>33</v>
      </c>
      <c r="F63" s="527" t="s">
        <v>32</v>
      </c>
      <c r="G63" s="527" t="s">
        <v>33</v>
      </c>
      <c r="H63" s="527" t="s">
        <v>32</v>
      </c>
      <c r="I63" s="527" t="s">
        <v>33</v>
      </c>
      <c r="J63" s="527" t="s">
        <v>32</v>
      </c>
      <c r="K63" s="527" t="s">
        <v>33</v>
      </c>
      <c r="L63" s="528"/>
      <c r="M63" s="528"/>
      <c r="N63" s="528"/>
      <c r="O63" s="528"/>
      <c r="P63" s="253">
        <f t="shared" si="174"/>
        <v>40</v>
      </c>
      <c r="Q63" s="62">
        <f t="shared" si="180"/>
        <v>32</v>
      </c>
      <c r="R63" s="219" t="str">
        <f t="shared" si="175"/>
        <v>Нетронин</v>
      </c>
      <c r="S63" s="76" t="s">
        <v>58</v>
      </c>
      <c r="T63" s="77" t="s">
        <v>59</v>
      </c>
      <c r="U63" s="73"/>
      <c r="V63" s="62"/>
      <c r="W63" s="62"/>
      <c r="X63" s="74" t="s">
        <v>34</v>
      </c>
      <c r="Y63" s="7"/>
      <c r="Z63" s="7"/>
      <c r="AA63" s="7"/>
      <c r="AB63" s="13"/>
      <c r="AC63" s="13"/>
      <c r="AD63" s="13"/>
    </row>
    <row r="64" ht="14.25">
      <c r="A64" s="415" t="s">
        <v>42</v>
      </c>
      <c r="B64" s="530" t="s">
        <v>32</v>
      </c>
      <c r="C64" s="530" t="s">
        <v>33</v>
      </c>
      <c r="D64" s="530" t="s">
        <v>32</v>
      </c>
      <c r="E64" s="530" t="s">
        <v>33</v>
      </c>
      <c r="F64" s="530" t="s">
        <v>32</v>
      </c>
      <c r="G64" s="530" t="s">
        <v>33</v>
      </c>
      <c r="H64" s="530" t="s">
        <v>32</v>
      </c>
      <c r="I64" s="530" t="s">
        <v>33</v>
      </c>
      <c r="J64" s="530" t="s">
        <v>32</v>
      </c>
      <c r="K64" s="530" t="s">
        <v>33</v>
      </c>
      <c r="L64" s="531"/>
      <c r="M64" s="531"/>
      <c r="N64" s="531"/>
      <c r="O64" s="531"/>
      <c r="P64" s="253">
        <f t="shared" si="174"/>
        <v>40</v>
      </c>
      <c r="Q64" s="62">
        <f t="shared" si="180"/>
        <v>32</v>
      </c>
      <c r="R64" s="219" t="str">
        <f t="shared" si="175"/>
        <v>Юращик</v>
      </c>
      <c r="S64" s="76" t="s">
        <v>10</v>
      </c>
      <c r="T64" s="77" t="s">
        <v>9</v>
      </c>
      <c r="U64" s="73"/>
      <c r="V64" s="62"/>
      <c r="W64" s="62"/>
      <c r="X64" s="74" t="s">
        <v>38</v>
      </c>
      <c r="Y64" s="7"/>
      <c r="Z64" s="7"/>
      <c r="AA64" s="7"/>
      <c r="AB64" s="13"/>
      <c r="AC64" s="13"/>
      <c r="AD64" s="13"/>
    </row>
    <row r="65">
      <c r="A65" s="278" t="s">
        <v>43</v>
      </c>
      <c r="B65" s="291"/>
      <c r="C65" s="291"/>
      <c r="D65" s="291"/>
      <c r="E65" s="918"/>
      <c r="F65" s="295"/>
      <c r="G65" s="295" t="s">
        <v>81</v>
      </c>
      <c r="H65" s="295"/>
      <c r="I65" s="295" t="s">
        <v>81</v>
      </c>
      <c r="J65" s="917"/>
      <c r="K65" s="291"/>
      <c r="L65" s="291"/>
      <c r="M65" s="918"/>
      <c r="N65" s="920"/>
      <c r="O65" s="920" t="s">
        <v>81</v>
      </c>
      <c r="P65" s="285">
        <f t="shared" si="174"/>
        <v>33</v>
      </c>
      <c r="Q65" s="62">
        <f t="shared" si="180"/>
        <v>31</v>
      </c>
      <c r="R65" s="219" t="str">
        <f t="shared" si="175"/>
        <v>Дащенко</v>
      </c>
      <c r="S65" s="71" t="s">
        <v>12</v>
      </c>
      <c r="T65" s="72" t="s">
        <v>11</v>
      </c>
      <c r="U65" s="73">
        <f t="shared" si="176"/>
        <v>0</v>
      </c>
      <c r="V65" s="62">
        <f t="shared" ref="V65:V67" si="181">COUNTIF(S65,B65)+COUNTIF(S65,D65)+COUNTIF(S65,F65)+COUNTIF(S65,H65)+COUNTIF(S65,J65)+COUNTIF(S65,L65)+COUNTIF(S65,N65)</f>
        <v>0</v>
      </c>
      <c r="W65" s="62"/>
      <c r="X65" s="434" t="s">
        <v>44</v>
      </c>
      <c r="Y65" s="7"/>
      <c r="Z65" s="7"/>
      <c r="AA65" s="7"/>
      <c r="AB65" s="13"/>
      <c r="AC65" s="13"/>
      <c r="AD65" s="13"/>
    </row>
    <row r="66">
      <c r="A66" s="278" t="s">
        <v>45</v>
      </c>
      <c r="B66" s="926"/>
      <c r="C66" s="926" t="s">
        <v>81</v>
      </c>
      <c r="D66" s="922"/>
      <c r="E66" s="922" t="s">
        <v>81</v>
      </c>
      <c r="F66" s="921"/>
      <c r="G66" s="537"/>
      <c r="H66" s="537"/>
      <c r="I66" s="919"/>
      <c r="J66" s="920"/>
      <c r="K66" s="920" t="s">
        <v>81</v>
      </c>
      <c r="L66" s="920"/>
      <c r="M66" s="920" t="s">
        <v>81</v>
      </c>
      <c r="N66" s="921"/>
      <c r="O66" s="537"/>
      <c r="P66" s="218">
        <f t="shared" si="174"/>
        <v>44</v>
      </c>
      <c r="Q66" s="62">
        <f t="shared" si="180"/>
        <v>31</v>
      </c>
      <c r="R66" s="219" t="str">
        <f t="shared" si="175"/>
        <v>Пузырь</v>
      </c>
      <c r="S66" s="76" t="s">
        <v>10</v>
      </c>
      <c r="T66" s="77" t="s">
        <v>9</v>
      </c>
      <c r="U66" s="73">
        <f t="shared" si="176"/>
        <v>0</v>
      </c>
      <c r="V66" s="62">
        <f t="shared" si="181"/>
        <v>0</v>
      </c>
      <c r="W66" s="62"/>
      <c r="X66" s="74" t="s">
        <v>34</v>
      </c>
      <c r="Y66" s="7"/>
      <c r="Z66" s="7"/>
      <c r="AA66" s="7"/>
      <c r="AB66" s="13"/>
      <c r="AC66" s="13"/>
      <c r="AD66" s="13"/>
    </row>
    <row r="67">
      <c r="A67" s="278" t="s">
        <v>46</v>
      </c>
      <c r="B67" s="920"/>
      <c r="C67" s="920" t="s">
        <v>81</v>
      </c>
      <c r="D67" s="920"/>
      <c r="E67" s="920" t="s">
        <v>81</v>
      </c>
      <c r="F67" s="917"/>
      <c r="G67" s="291"/>
      <c r="H67" s="291"/>
      <c r="I67" s="918"/>
      <c r="J67" s="295"/>
      <c r="K67" s="295" t="s">
        <v>81</v>
      </c>
      <c r="L67" s="295"/>
      <c r="M67" s="295" t="s">
        <v>81</v>
      </c>
      <c r="N67" s="917"/>
      <c r="O67" s="291"/>
      <c r="P67" s="285">
        <f t="shared" si="174"/>
        <v>44</v>
      </c>
      <c r="Q67" s="62">
        <f t="shared" si="180"/>
        <v>31</v>
      </c>
      <c r="R67" s="219" t="str">
        <f t="shared" si="175"/>
        <v>Голышев</v>
      </c>
      <c r="S67" s="76" t="s">
        <v>10</v>
      </c>
      <c r="T67" s="77" t="s">
        <v>9</v>
      </c>
      <c r="U67" s="73">
        <f t="shared" si="176"/>
        <v>0</v>
      </c>
      <c r="V67" s="62">
        <f t="shared" si="181"/>
        <v>0</v>
      </c>
      <c r="W67" s="62"/>
      <c r="X67" s="74" t="s">
        <v>34</v>
      </c>
      <c r="Y67" s="7"/>
      <c r="Z67" s="7"/>
      <c r="AA67" s="7"/>
      <c r="AB67" s="13"/>
      <c r="AC67" s="13"/>
      <c r="AD67" s="13"/>
    </row>
    <row r="68">
      <c r="A68" s="278" t="s">
        <v>47</v>
      </c>
      <c r="B68" s="537"/>
      <c r="C68" s="537"/>
      <c r="D68" s="924"/>
      <c r="E68" s="925"/>
      <c r="F68" s="920"/>
      <c r="G68" s="920" t="s">
        <v>81</v>
      </c>
      <c r="H68" s="920"/>
      <c r="I68" s="920" t="s">
        <v>81</v>
      </c>
      <c r="J68" s="921"/>
      <c r="K68" s="537"/>
      <c r="L68" s="924"/>
      <c r="M68" s="925"/>
      <c r="N68" s="295"/>
      <c r="O68" s="295" t="s">
        <v>81</v>
      </c>
      <c r="P68" s="285">
        <f t="shared" si="174"/>
        <v>33</v>
      </c>
      <c r="Q68" s="62">
        <f t="shared" si="180"/>
        <v>31</v>
      </c>
      <c r="R68" s="219" t="str">
        <f t="shared" si="175"/>
        <v>Торубара</v>
      </c>
      <c r="S68" s="76" t="s">
        <v>10</v>
      </c>
      <c r="T68" s="77" t="s">
        <v>9</v>
      </c>
      <c r="U68" s="73">
        <f>COUNTIF(T68,B68)+COUNTIF(T68,D68)+COUNTIF(T68,F68)+COUNTIF(T68,H68)+COUNTIF(T68,N68)+COUNTIF(T68,L68)+COUNTIF(T68,#REF!)</f>
        <v>0</v>
      </c>
      <c r="V68" s="62">
        <f>COUNTIF(S68,B68)+COUNTIF(S68,D68)+COUNTIF(S68,F68)+COUNTIF(S68,H68)+COUNTIF(S68,N68)+COUNTIF(S68,L68)+COUNTIF(S68,#REF!)</f>
        <v>0</v>
      </c>
      <c r="W68" s="62"/>
      <c r="X68" s="74" t="s">
        <v>34</v>
      </c>
      <c r="Y68" s="7"/>
      <c r="Z68" s="7"/>
      <c r="AA68" s="7"/>
      <c r="AB68" s="13"/>
      <c r="AC68" s="13"/>
      <c r="AD68" s="13"/>
    </row>
    <row r="69">
      <c r="A69" s="278" t="s">
        <v>48</v>
      </c>
      <c r="B69" s="87"/>
      <c r="C69" s="293"/>
      <c r="D69" s="295"/>
      <c r="E69" s="295" t="s">
        <v>81</v>
      </c>
      <c r="F69" s="295"/>
      <c r="G69" s="295" t="s">
        <v>81</v>
      </c>
      <c r="H69" s="921"/>
      <c r="I69" s="537"/>
      <c r="J69" s="87"/>
      <c r="K69" s="293"/>
      <c r="L69" s="920"/>
      <c r="M69" s="920" t="s">
        <v>81</v>
      </c>
      <c r="N69" s="920"/>
      <c r="O69" s="920" t="s">
        <v>81</v>
      </c>
      <c r="P69" s="285">
        <f t="shared" si="174"/>
        <v>44</v>
      </c>
      <c r="Q69" s="62">
        <f t="shared" si="180"/>
        <v>20</v>
      </c>
      <c r="R69" s="219" t="str">
        <f t="shared" si="175"/>
        <v>Стрыгин</v>
      </c>
      <c r="S69" s="71" t="s">
        <v>8</v>
      </c>
      <c r="T69" s="72" t="s">
        <v>7</v>
      </c>
      <c r="U69" s="73">
        <f>COUNTIF(T69,B69)+COUNTIF(T69,D69)+COUNTIF(T69,F69)+COUNTIF(T69,#REF!)+COUNTIF(T69,H69)+COUNTIF(T69,L69)+COUNTIF(T69,N69)</f>
        <v>0</v>
      </c>
      <c r="V69" s="62">
        <f>COUNTIF(S69,B69)+COUNTIF(S69,D69)+COUNTIF(S69,F69)+COUNTIF(S69,#REF!)+COUNTIF(S69,H69)+COUNTIF(S69,L69)+COUNTIF(S69,N69)</f>
        <v>0</v>
      </c>
      <c r="W69" s="62"/>
      <c r="X69" s="74" t="s">
        <v>49</v>
      </c>
      <c r="Y69" s="7"/>
      <c r="Z69" s="7"/>
      <c r="AA69" s="7"/>
      <c r="AB69" s="13"/>
      <c r="AC69" s="13"/>
      <c r="AD69" s="13"/>
    </row>
    <row r="70">
      <c r="A70" s="205" t="s">
        <v>50</v>
      </c>
      <c r="B70" s="291"/>
      <c r="C70" s="918"/>
      <c r="D70" s="920"/>
      <c r="E70" s="920" t="s">
        <v>81</v>
      </c>
      <c r="F70" s="920"/>
      <c r="G70" s="920" t="s">
        <v>81</v>
      </c>
      <c r="H70" s="917"/>
      <c r="I70" s="291"/>
      <c r="J70" s="291"/>
      <c r="K70" s="918"/>
      <c r="L70" s="295"/>
      <c r="M70" s="295" t="s">
        <v>81</v>
      </c>
      <c r="N70" s="295"/>
      <c r="O70" s="295" t="s">
        <v>81</v>
      </c>
      <c r="P70" s="285">
        <f t="shared" si="174"/>
        <v>44</v>
      </c>
      <c r="Q70" s="62">
        <f t="shared" si="180"/>
        <v>20</v>
      </c>
      <c r="R70" s="219" t="str">
        <f t="shared" si="175"/>
        <v>Фрик</v>
      </c>
      <c r="S70" s="71" t="s">
        <v>12</v>
      </c>
      <c r="T70" s="72" t="s">
        <v>11</v>
      </c>
      <c r="U70" s="73">
        <f t="shared" ref="U70:U87" si="182">COUNTIF(T70,B70)+COUNTIF(T70,D70)+COUNTIF(T70,F70)+COUNTIF(T70,H70)+COUNTIF(T70,J70)+COUNTIF(T70,L70)+COUNTIF(T70,N70)</f>
        <v>0</v>
      </c>
      <c r="V70" s="62">
        <f t="shared" ref="V70:V87" si="183">COUNTIF(S70,B70)+COUNTIF(S70,D70)+COUNTIF(S70,F70)+COUNTIF(S70,H70)+COUNTIF(S70,J70)+COUNTIF(S70,L70)+COUNTIF(S70,N70)</f>
        <v>0</v>
      </c>
      <c r="W70" s="62"/>
      <c r="X70" s="74" t="s">
        <v>44</v>
      </c>
      <c r="Y70" s="7"/>
      <c r="Z70" s="7"/>
      <c r="AA70" s="7"/>
      <c r="AB70" s="13"/>
      <c r="AC70" s="13"/>
      <c r="AD70" s="13"/>
    </row>
    <row r="71">
      <c r="A71" s="666" t="s">
        <v>51</v>
      </c>
      <c r="B71" s="295"/>
      <c r="C71" s="295" t="s">
        <v>81</v>
      </c>
      <c r="D71" s="921"/>
      <c r="E71" s="537"/>
      <c r="F71" s="537"/>
      <c r="G71" s="919"/>
      <c r="H71" s="920"/>
      <c r="I71" s="920" t="s">
        <v>81</v>
      </c>
      <c r="J71" s="920"/>
      <c r="K71" s="920" t="s">
        <v>81</v>
      </c>
      <c r="L71" s="921"/>
      <c r="M71" s="537"/>
      <c r="N71" s="537"/>
      <c r="O71" s="537"/>
      <c r="P71" s="285">
        <f t="shared" si="174"/>
        <v>33</v>
      </c>
      <c r="Q71" s="62">
        <f t="shared" si="180"/>
        <v>42</v>
      </c>
      <c r="R71" s="219" t="str">
        <f t="shared" si="175"/>
        <v>Истрашкин</v>
      </c>
      <c r="S71" s="71" t="s">
        <v>10</v>
      </c>
      <c r="T71" s="72" t="s">
        <v>9</v>
      </c>
      <c r="U71" s="73">
        <f t="shared" si="182"/>
        <v>0</v>
      </c>
      <c r="V71" s="62">
        <f t="shared" si="183"/>
        <v>0</v>
      </c>
      <c r="W71" s="62"/>
      <c r="X71" s="74" t="s">
        <v>34</v>
      </c>
      <c r="Y71" s="7"/>
      <c r="Z71" s="7"/>
      <c r="AA71" s="7"/>
      <c r="AB71" s="13"/>
      <c r="AC71" s="13"/>
      <c r="AD71" s="13"/>
    </row>
    <row r="72">
      <c r="A72" s="207"/>
      <c r="B72" s="489">
        <v>46069</v>
      </c>
      <c r="C72" s="669"/>
      <c r="D72" s="489">
        <v>46070</v>
      </c>
      <c r="E72" s="669"/>
      <c r="F72" s="489">
        <v>46071</v>
      </c>
      <c r="G72" s="669"/>
      <c r="H72" s="489">
        <v>46072</v>
      </c>
      <c r="I72" s="669"/>
      <c r="J72" s="489">
        <v>46073</v>
      </c>
      <c r="K72" s="669"/>
      <c r="L72" s="489">
        <v>46074</v>
      </c>
      <c r="M72" s="669"/>
      <c r="N72" s="489">
        <v>46075</v>
      </c>
      <c r="O72" s="669"/>
      <c r="P72" s="253"/>
      <c r="Q72" s="254"/>
      <c r="R72" s="207"/>
      <c r="S72" s="138"/>
      <c r="T72" s="138"/>
      <c r="U72" s="60" t="s">
        <v>27</v>
      </c>
      <c r="V72" s="61" t="s">
        <v>28</v>
      </c>
      <c r="W72" s="62" t="s">
        <v>29</v>
      </c>
      <c r="X72" s="7"/>
      <c r="Y72" s="7"/>
      <c r="Z72" s="7"/>
      <c r="AA72" s="7"/>
      <c r="AB72" s="13"/>
      <c r="AC72" s="13"/>
      <c r="AD72" s="13"/>
    </row>
    <row r="73">
      <c r="A73" s="403"/>
      <c r="B73" s="403"/>
      <c r="C73" s="403"/>
      <c r="D73" s="403"/>
      <c r="E73" s="403"/>
      <c r="F73" s="403"/>
      <c r="G73" s="403"/>
      <c r="H73" s="403"/>
      <c r="I73" s="403"/>
      <c r="J73" s="403"/>
      <c r="K73" s="403"/>
      <c r="L73" s="403"/>
      <c r="M73" s="403"/>
      <c r="N73" s="403"/>
      <c r="O73" s="403"/>
      <c r="P73" s="403"/>
      <c r="Q73" s="165"/>
      <c r="R73" s="927"/>
      <c r="S73" s="139"/>
      <c r="T73" s="139"/>
      <c r="U73" s="127"/>
      <c r="V73" s="127"/>
      <c r="W73" s="128"/>
      <c r="X73" s="7"/>
      <c r="Y73" s="7"/>
      <c r="Z73" s="7"/>
      <c r="AA73" s="7"/>
      <c r="AB73" s="13"/>
      <c r="AC73" s="13"/>
      <c r="AD73" s="13"/>
    </row>
    <row r="74">
      <c r="A74" s="143"/>
      <c r="B74" s="214" t="s">
        <v>17</v>
      </c>
      <c r="C74" s="481"/>
      <c r="D74" s="214" t="s">
        <v>18</v>
      </c>
      <c r="E74" s="481"/>
      <c r="F74" s="214" t="s">
        <v>19</v>
      </c>
      <c r="G74" s="214"/>
      <c r="H74" s="214" t="s">
        <v>20</v>
      </c>
      <c r="I74" s="481"/>
      <c r="J74" s="482" t="s">
        <v>21</v>
      </c>
      <c r="K74" s="482"/>
      <c r="L74" s="214" t="s">
        <v>22</v>
      </c>
      <c r="M74" s="214"/>
      <c r="N74" s="214" t="s">
        <v>23</v>
      </c>
      <c r="O74" s="214"/>
      <c r="P74" s="208" t="s">
        <v>24</v>
      </c>
      <c r="Q74" s="209"/>
      <c r="R74" s="143"/>
      <c r="S74" s="143"/>
      <c r="T74" s="143"/>
      <c r="U74" s="62"/>
      <c r="V74" s="62"/>
      <c r="W74" s="62"/>
      <c r="X74" s="51"/>
      <c r="Y74" s="7"/>
      <c r="Z74" s="7"/>
      <c r="AA74" s="7"/>
      <c r="AB74" s="13"/>
      <c r="AC74" s="13"/>
      <c r="AD74" s="13"/>
    </row>
    <row r="75">
      <c r="A75" s="143"/>
      <c r="B75" s="705">
        <v>46076</v>
      </c>
      <c r="C75" s="706"/>
      <c r="D75" s="515">
        <v>46077</v>
      </c>
      <c r="E75" s="517"/>
      <c r="F75" s="515">
        <v>46078</v>
      </c>
      <c r="G75" s="517"/>
      <c r="H75" s="515">
        <v>46079</v>
      </c>
      <c r="I75" s="517"/>
      <c r="J75" s="515">
        <v>46080</v>
      </c>
      <c r="K75" s="517"/>
      <c r="L75" s="515">
        <v>46081</v>
      </c>
      <c r="M75" s="517"/>
      <c r="N75" s="515">
        <v>46082</v>
      </c>
      <c r="O75" s="517"/>
      <c r="P75" s="213" t="s">
        <v>25</v>
      </c>
      <c r="Q75" s="214" t="s">
        <v>26</v>
      </c>
      <c r="R75" s="524"/>
      <c r="S75" s="147"/>
      <c r="T75" s="147"/>
      <c r="U75" s="60" t="s">
        <v>27</v>
      </c>
      <c r="V75" s="61" t="s">
        <v>28</v>
      </c>
      <c r="W75" s="62" t="s">
        <v>29</v>
      </c>
      <c r="X75" s="63" t="s">
        <v>30</v>
      </c>
      <c r="Y75" s="7"/>
      <c r="Z75" s="7"/>
      <c r="AA75" s="7"/>
      <c r="AB75" s="13"/>
      <c r="AC75" s="13"/>
      <c r="AD75" s="13"/>
    </row>
    <row r="76">
      <c r="A76" s="525" t="s">
        <v>35</v>
      </c>
      <c r="B76" s="526"/>
      <c r="C76" s="526"/>
      <c r="D76" s="527" t="s">
        <v>32</v>
      </c>
      <c r="E76" s="527" t="s">
        <v>33</v>
      </c>
      <c r="F76" s="527" t="s">
        <v>32</v>
      </c>
      <c r="G76" s="527" t="s">
        <v>33</v>
      </c>
      <c r="H76" s="527" t="s">
        <v>32</v>
      </c>
      <c r="I76" s="527" t="s">
        <v>33</v>
      </c>
      <c r="J76" s="527" t="s">
        <v>32</v>
      </c>
      <c r="K76" s="527" t="s">
        <v>33</v>
      </c>
      <c r="L76" s="528"/>
      <c r="M76" s="528"/>
      <c r="N76" s="528"/>
      <c r="O76" s="528"/>
      <c r="P76" s="253">
        <f t="shared" ref="P76:P87" si="184">C76+E76+G76+I76+K76+M76+O76</f>
        <v>32</v>
      </c>
      <c r="Q76" s="62">
        <f t="shared" si="180"/>
        <v>0</v>
      </c>
      <c r="R76" s="219" t="str">
        <f t="shared" ref="R76:R87" si="185">A76</f>
        <v>Рычков</v>
      </c>
      <c r="S76" s="76" t="s">
        <v>10</v>
      </c>
      <c r="T76" s="77" t="s">
        <v>9</v>
      </c>
      <c r="U76" s="73">
        <f t="shared" si="182"/>
        <v>0</v>
      </c>
      <c r="V76" s="62">
        <f t="shared" si="183"/>
        <v>0</v>
      </c>
      <c r="W76" s="62"/>
      <c r="X76" s="74" t="s">
        <v>34</v>
      </c>
      <c r="Y76" s="7"/>
      <c r="Z76" s="7"/>
      <c r="AA76" s="7"/>
      <c r="AB76" s="13"/>
      <c r="AC76" s="13"/>
      <c r="AD76" s="13"/>
    </row>
    <row r="77">
      <c r="A77" s="415" t="s">
        <v>39</v>
      </c>
      <c r="B77" s="526"/>
      <c r="C77" s="526"/>
      <c r="D77" s="527" t="s">
        <v>32</v>
      </c>
      <c r="E77" s="527" t="s">
        <v>33</v>
      </c>
      <c r="F77" s="527" t="s">
        <v>32</v>
      </c>
      <c r="G77" s="527" t="s">
        <v>33</v>
      </c>
      <c r="H77" s="527" t="s">
        <v>32</v>
      </c>
      <c r="I77" s="527" t="s">
        <v>33</v>
      </c>
      <c r="J77" s="527" t="s">
        <v>32</v>
      </c>
      <c r="K77" s="527" t="s">
        <v>33</v>
      </c>
      <c r="L77" s="528"/>
      <c r="M77" s="528"/>
      <c r="N77" s="528"/>
      <c r="O77" s="528"/>
      <c r="P77" s="253">
        <f t="shared" si="184"/>
        <v>32</v>
      </c>
      <c r="Q77" s="62">
        <f t="shared" si="180"/>
        <v>0</v>
      </c>
      <c r="R77" s="219" t="str">
        <f t="shared" si="185"/>
        <v>Игумнов</v>
      </c>
      <c r="S77" s="76" t="s">
        <v>10</v>
      </c>
      <c r="T77" s="77" t="s">
        <v>9</v>
      </c>
      <c r="U77" s="73">
        <f t="shared" si="182"/>
        <v>0</v>
      </c>
      <c r="V77" s="62">
        <f t="shared" si="183"/>
        <v>0</v>
      </c>
      <c r="W77" s="62"/>
      <c r="X77" s="79" t="s">
        <v>34</v>
      </c>
      <c r="Y77" s="7"/>
      <c r="Z77" s="7"/>
      <c r="AA77" s="7"/>
      <c r="AB77" s="13"/>
      <c r="AC77" s="13"/>
      <c r="AD77" s="13"/>
    </row>
    <row r="78">
      <c r="A78" s="415" t="s">
        <v>40</v>
      </c>
      <c r="B78" s="526"/>
      <c r="C78" s="526"/>
      <c r="D78" s="527" t="s">
        <v>32</v>
      </c>
      <c r="E78" s="527" t="s">
        <v>33</v>
      </c>
      <c r="F78" s="527" t="s">
        <v>32</v>
      </c>
      <c r="G78" s="527" t="s">
        <v>33</v>
      </c>
      <c r="H78" s="527" t="s">
        <v>32</v>
      </c>
      <c r="I78" s="527" t="s">
        <v>33</v>
      </c>
      <c r="J78" s="527" t="s">
        <v>32</v>
      </c>
      <c r="K78" s="527" t="s">
        <v>33</v>
      </c>
      <c r="L78" s="528"/>
      <c r="M78" s="528"/>
      <c r="N78" s="528"/>
      <c r="O78" s="528"/>
      <c r="P78" s="253">
        <f t="shared" si="184"/>
        <v>32</v>
      </c>
      <c r="Q78" s="62">
        <f t="shared" si="180"/>
        <v>0</v>
      </c>
      <c r="R78" s="219" t="str">
        <f t="shared" si="185"/>
        <v>Душин</v>
      </c>
      <c r="S78" s="76" t="s">
        <v>10</v>
      </c>
      <c r="T78" s="77" t="s">
        <v>9</v>
      </c>
      <c r="U78" s="73">
        <f t="shared" si="182"/>
        <v>0</v>
      </c>
      <c r="V78" s="62">
        <f t="shared" si="183"/>
        <v>0</v>
      </c>
      <c r="W78" s="62"/>
      <c r="X78" s="74" t="s">
        <v>38</v>
      </c>
      <c r="Y78" s="7"/>
      <c r="Z78" s="7"/>
      <c r="AA78" s="7"/>
      <c r="AB78" s="13"/>
      <c r="AC78" s="13"/>
      <c r="AD78" s="13"/>
    </row>
    <row r="79">
      <c r="A79" s="415" t="s">
        <v>31</v>
      </c>
      <c r="B79" s="526"/>
      <c r="C79" s="526"/>
      <c r="D79" s="527" t="s">
        <v>32</v>
      </c>
      <c r="E79" s="527" t="s">
        <v>33</v>
      </c>
      <c r="F79" s="527" t="s">
        <v>32</v>
      </c>
      <c r="G79" s="527" t="s">
        <v>33</v>
      </c>
      <c r="H79" s="527" t="s">
        <v>32</v>
      </c>
      <c r="I79" s="527" t="s">
        <v>33</v>
      </c>
      <c r="J79" s="527" t="s">
        <v>32</v>
      </c>
      <c r="K79" s="527" t="s">
        <v>33</v>
      </c>
      <c r="L79" s="528"/>
      <c r="M79" s="528"/>
      <c r="N79" s="528"/>
      <c r="O79" s="528"/>
      <c r="P79" s="253">
        <f t="shared" si="184"/>
        <v>32</v>
      </c>
      <c r="Q79" s="62">
        <f t="shared" si="180"/>
        <v>0</v>
      </c>
      <c r="R79" s="219" t="str">
        <f t="shared" si="185"/>
        <v>Нетронин</v>
      </c>
      <c r="S79" s="76" t="s">
        <v>58</v>
      </c>
      <c r="T79" s="77" t="s">
        <v>59</v>
      </c>
      <c r="U79" s="73"/>
      <c r="V79" s="62"/>
      <c r="W79" s="62"/>
      <c r="X79" s="74" t="s">
        <v>34</v>
      </c>
      <c r="Y79" s="7"/>
      <c r="Z79" s="7"/>
      <c r="AA79" s="7"/>
      <c r="AB79" s="13"/>
      <c r="AC79" s="13"/>
      <c r="AD79" s="13"/>
    </row>
    <row r="80">
      <c r="A80" s="415" t="s">
        <v>42</v>
      </c>
      <c r="B80" s="529"/>
      <c r="C80" s="529"/>
      <c r="D80" s="530" t="s">
        <v>32</v>
      </c>
      <c r="E80" s="530" t="s">
        <v>33</v>
      </c>
      <c r="F80" s="530" t="s">
        <v>32</v>
      </c>
      <c r="G80" s="530" t="s">
        <v>33</v>
      </c>
      <c r="H80" s="530" t="s">
        <v>32</v>
      </c>
      <c r="I80" s="530" t="s">
        <v>33</v>
      </c>
      <c r="J80" s="530" t="s">
        <v>32</v>
      </c>
      <c r="K80" s="530" t="s">
        <v>33</v>
      </c>
      <c r="L80" s="531"/>
      <c r="M80" s="531"/>
      <c r="N80" s="531"/>
      <c r="O80" s="531"/>
      <c r="P80" s="253">
        <f t="shared" si="184"/>
        <v>32</v>
      </c>
      <c r="Q80" s="62">
        <f t="shared" si="180"/>
        <v>0</v>
      </c>
      <c r="R80" s="219" t="str">
        <f t="shared" si="185"/>
        <v>Юращик</v>
      </c>
      <c r="S80" s="76" t="s">
        <v>10</v>
      </c>
      <c r="T80" s="77" t="s">
        <v>9</v>
      </c>
      <c r="U80" s="73"/>
      <c r="V80" s="62"/>
      <c r="W80" s="62"/>
      <c r="X80" s="74" t="s">
        <v>38</v>
      </c>
      <c r="Y80" s="7"/>
      <c r="Z80" s="7"/>
      <c r="AA80" s="7"/>
      <c r="AB80" s="13"/>
      <c r="AC80" s="13"/>
      <c r="AD80" s="13"/>
    </row>
    <row r="81">
      <c r="A81" s="278" t="s">
        <v>43</v>
      </c>
      <c r="B81" s="920"/>
      <c r="C81" s="920" t="s">
        <v>81</v>
      </c>
      <c r="D81" s="917"/>
      <c r="E81" s="291"/>
      <c r="F81" s="291"/>
      <c r="G81" s="918"/>
      <c r="H81" s="926"/>
      <c r="I81" s="926" t="s">
        <v>81</v>
      </c>
      <c r="J81" s="922"/>
      <c r="K81" s="922" t="s">
        <v>81</v>
      </c>
      <c r="L81" s="917"/>
      <c r="M81" s="291"/>
      <c r="N81" s="291"/>
      <c r="O81" s="291"/>
      <c r="P81" s="285">
        <f t="shared" si="184"/>
        <v>33</v>
      </c>
      <c r="Q81" s="62">
        <f t="shared" si="180"/>
        <v>-2</v>
      </c>
      <c r="R81" s="219" t="str">
        <f t="shared" si="185"/>
        <v>Дащенко</v>
      </c>
      <c r="S81" s="71" t="s">
        <v>12</v>
      </c>
      <c r="T81" s="72" t="s">
        <v>11</v>
      </c>
      <c r="U81" s="73">
        <f t="shared" si="182"/>
        <v>0</v>
      </c>
      <c r="V81" s="62">
        <f t="shared" si="183"/>
        <v>0</v>
      </c>
      <c r="W81" s="62"/>
      <c r="X81" s="434" t="s">
        <v>44</v>
      </c>
      <c r="Y81" s="7"/>
      <c r="Z81" s="7"/>
      <c r="AA81" s="7"/>
      <c r="AB81" s="13"/>
      <c r="AC81" s="13"/>
      <c r="AD81" s="13"/>
    </row>
    <row r="82">
      <c r="A82" s="278" t="s">
        <v>45</v>
      </c>
      <c r="B82" s="537"/>
      <c r="C82" s="919"/>
      <c r="D82" s="926"/>
      <c r="E82" s="926" t="s">
        <v>81</v>
      </c>
      <c r="F82" s="922"/>
      <c r="G82" s="922" t="s">
        <v>81</v>
      </c>
      <c r="H82" s="921"/>
      <c r="I82" s="537"/>
      <c r="J82" s="537"/>
      <c r="K82" s="919"/>
      <c r="L82" s="920"/>
      <c r="M82" s="920" t="s">
        <v>81</v>
      </c>
      <c r="N82" s="920"/>
      <c r="O82" s="920"/>
      <c r="P82" s="285">
        <f t="shared" si="184"/>
        <v>33</v>
      </c>
      <c r="Q82" s="62">
        <f t="shared" si="180"/>
        <v>-2</v>
      </c>
      <c r="R82" s="219" t="str">
        <f t="shared" si="185"/>
        <v>Пузырь</v>
      </c>
      <c r="S82" s="76" t="s">
        <v>10</v>
      </c>
      <c r="T82" s="77" t="s">
        <v>9</v>
      </c>
      <c r="U82" s="73">
        <f t="shared" si="182"/>
        <v>0</v>
      </c>
      <c r="V82" s="62">
        <f t="shared" si="183"/>
        <v>0</v>
      </c>
      <c r="W82" s="62"/>
      <c r="X82" s="74" t="s">
        <v>34</v>
      </c>
      <c r="Y82" s="7"/>
      <c r="Z82" s="7"/>
      <c r="AA82" s="7"/>
      <c r="AB82" s="13"/>
      <c r="AC82" s="13"/>
      <c r="AD82" s="13"/>
    </row>
    <row r="83">
      <c r="A83" s="278" t="s">
        <v>46</v>
      </c>
      <c r="B83" s="291"/>
      <c r="C83" s="918"/>
      <c r="D83" s="920"/>
      <c r="E83" s="920" t="s">
        <v>81</v>
      </c>
      <c r="F83" s="920"/>
      <c r="G83" s="920" t="s">
        <v>81</v>
      </c>
      <c r="H83" s="917"/>
      <c r="I83" s="291"/>
      <c r="J83" s="291"/>
      <c r="K83" s="918"/>
      <c r="L83" s="295"/>
      <c r="M83" s="295" t="s">
        <v>81</v>
      </c>
      <c r="N83" s="295"/>
      <c r="O83" s="295"/>
      <c r="P83" s="285">
        <f t="shared" si="184"/>
        <v>33</v>
      </c>
      <c r="Q83" s="62">
        <f t="shared" si="180"/>
        <v>-2</v>
      </c>
      <c r="R83" s="219" t="str">
        <f t="shared" si="185"/>
        <v>Голышев</v>
      </c>
      <c r="S83" s="76" t="s">
        <v>10</v>
      </c>
      <c r="T83" s="77" t="s">
        <v>9</v>
      </c>
      <c r="U83" s="73">
        <f t="shared" si="182"/>
        <v>0</v>
      </c>
      <c r="V83" s="62">
        <f t="shared" si="183"/>
        <v>0</v>
      </c>
      <c r="W83" s="62"/>
      <c r="X83" s="74" t="s">
        <v>34</v>
      </c>
      <c r="Y83" s="7"/>
      <c r="Z83" s="7"/>
      <c r="AA83" s="7"/>
      <c r="AB83" s="13"/>
      <c r="AC83" s="13"/>
      <c r="AD83" s="13"/>
    </row>
    <row r="84">
      <c r="A84" s="278" t="s">
        <v>47</v>
      </c>
      <c r="B84" s="295"/>
      <c r="C84" s="295" t="s">
        <v>81</v>
      </c>
      <c r="D84" s="921"/>
      <c r="E84" s="537"/>
      <c r="F84" s="924"/>
      <c r="G84" s="925"/>
      <c r="H84" s="920"/>
      <c r="I84" s="920" t="s">
        <v>81</v>
      </c>
      <c r="J84" s="920"/>
      <c r="K84" s="920" t="s">
        <v>81</v>
      </c>
      <c r="L84" s="921"/>
      <c r="M84" s="537"/>
      <c r="N84" s="537"/>
      <c r="O84" s="537"/>
      <c r="P84" s="285">
        <f t="shared" si="184"/>
        <v>33</v>
      </c>
      <c r="Q84" s="62">
        <f t="shared" si="180"/>
        <v>-2</v>
      </c>
      <c r="R84" s="219" t="str">
        <f t="shared" si="185"/>
        <v>Торубара</v>
      </c>
      <c r="S84" s="76" t="s">
        <v>10</v>
      </c>
      <c r="T84" s="77" t="s">
        <v>9</v>
      </c>
      <c r="U84" s="73">
        <f t="shared" si="182"/>
        <v>0</v>
      </c>
      <c r="V84" s="62">
        <f t="shared" si="183"/>
        <v>0</v>
      </c>
      <c r="W84" s="62"/>
      <c r="X84" s="74" t="s">
        <v>34</v>
      </c>
      <c r="Y84" s="7"/>
      <c r="Z84" s="7"/>
      <c r="AA84" s="7"/>
      <c r="AB84" s="13"/>
      <c r="AC84" s="13"/>
      <c r="AD84" s="13"/>
    </row>
    <row r="85">
      <c r="A85" s="278" t="s">
        <v>48</v>
      </c>
      <c r="B85" s="537"/>
      <c r="C85" s="537"/>
      <c r="D85" s="87"/>
      <c r="E85" s="293"/>
      <c r="F85" s="295"/>
      <c r="G85" s="295" t="s">
        <v>81</v>
      </c>
      <c r="H85" s="295"/>
      <c r="I85" s="295" t="s">
        <v>81</v>
      </c>
      <c r="J85" s="921"/>
      <c r="K85" s="537"/>
      <c r="L85" s="87"/>
      <c r="M85" s="87"/>
      <c r="N85" s="87"/>
      <c r="O85" s="87"/>
      <c r="P85" s="285">
        <f t="shared" si="184"/>
        <v>22</v>
      </c>
      <c r="Q85" s="62">
        <f t="shared" si="180"/>
        <v>-2</v>
      </c>
      <c r="R85" s="219" t="str">
        <f t="shared" si="185"/>
        <v>Стрыгин</v>
      </c>
      <c r="S85" s="71" t="s">
        <v>8</v>
      </c>
      <c r="T85" s="72" t="s">
        <v>7</v>
      </c>
      <c r="U85" s="73">
        <f t="shared" si="182"/>
        <v>0</v>
      </c>
      <c r="V85" s="62">
        <f t="shared" si="183"/>
        <v>0</v>
      </c>
      <c r="W85" s="62"/>
      <c r="X85" s="74" t="s">
        <v>49</v>
      </c>
      <c r="Y85" s="7"/>
      <c r="Z85" s="7"/>
      <c r="AA85" s="7"/>
      <c r="AB85" s="13"/>
      <c r="AC85" s="13"/>
      <c r="AD85" s="13"/>
    </row>
    <row r="86">
      <c r="A86" s="205" t="s">
        <v>50</v>
      </c>
      <c r="B86" s="291"/>
      <c r="C86" s="291"/>
      <c r="D86" s="291"/>
      <c r="E86" s="918"/>
      <c r="F86" s="920"/>
      <c r="G86" s="920" t="s">
        <v>81</v>
      </c>
      <c r="H86" s="920"/>
      <c r="I86" s="920" t="s">
        <v>81</v>
      </c>
      <c r="J86" s="917"/>
      <c r="K86" s="291"/>
      <c r="L86" s="291"/>
      <c r="M86" s="291"/>
      <c r="N86" s="87"/>
      <c r="O86" s="87"/>
      <c r="P86" s="285">
        <f t="shared" si="184"/>
        <v>22</v>
      </c>
      <c r="Q86" s="62">
        <f t="shared" si="180"/>
        <v>-2</v>
      </c>
      <c r="R86" s="219" t="str">
        <f t="shared" si="185"/>
        <v>Фрик</v>
      </c>
      <c r="S86" s="71" t="s">
        <v>12</v>
      </c>
      <c r="T86" s="72" t="s">
        <v>11</v>
      </c>
      <c r="U86" s="73">
        <f t="shared" si="182"/>
        <v>0</v>
      </c>
      <c r="V86" s="62">
        <f t="shared" si="183"/>
        <v>0</v>
      </c>
      <c r="W86" s="62"/>
      <c r="X86" s="74" t="s">
        <v>44</v>
      </c>
      <c r="Y86" s="7"/>
      <c r="Z86" s="7"/>
      <c r="AA86" s="7"/>
      <c r="AB86" s="13"/>
      <c r="AC86" s="13"/>
      <c r="AD86" s="13"/>
    </row>
    <row r="87">
      <c r="A87" s="666" t="s">
        <v>51</v>
      </c>
      <c r="B87" s="295"/>
      <c r="C87" s="295" t="s">
        <v>81</v>
      </c>
      <c r="D87" s="295"/>
      <c r="E87" s="295" t="s">
        <v>81</v>
      </c>
      <c r="F87" s="921"/>
      <c r="G87" s="537"/>
      <c r="H87" s="537"/>
      <c r="I87" s="919"/>
      <c r="J87" s="920"/>
      <c r="K87" s="920" t="s">
        <v>81</v>
      </c>
      <c r="L87" s="920"/>
      <c r="M87" s="920" t="s">
        <v>81</v>
      </c>
      <c r="N87" s="750"/>
      <c r="O87" s="87"/>
      <c r="P87" s="285">
        <f t="shared" si="184"/>
        <v>44</v>
      </c>
      <c r="Q87" s="62">
        <f t="shared" si="180"/>
        <v>-2</v>
      </c>
      <c r="R87" s="219" t="str">
        <f t="shared" si="185"/>
        <v>Истрашкин</v>
      </c>
      <c r="S87" s="71" t="s">
        <v>10</v>
      </c>
      <c r="T87" s="72" t="s">
        <v>9</v>
      </c>
      <c r="U87" s="73">
        <f t="shared" si="182"/>
        <v>0</v>
      </c>
      <c r="V87" s="62">
        <f t="shared" si="183"/>
        <v>0</v>
      </c>
      <c r="W87" s="62"/>
      <c r="X87" s="74" t="s">
        <v>34</v>
      </c>
      <c r="Y87" s="7"/>
      <c r="Z87" s="7"/>
      <c r="AA87" s="7"/>
      <c r="AB87" s="13"/>
      <c r="AC87" s="13"/>
      <c r="AD87" s="13"/>
    </row>
    <row r="88">
      <c r="A88" s="207"/>
      <c r="B88" s="740">
        <v>46076</v>
      </c>
      <c r="C88" s="757"/>
      <c r="D88" s="489">
        <v>46077</v>
      </c>
      <c r="E88" s="669"/>
      <c r="F88" s="489">
        <v>46078</v>
      </c>
      <c r="G88" s="669"/>
      <c r="H88" s="489">
        <v>46079</v>
      </c>
      <c r="I88" s="669"/>
      <c r="J88" s="489">
        <v>46080</v>
      </c>
      <c r="K88" s="669"/>
      <c r="L88" s="489">
        <v>46081</v>
      </c>
      <c r="M88" s="669"/>
      <c r="N88" s="489">
        <v>46082</v>
      </c>
      <c r="O88" s="669"/>
      <c r="P88" s="253"/>
      <c r="Q88" s="254"/>
      <c r="R88" s="207"/>
      <c r="S88" s="138"/>
      <c r="T88" s="138"/>
      <c r="U88" s="60" t="s">
        <v>27</v>
      </c>
      <c r="V88" s="61" t="s">
        <v>28</v>
      </c>
      <c r="W88" s="62" t="s">
        <v>29</v>
      </c>
      <c r="X88" s="7"/>
      <c r="Y88" s="7"/>
      <c r="Z88" s="7"/>
      <c r="AA88" s="7"/>
      <c r="AB88" s="13"/>
      <c r="AC88" s="13"/>
      <c r="AD88" s="13"/>
    </row>
    <row r="89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27"/>
      <c r="R89" s="139"/>
      <c r="S89" s="139"/>
      <c r="T89" s="139"/>
      <c r="U89" s="127"/>
      <c r="V89" s="127"/>
      <c r="W89" s="128"/>
      <c r="X89" s="7"/>
      <c r="Y89" s="7"/>
      <c r="Z89" s="7"/>
      <c r="AA89" s="7"/>
      <c r="AB89" s="13"/>
      <c r="AC89" s="13"/>
      <c r="AD89" s="13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53"/>
      <c r="R90" s="7"/>
      <c r="S90" s="7"/>
      <c r="T90" s="7"/>
      <c r="U90" s="153"/>
      <c r="V90" s="153"/>
      <c r="W90" s="12"/>
      <c r="X90" s="7"/>
      <c r="Y90" s="7"/>
      <c r="Z90" s="7"/>
      <c r="AA90" s="7"/>
      <c r="AB90" s="13"/>
      <c r="AC90" s="13"/>
      <c r="AD90" s="13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153"/>
      <c r="R91" s="7"/>
      <c r="S91" s="7"/>
      <c r="T91" s="7"/>
      <c r="U91" s="153"/>
      <c r="V91" s="153"/>
      <c r="W91" s="12"/>
      <c r="X91" s="7"/>
      <c r="Y91" s="7"/>
      <c r="Z91" s="7"/>
      <c r="AA91" s="7"/>
      <c r="AB91" s="13"/>
      <c r="AC91" s="13"/>
      <c r="AD91" s="13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153"/>
      <c r="R92" s="7"/>
      <c r="S92" s="7"/>
      <c r="T92" s="7"/>
      <c r="U92" s="153"/>
      <c r="V92" s="153"/>
      <c r="W92" s="12"/>
      <c r="X92" s="7"/>
      <c r="Y92" s="7"/>
      <c r="Z92" s="7"/>
      <c r="AA92" s="7"/>
      <c r="AB92" s="13"/>
      <c r="AC92" s="13"/>
      <c r="AD92" s="13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153"/>
      <c r="R93" s="7"/>
      <c r="S93" s="7"/>
      <c r="T93" s="7"/>
      <c r="U93" s="153"/>
      <c r="V93" s="153"/>
      <c r="W93" s="12"/>
      <c r="X93" s="7"/>
      <c r="Y93" s="7"/>
      <c r="Z93" s="7"/>
      <c r="AA93" s="7"/>
      <c r="AB93" s="13"/>
      <c r="AC93" s="13"/>
      <c r="AD93" s="13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53"/>
      <c r="R94" s="7"/>
      <c r="S94" s="7"/>
      <c r="T94" s="7"/>
      <c r="U94" s="153"/>
      <c r="V94" s="153"/>
      <c r="W94" s="12"/>
      <c r="X94" s="7"/>
      <c r="Y94" s="7"/>
      <c r="Z94" s="7"/>
      <c r="AA94" s="7"/>
      <c r="AB94" s="13"/>
      <c r="AC94" s="13"/>
      <c r="AD94" s="13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153"/>
      <c r="R95" s="7"/>
      <c r="S95" s="7"/>
      <c r="T95" s="7"/>
      <c r="U95" s="153"/>
      <c r="V95" s="153"/>
      <c r="W95" s="12"/>
      <c r="X95" s="7"/>
      <c r="Y95" s="7"/>
      <c r="Z95" s="7"/>
      <c r="AA95" s="7"/>
      <c r="AB95" s="13"/>
      <c r="AC95" s="13"/>
      <c r="AD95" s="13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153"/>
      <c r="R96" s="7"/>
      <c r="S96" s="7"/>
      <c r="T96" s="7"/>
      <c r="U96" s="153"/>
      <c r="V96" s="153"/>
      <c r="W96" s="12"/>
      <c r="X96" s="7"/>
      <c r="Y96" s="7"/>
      <c r="Z96" s="7"/>
      <c r="AA96" s="7"/>
      <c r="AB96" s="13"/>
      <c r="AC96" s="13"/>
      <c r="AD96" s="13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153"/>
      <c r="R97" s="7"/>
      <c r="S97" s="7"/>
      <c r="T97" s="7"/>
      <c r="U97" s="153"/>
      <c r="V97" s="153"/>
      <c r="W97" s="12"/>
      <c r="X97" s="7"/>
      <c r="Y97" s="7"/>
      <c r="Z97" s="7"/>
      <c r="AA97" s="7"/>
      <c r="AB97" s="13"/>
      <c r="AC97" s="13"/>
      <c r="AD97" s="13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53"/>
      <c r="R98" s="7"/>
      <c r="S98" s="7"/>
      <c r="T98" s="7"/>
      <c r="U98" s="153"/>
      <c r="V98" s="153"/>
      <c r="W98" s="12"/>
      <c r="X98" s="7"/>
      <c r="Y98" s="7"/>
      <c r="Z98" s="7"/>
      <c r="AA98" s="7"/>
      <c r="AB98" s="13"/>
      <c r="AC98" s="13"/>
      <c r="AD98" s="13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53"/>
      <c r="R99" s="7"/>
      <c r="S99" s="7"/>
      <c r="T99" s="7"/>
      <c r="U99" s="153"/>
      <c r="V99" s="153"/>
      <c r="W99" s="12"/>
      <c r="X99" s="7"/>
      <c r="Y99" s="7"/>
      <c r="Z99" s="7"/>
      <c r="AA99" s="7"/>
      <c r="AB99" s="13"/>
      <c r="AC99" s="13"/>
      <c r="AD99" s="13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3"/>
      <c r="R100" s="7"/>
      <c r="S100" s="7"/>
      <c r="T100" s="7"/>
      <c r="U100" s="153"/>
      <c r="V100" s="153"/>
      <c r="W100" s="12"/>
      <c r="X100" s="7"/>
      <c r="Y100" s="7"/>
      <c r="Z100" s="7"/>
      <c r="AA100" s="7"/>
      <c r="AB100" s="13"/>
      <c r="AC100" s="13"/>
      <c r="AD100" s="13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3"/>
      <c r="R101" s="7"/>
      <c r="S101" s="7"/>
      <c r="T101" s="7"/>
      <c r="U101" s="153"/>
      <c r="V101" s="153"/>
      <c r="W101" s="12"/>
      <c r="X101" s="7"/>
      <c r="Y101" s="7"/>
      <c r="Z101" s="7"/>
      <c r="AA101" s="7"/>
      <c r="AB101" s="13"/>
      <c r="AC101" s="13"/>
      <c r="AD101" s="13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3"/>
      <c r="R102" s="7"/>
      <c r="S102" s="7"/>
      <c r="T102" s="7"/>
      <c r="U102" s="153"/>
      <c r="V102" s="153"/>
      <c r="W102" s="12"/>
      <c r="X102" s="7"/>
      <c r="Y102" s="7"/>
      <c r="Z102" s="7"/>
      <c r="AA102" s="7"/>
      <c r="AB102" s="13"/>
      <c r="AC102" s="13"/>
      <c r="AD102" s="13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3"/>
      <c r="R103" s="7"/>
      <c r="S103" s="7"/>
      <c r="T103" s="7"/>
      <c r="U103" s="153"/>
      <c r="V103" s="153"/>
      <c r="W103" s="12"/>
      <c r="X103" s="7"/>
      <c r="Y103" s="7"/>
      <c r="Z103" s="7"/>
      <c r="AA103" s="7"/>
      <c r="AB103" s="13"/>
      <c r="AC103" s="13"/>
      <c r="AD103" s="13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3"/>
      <c r="R104" s="7"/>
      <c r="S104" s="7"/>
      <c r="T104" s="7"/>
      <c r="U104" s="153"/>
      <c r="V104" s="153"/>
      <c r="W104" s="12"/>
      <c r="X104" s="7"/>
      <c r="Y104" s="7"/>
      <c r="Z104" s="7"/>
      <c r="AA104" s="7"/>
      <c r="AB104" s="13"/>
      <c r="AC104" s="13"/>
      <c r="AD104" s="13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3"/>
      <c r="R105" s="7"/>
      <c r="S105" s="7"/>
      <c r="T105" s="7"/>
      <c r="U105" s="153"/>
      <c r="V105" s="153"/>
      <c r="W105" s="12"/>
      <c r="X105" s="7"/>
      <c r="Y105" s="7"/>
      <c r="Z105" s="7"/>
      <c r="AA105" s="7"/>
      <c r="AB105" s="13"/>
      <c r="AC105" s="13"/>
      <c r="AD105" s="13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153"/>
      <c r="R644" s="7"/>
      <c r="S644" s="7"/>
      <c r="T644" s="7"/>
      <c r="U644" s="153"/>
      <c r="V644" s="153"/>
      <c r="W644" s="12"/>
      <c r="X644" s="7"/>
      <c r="Y644" s="7"/>
      <c r="Z644" s="7"/>
      <c r="AA644" s="7"/>
      <c r="AB644" s="13"/>
      <c r="AC644" s="13"/>
      <c r="AD644" s="13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153"/>
      <c r="R645" s="7"/>
      <c r="S645" s="7"/>
      <c r="T645" s="7"/>
      <c r="U645" s="153"/>
      <c r="V645" s="153"/>
      <c r="W645" s="12"/>
      <c r="X645" s="7"/>
      <c r="Y645" s="7"/>
      <c r="Z645" s="7"/>
      <c r="AA645" s="7"/>
      <c r="AB645" s="13"/>
      <c r="AC645" s="13"/>
      <c r="AD645" s="13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153"/>
      <c r="R646" s="7"/>
      <c r="S646" s="7"/>
      <c r="T646" s="7"/>
      <c r="U646" s="153"/>
      <c r="V646" s="153"/>
      <c r="W646" s="12"/>
      <c r="X646" s="7"/>
      <c r="Y646" s="7"/>
      <c r="Z646" s="7"/>
      <c r="AA646" s="7"/>
      <c r="AB646" s="13"/>
      <c r="AC646" s="13"/>
      <c r="AD646" s="13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153"/>
      <c r="R647" s="7"/>
      <c r="S647" s="7"/>
      <c r="T647" s="7"/>
      <c r="U647" s="153"/>
      <c r="V647" s="153"/>
      <c r="W647" s="12"/>
      <c r="X647" s="7"/>
      <c r="Y647" s="7"/>
      <c r="Z647" s="7"/>
      <c r="AA647" s="7"/>
      <c r="AB647" s="13"/>
      <c r="AC647" s="13"/>
      <c r="AD647" s="13"/>
    </row>
    <row r="648">
      <c r="P648" s="7"/>
      <c r="Q648" s="153"/>
      <c r="R648" s="7"/>
      <c r="S648" s="7"/>
      <c r="T648" s="7"/>
      <c r="U648" s="153"/>
      <c r="V648" s="153"/>
      <c r="W648" s="12"/>
      <c r="X648" s="7"/>
      <c r="Y648" s="7"/>
      <c r="Z648" s="7"/>
      <c r="AA648" s="7"/>
      <c r="AB648" s="13"/>
      <c r="AC648" s="13"/>
      <c r="AD648" s="13"/>
    </row>
    <row r="649">
      <c r="P649" s="7"/>
      <c r="Q649" s="153"/>
      <c r="R649" s="7"/>
      <c r="S649" s="7"/>
      <c r="T649" s="7"/>
      <c r="U649" s="153"/>
      <c r="V649" s="153"/>
      <c r="W649" s="12"/>
      <c r="X649" s="7"/>
      <c r="Y649" s="7"/>
      <c r="Z649" s="7"/>
      <c r="AA649" s="7"/>
      <c r="AB649" s="13"/>
      <c r="AC649" s="13"/>
      <c r="AD649" s="13"/>
    </row>
    <row r="650">
      <c r="P650" s="7"/>
      <c r="Q650" s="153"/>
      <c r="R650" s="7"/>
      <c r="S650" s="7"/>
      <c r="T650" s="7"/>
      <c r="U650" s="153"/>
      <c r="V650" s="153"/>
      <c r="W650" s="12"/>
      <c r="X650" s="7"/>
      <c r="Y650" s="7"/>
      <c r="Z650" s="7"/>
      <c r="AA650" s="7"/>
      <c r="AB650" s="13"/>
      <c r="AC650" s="13"/>
      <c r="AD650" s="13"/>
    </row>
    <row r="651">
      <c r="P651" s="7"/>
      <c r="Q651" s="153"/>
      <c r="R651" s="7"/>
      <c r="S651" s="7"/>
      <c r="T651" s="7"/>
      <c r="U651" s="153"/>
      <c r="V651" s="153"/>
      <c r="W651" s="12"/>
      <c r="X651" s="7"/>
      <c r="Y651" s="7"/>
      <c r="Z651" s="7"/>
      <c r="AA651" s="7"/>
      <c r="AB651" s="13"/>
      <c r="AC651" s="13"/>
      <c r="AD651" s="13"/>
    </row>
    <row r="652">
      <c r="P652" s="7"/>
      <c r="Q652" s="153"/>
      <c r="R652" s="7"/>
      <c r="S652" s="7"/>
      <c r="T652" s="7"/>
      <c r="U652" s="153"/>
      <c r="V652" s="153"/>
      <c r="W652" s="12"/>
      <c r="X652" s="7"/>
      <c r="Y652" s="7"/>
      <c r="Z652" s="7"/>
      <c r="AA652" s="7"/>
      <c r="AB652" s="13"/>
      <c r="AC652" s="13"/>
      <c r="AD652" s="13"/>
    </row>
    <row r="653">
      <c r="P653" s="7"/>
      <c r="Q653" s="153"/>
      <c r="R653" s="7"/>
      <c r="S653" s="7"/>
      <c r="T653" s="7"/>
      <c r="U653" s="153"/>
      <c r="V653" s="153"/>
      <c r="W653" s="12"/>
      <c r="X653" s="7"/>
      <c r="Y653" s="7"/>
      <c r="Z653" s="7"/>
      <c r="AA653" s="7"/>
      <c r="AB653" s="13"/>
      <c r="AC653" s="13"/>
      <c r="AD653" s="13"/>
    </row>
    <row r="654">
      <c r="P654" s="7"/>
      <c r="Q654" s="153"/>
      <c r="R654" s="7"/>
      <c r="S654" s="7"/>
      <c r="T654" s="7"/>
      <c r="U654" s="153"/>
      <c r="V654" s="153"/>
      <c r="W654" s="12"/>
      <c r="X654" s="7"/>
      <c r="Y654" s="7"/>
      <c r="Z654" s="7"/>
      <c r="AA654" s="7"/>
      <c r="AB654" s="13"/>
      <c r="AC654" s="13"/>
      <c r="AD654" s="13"/>
    </row>
    <row r="655">
      <c r="P655" s="7"/>
      <c r="Q655" s="153"/>
      <c r="R655" s="7"/>
      <c r="S655" s="7"/>
      <c r="T655" s="7"/>
      <c r="U655" s="153"/>
      <c r="V655" s="153"/>
      <c r="W655" s="12"/>
      <c r="X655" s="7"/>
      <c r="Y655" s="7"/>
      <c r="Z655" s="7"/>
      <c r="AA655" s="7"/>
      <c r="AB655" s="13"/>
      <c r="AC655" s="13"/>
      <c r="AD655" s="13"/>
    </row>
    <row r="656">
      <c r="P656" s="7"/>
      <c r="Q656" s="153"/>
      <c r="R656" s="7"/>
      <c r="S656" s="7"/>
      <c r="T656" s="7"/>
      <c r="U656" s="153"/>
      <c r="V656" s="153"/>
      <c r="W656" s="12"/>
      <c r="X656" s="7"/>
      <c r="Y656" s="7"/>
      <c r="Z656" s="7"/>
      <c r="AA656" s="7"/>
      <c r="AB656" s="13"/>
      <c r="AC656" s="13"/>
      <c r="AD656" s="13"/>
    </row>
    <row r="657">
      <c r="P657" s="7"/>
      <c r="Q657" s="153"/>
      <c r="R657" s="7"/>
      <c r="S657" s="7"/>
      <c r="T657" s="7"/>
      <c r="U657" s="153"/>
      <c r="V657" s="153"/>
      <c r="W657" s="12"/>
      <c r="X657" s="7"/>
      <c r="Y657" s="7"/>
      <c r="Z657" s="7"/>
      <c r="AA657" s="7"/>
      <c r="AB657" s="13"/>
      <c r="AC657" s="13"/>
      <c r="AD657" s="13"/>
    </row>
    <row r="658">
      <c r="P658" s="7"/>
      <c r="Q658" s="153"/>
      <c r="R658" s="7"/>
      <c r="S658" s="7"/>
      <c r="T658" s="7"/>
      <c r="U658" s="153"/>
      <c r="V658" s="153"/>
      <c r="W658" s="12"/>
      <c r="X658" s="7"/>
      <c r="Y658" s="7"/>
      <c r="Z658" s="7"/>
      <c r="AA658" s="7"/>
      <c r="AB658" s="13"/>
      <c r="AC658" s="13"/>
      <c r="AD658" s="13"/>
    </row>
    <row r="659">
      <c r="P659" s="7"/>
      <c r="Q659" s="153"/>
      <c r="R659" s="7"/>
      <c r="S659" s="7"/>
      <c r="T659" s="7"/>
      <c r="U659" s="153"/>
      <c r="V659" s="153"/>
      <c r="W659" s="12"/>
      <c r="X659" s="7"/>
      <c r="Y659" s="7"/>
      <c r="Z659" s="7"/>
      <c r="AA659" s="7"/>
      <c r="AB659" s="13"/>
      <c r="AC659" s="13"/>
      <c r="AD659" s="13"/>
    </row>
    <row r="660">
      <c r="P660" s="7"/>
      <c r="Q660" s="153"/>
      <c r="R660" s="7"/>
      <c r="S660" s="7"/>
      <c r="T660" s="7"/>
      <c r="U660" s="153"/>
      <c r="V660" s="153"/>
      <c r="W660" s="12"/>
      <c r="X660" s="7"/>
      <c r="Y660" s="7"/>
      <c r="Z660" s="7"/>
      <c r="AA660" s="7"/>
      <c r="AB660" s="13"/>
      <c r="AC660" s="13"/>
      <c r="AD660" s="13"/>
    </row>
    <row r="661">
      <c r="P661" s="7"/>
      <c r="Q661" s="153"/>
      <c r="R661" s="7"/>
      <c r="S661" s="7"/>
      <c r="T661" s="7"/>
      <c r="U661" s="153"/>
      <c r="V661" s="153"/>
      <c r="W661" s="12"/>
      <c r="X661" s="7"/>
      <c r="Y661" s="7"/>
      <c r="Z661" s="7"/>
      <c r="AA661" s="7"/>
      <c r="AB661" s="13"/>
      <c r="AC661" s="13"/>
      <c r="AD661" s="13"/>
    </row>
    <row r="662">
      <c r="P662" s="7"/>
      <c r="Q662" s="153"/>
      <c r="R662" s="7"/>
      <c r="S662" s="7"/>
      <c r="T662" s="7"/>
      <c r="U662" s="153"/>
      <c r="V662" s="153"/>
      <c r="W662" s="12"/>
      <c r="X662" s="7"/>
      <c r="Y662" s="7"/>
      <c r="Z662" s="7"/>
      <c r="AA662" s="7"/>
      <c r="AB662" s="13"/>
      <c r="AC662" s="13"/>
      <c r="AD662" s="13"/>
    </row>
    <row r="663">
      <c r="P663" s="7"/>
      <c r="Q663" s="153"/>
      <c r="R663" s="7"/>
      <c r="S663" s="7"/>
      <c r="T663" s="7"/>
      <c r="U663" s="153"/>
      <c r="V663" s="153"/>
      <c r="W663" s="12"/>
      <c r="X663" s="7"/>
      <c r="Y663" s="7"/>
      <c r="Z663" s="7"/>
      <c r="AA663" s="7"/>
      <c r="AB663" s="13"/>
      <c r="AC663" s="13"/>
      <c r="AD663" s="13"/>
    </row>
    <row r="664">
      <c r="P664" s="7"/>
      <c r="Q664" s="153"/>
      <c r="R664" s="7"/>
      <c r="S664" s="7"/>
      <c r="T664" s="7"/>
      <c r="U664" s="153"/>
      <c r="V664" s="153"/>
      <c r="W664" s="12"/>
      <c r="X664" s="7"/>
      <c r="Y664" s="7"/>
      <c r="Z664" s="7"/>
      <c r="AA664" s="7"/>
      <c r="AB664" s="13"/>
      <c r="AC664" s="13"/>
      <c r="AD664" s="13"/>
    </row>
    <row r="665">
      <c r="P665" s="7"/>
      <c r="Q665" s="153"/>
      <c r="R665" s="7"/>
      <c r="S665" s="7"/>
      <c r="T665" s="7"/>
      <c r="U665" s="153"/>
      <c r="V665" s="153"/>
      <c r="W665" s="12"/>
      <c r="X665" s="7"/>
      <c r="Y665" s="7"/>
      <c r="Z665" s="7"/>
      <c r="AA665" s="7"/>
      <c r="AB665" s="13"/>
      <c r="AC665" s="13"/>
      <c r="AD665" s="13"/>
    </row>
    <row r="666">
      <c r="P666" s="7"/>
      <c r="Q666" s="153"/>
      <c r="R666" s="7"/>
      <c r="S666" s="7"/>
      <c r="T666" s="7"/>
      <c r="U666" s="153"/>
      <c r="V666" s="153"/>
      <c r="W666" s="12"/>
      <c r="X666" s="7"/>
      <c r="Y666" s="7"/>
      <c r="Z666" s="7"/>
      <c r="AA666" s="7"/>
      <c r="AB666" s="13"/>
      <c r="AC666" s="13"/>
      <c r="AD666" s="13"/>
    </row>
    <row r="667">
      <c r="P667" s="7"/>
      <c r="Q667" s="153"/>
      <c r="R667" s="7"/>
      <c r="S667" s="7"/>
      <c r="T667" s="7"/>
      <c r="U667" s="153"/>
      <c r="V667" s="153"/>
      <c r="W667" s="12"/>
      <c r="X667" s="7"/>
      <c r="Y667" s="7"/>
      <c r="Z667" s="7"/>
      <c r="AA667" s="7"/>
      <c r="AB667" s="13"/>
      <c r="AC667" s="13"/>
      <c r="AD667" s="13"/>
    </row>
    <row r="668">
      <c r="P668" s="7"/>
      <c r="Q668" s="153"/>
      <c r="R668" s="7"/>
      <c r="S668" s="7"/>
      <c r="T668" s="7"/>
      <c r="U668" s="153"/>
      <c r="V668" s="153"/>
      <c r="W668" s="12"/>
      <c r="X668" s="7"/>
      <c r="Y668" s="7"/>
      <c r="Z668" s="7"/>
      <c r="AA668" s="7"/>
      <c r="AB668" s="13"/>
      <c r="AC668" s="13"/>
      <c r="AD668" s="13"/>
    </row>
    <row r="669">
      <c r="P669" s="7"/>
      <c r="Q669" s="153"/>
      <c r="R669" s="7"/>
      <c r="S669" s="7"/>
      <c r="T669" s="7"/>
      <c r="U669" s="153"/>
      <c r="V669" s="153"/>
      <c r="W669" s="12"/>
      <c r="X669" s="7"/>
      <c r="Y669" s="7"/>
      <c r="Z669" s="7"/>
      <c r="AA669" s="7"/>
      <c r="AB669" s="13"/>
      <c r="AC669" s="13"/>
      <c r="AD669" s="13"/>
    </row>
    <row r="670">
      <c r="P670" s="7"/>
      <c r="Q670" s="153"/>
      <c r="R670" s="7"/>
      <c r="S670" s="7"/>
      <c r="T670" s="7"/>
      <c r="U670" s="153"/>
      <c r="V670" s="153"/>
      <c r="W670" s="12"/>
      <c r="X670" s="7"/>
      <c r="Y670" s="7"/>
      <c r="Z670" s="7"/>
      <c r="AA670" s="7"/>
      <c r="AB670" s="13"/>
      <c r="AC670" s="13"/>
      <c r="AD670" s="13"/>
    </row>
    <row r="671">
      <c r="P671" s="7"/>
      <c r="Q671" s="153"/>
      <c r="R671" s="7"/>
      <c r="S671" s="7"/>
      <c r="T671" s="7"/>
      <c r="U671" s="153"/>
      <c r="V671" s="153"/>
      <c r="W671" s="12"/>
      <c r="X671" s="7"/>
      <c r="Y671" s="7"/>
      <c r="Z671" s="7"/>
      <c r="AA671" s="7"/>
      <c r="AB671" s="13"/>
      <c r="AC671" s="13"/>
      <c r="AD671" s="13"/>
    </row>
    <row r="672">
      <c r="P672" s="7"/>
      <c r="Q672" s="153"/>
      <c r="R672" s="7"/>
      <c r="S672" s="7"/>
      <c r="T672" s="7"/>
      <c r="U672" s="153"/>
      <c r="V672" s="153"/>
      <c r="W672" s="12"/>
      <c r="X672" s="7"/>
      <c r="Y672" s="7"/>
      <c r="Z672" s="7"/>
      <c r="AA672" s="7"/>
      <c r="AB672" s="13"/>
      <c r="AC672" s="13"/>
      <c r="AD672" s="13"/>
    </row>
    <row r="673">
      <c r="P673" s="7"/>
      <c r="Q673" s="153"/>
      <c r="R673" s="7"/>
      <c r="S673" s="7"/>
      <c r="T673" s="7"/>
      <c r="U673" s="153"/>
      <c r="V673" s="153"/>
      <c r="W673" s="12"/>
      <c r="X673" s="7"/>
      <c r="Y673" s="7"/>
      <c r="Z673" s="7"/>
      <c r="AA673" s="7"/>
      <c r="AB673" s="13"/>
      <c r="AC673" s="13"/>
      <c r="AD673" s="13"/>
    </row>
    <row r="674">
      <c r="P674" s="7"/>
      <c r="Q674" s="153"/>
      <c r="R674" s="7"/>
      <c r="S674" s="7"/>
      <c r="T674" s="7"/>
      <c r="U674" s="153"/>
      <c r="V674" s="153"/>
      <c r="W674" s="12"/>
      <c r="X674" s="7"/>
      <c r="Y674" s="7"/>
      <c r="Z674" s="7"/>
      <c r="AA674" s="7"/>
      <c r="AB674" s="13"/>
      <c r="AC674" s="13"/>
      <c r="AD674" s="13"/>
    </row>
    <row r="675">
      <c r="P675" s="7"/>
      <c r="Q675" s="153"/>
      <c r="R675" s="7"/>
      <c r="S675" s="7"/>
      <c r="T675" s="7"/>
      <c r="U675" s="153"/>
      <c r="V675" s="153"/>
      <c r="W675" s="12"/>
      <c r="X675" s="7"/>
      <c r="Y675" s="7"/>
      <c r="Z675" s="7"/>
      <c r="AA675" s="7"/>
      <c r="AB675" s="13"/>
      <c r="AC675" s="13"/>
      <c r="AD675" s="13"/>
    </row>
    <row r="676">
      <c r="P676" s="7"/>
      <c r="Q676" s="153"/>
      <c r="R676" s="7"/>
      <c r="S676" s="7"/>
      <c r="T676" s="7"/>
      <c r="U676" s="153"/>
      <c r="V676" s="153"/>
      <c r="W676" s="12"/>
      <c r="X676" s="7"/>
      <c r="Y676" s="7"/>
      <c r="Z676" s="7"/>
      <c r="AA676" s="7"/>
      <c r="AB676" s="13"/>
      <c r="AC676" s="13"/>
      <c r="AD676" s="13"/>
    </row>
    <row r="677">
      <c r="P677" s="7"/>
      <c r="Q677" s="153"/>
      <c r="R677" s="7"/>
      <c r="S677" s="7"/>
      <c r="T677" s="7"/>
      <c r="U677" s="153"/>
      <c r="V677" s="153"/>
      <c r="W677" s="12"/>
      <c r="X677" s="7"/>
      <c r="Y677" s="7"/>
      <c r="Z677" s="7"/>
      <c r="AA677" s="7"/>
      <c r="AB677" s="13"/>
      <c r="AC677" s="13"/>
      <c r="AD677" s="13"/>
    </row>
    <row r="678">
      <c r="P678" s="7"/>
      <c r="Q678" s="153"/>
      <c r="R678" s="7"/>
      <c r="S678" s="7"/>
      <c r="T678" s="7"/>
      <c r="U678" s="153"/>
      <c r="V678" s="153"/>
      <c r="W678" s="12"/>
      <c r="X678" s="7"/>
      <c r="Y678" s="7"/>
      <c r="Z678" s="7"/>
      <c r="AA678" s="7"/>
      <c r="AB678" s="13"/>
      <c r="AC678" s="13"/>
      <c r="AD678" s="13"/>
    </row>
    <row r="679">
      <c r="P679" s="7"/>
      <c r="Q679" s="153"/>
      <c r="R679" s="7"/>
      <c r="S679" s="7"/>
      <c r="T679" s="7"/>
      <c r="U679" s="153"/>
      <c r="V679" s="153"/>
      <c r="W679" s="12"/>
      <c r="X679" s="7"/>
      <c r="Y679" s="7"/>
      <c r="Z679" s="7"/>
      <c r="AA679" s="7"/>
      <c r="AB679" s="13"/>
      <c r="AC679" s="13"/>
      <c r="AD679" s="13"/>
    </row>
    <row r="680">
      <c r="P680" s="7"/>
      <c r="Q680" s="153"/>
      <c r="R680" s="7"/>
      <c r="S680" s="7"/>
      <c r="T680" s="7"/>
      <c r="U680" s="153"/>
      <c r="V680" s="153"/>
      <c r="W680" s="12"/>
      <c r="X680" s="7"/>
      <c r="Y680" s="7"/>
      <c r="Z680" s="7"/>
      <c r="AA680" s="7"/>
      <c r="AB680" s="13"/>
      <c r="AC680" s="13"/>
      <c r="AD680" s="13"/>
    </row>
    <row r="681">
      <c r="P681" s="7"/>
      <c r="Q681" s="153"/>
      <c r="R681" s="7"/>
      <c r="S681" s="7"/>
      <c r="T681" s="7"/>
      <c r="U681" s="153"/>
      <c r="V681" s="153"/>
      <c r="W681" s="12"/>
      <c r="X681" s="7"/>
      <c r="Y681" s="7"/>
      <c r="Z681" s="7"/>
      <c r="AA681" s="7"/>
      <c r="AB681" s="13"/>
      <c r="AC681" s="13"/>
      <c r="AD681" s="13"/>
    </row>
    <row r="682">
      <c r="P682" s="7"/>
      <c r="Q682" s="153"/>
      <c r="R682" s="7"/>
      <c r="S682" s="7"/>
      <c r="T682" s="7"/>
      <c r="U682" s="153"/>
      <c r="V682" s="153"/>
      <c r="W682" s="12"/>
      <c r="X682" s="7"/>
      <c r="Y682" s="7"/>
      <c r="Z682" s="7"/>
      <c r="AA682" s="7"/>
      <c r="AB682" s="13"/>
      <c r="AC682" s="13"/>
      <c r="AD682" s="13"/>
    </row>
    <row r="683">
      <c r="P683" s="7"/>
      <c r="Q683" s="153"/>
      <c r="R683" s="7"/>
      <c r="S683" s="7"/>
      <c r="T683" s="7"/>
      <c r="U683" s="153"/>
      <c r="V683" s="153"/>
      <c r="W683" s="12"/>
      <c r="X683" s="7"/>
      <c r="Y683" s="7"/>
      <c r="Z683" s="7"/>
      <c r="AA683" s="7"/>
      <c r="AB683" s="13"/>
      <c r="AC683" s="13"/>
      <c r="AD683" s="13"/>
    </row>
    <row r="684">
      <c r="P684" s="7"/>
      <c r="Q684" s="153"/>
      <c r="R684" s="7"/>
      <c r="S684" s="7"/>
      <c r="T684" s="7"/>
      <c r="U684" s="153"/>
      <c r="V684" s="153"/>
      <c r="W684" s="12"/>
      <c r="X684" s="7"/>
      <c r="Y684" s="7"/>
      <c r="Z684" s="7"/>
      <c r="AA684" s="7"/>
      <c r="AB684" s="13"/>
      <c r="AC684" s="13"/>
      <c r="AD684" s="13"/>
    </row>
    <row r="685">
      <c r="P685" s="7"/>
      <c r="Q685" s="153"/>
      <c r="R685" s="7"/>
      <c r="S685" s="7"/>
      <c r="T685" s="7"/>
      <c r="U685" s="153"/>
      <c r="V685" s="153"/>
      <c r="W685" s="12"/>
      <c r="X685" s="7"/>
      <c r="Y685" s="7"/>
      <c r="Z685" s="7"/>
      <c r="AA685" s="7"/>
      <c r="AB685" s="13"/>
      <c r="AC685" s="13"/>
      <c r="AD685" s="13"/>
    </row>
    <row r="686">
      <c r="P686" s="7"/>
      <c r="Q686" s="153"/>
      <c r="R686" s="7"/>
      <c r="S686" s="7"/>
      <c r="T686" s="7"/>
      <c r="U686" s="153"/>
      <c r="V686" s="153"/>
      <c r="W686" s="12"/>
      <c r="Y686" s="7"/>
      <c r="Z686" s="7"/>
      <c r="AA686" s="7"/>
      <c r="AB686" s="13"/>
      <c r="AC686" s="13"/>
      <c r="AD686" s="13"/>
    </row>
    <row r="687">
      <c r="Q687" s="154"/>
      <c r="U687" s="154"/>
      <c r="V687" s="154"/>
      <c r="W687" s="154"/>
    </row>
    <row r="688">
      <c r="Q688" s="154"/>
      <c r="U688" s="154"/>
      <c r="V688" s="154"/>
      <c r="W688" s="154"/>
    </row>
    <row r="689">
      <c r="Q689" s="154"/>
      <c r="U689" s="154"/>
      <c r="V689" s="154"/>
      <c r="W689" s="154"/>
    </row>
    <row r="690">
      <c r="Q690" s="154"/>
      <c r="U690" s="154"/>
      <c r="V690" s="154"/>
      <c r="W690" s="154"/>
    </row>
    <row r="691">
      <c r="Q691" s="154"/>
      <c r="U691" s="154"/>
      <c r="V691" s="154"/>
      <c r="W691" s="154"/>
    </row>
    <row r="692">
      <c r="Q692" s="154"/>
      <c r="U692" s="154"/>
      <c r="V692" s="154"/>
      <c r="W692" s="154"/>
    </row>
    <row r="693">
      <c r="Q693" s="154"/>
      <c r="U693" s="154"/>
      <c r="V693" s="154"/>
      <c r="W693" s="154"/>
    </row>
    <row r="694">
      <c r="Q694" s="154"/>
      <c r="U694" s="154"/>
      <c r="V694" s="154"/>
      <c r="W694" s="154"/>
    </row>
    <row r="695">
      <c r="Q695" s="154"/>
      <c r="U695" s="154"/>
      <c r="V695" s="154"/>
      <c r="W695" s="154"/>
    </row>
    <row r="696">
      <c r="Q696" s="154"/>
      <c r="U696" s="154"/>
      <c r="V696" s="154"/>
      <c r="W696" s="154"/>
    </row>
    <row r="697">
      <c r="Q697" s="154"/>
      <c r="U697" s="154"/>
      <c r="V697" s="154"/>
      <c r="W697" s="154"/>
    </row>
    <row r="698">
      <c r="Q698" s="154"/>
      <c r="U698" s="154"/>
      <c r="V698" s="154"/>
      <c r="W698" s="154"/>
    </row>
    <row r="699">
      <c r="Q699" s="154"/>
      <c r="U699" s="154"/>
      <c r="V699" s="154"/>
      <c r="W699" s="154"/>
    </row>
    <row r="700">
      <c r="Q700" s="154"/>
      <c r="U700" s="154"/>
      <c r="V700" s="154"/>
      <c r="W700" s="154"/>
    </row>
    <row r="701">
      <c r="Q701" s="154"/>
      <c r="U701" s="154"/>
      <c r="V701" s="154"/>
      <c r="W701" s="154"/>
    </row>
    <row r="702">
      <c r="Q702" s="154"/>
      <c r="U702" s="154"/>
      <c r="V702" s="154"/>
      <c r="W702" s="154"/>
    </row>
    <row r="703">
      <c r="Q703" s="154"/>
      <c r="U703" s="154"/>
      <c r="V703" s="154"/>
      <c r="W703" s="154"/>
    </row>
    <row r="704">
      <c r="Q704" s="154"/>
      <c r="U704" s="154"/>
      <c r="V704" s="154"/>
      <c r="W704" s="154"/>
    </row>
    <row r="705">
      <c r="Q705" s="154"/>
      <c r="U705" s="154"/>
      <c r="V705" s="154"/>
      <c r="W705" s="154"/>
    </row>
    <row r="706">
      <c r="Q706" s="154"/>
      <c r="U706" s="154"/>
      <c r="V706" s="154"/>
      <c r="W706" s="154"/>
    </row>
    <row r="707">
      <c r="Q707" s="154"/>
      <c r="U707" s="154"/>
      <c r="V707" s="154"/>
      <c r="W707" s="154"/>
    </row>
    <row r="708">
      <c r="Q708" s="154"/>
      <c r="U708" s="154"/>
      <c r="V708" s="154"/>
      <c r="W708" s="154"/>
    </row>
    <row r="709">
      <c r="Q709" s="154"/>
      <c r="U709" s="154"/>
      <c r="V709" s="154"/>
      <c r="W709" s="154"/>
    </row>
    <row r="710">
      <c r="Q710" s="154"/>
      <c r="U710" s="154"/>
      <c r="V710" s="154"/>
      <c r="W710" s="154"/>
    </row>
    <row r="711">
      <c r="Q711" s="154"/>
      <c r="U711" s="154"/>
      <c r="V711" s="154"/>
      <c r="W711" s="154"/>
    </row>
    <row r="712">
      <c r="Q712" s="154"/>
      <c r="U712" s="154"/>
      <c r="V712" s="154"/>
      <c r="W712" s="154"/>
    </row>
    <row r="713">
      <c r="Q713" s="154"/>
      <c r="U713" s="154"/>
      <c r="V713" s="154"/>
      <c r="W713" s="154"/>
    </row>
    <row r="714">
      <c r="Q714" s="154"/>
      <c r="U714" s="154"/>
      <c r="V714" s="154"/>
      <c r="W714" s="154"/>
    </row>
    <row r="715">
      <c r="Q715" s="154"/>
      <c r="U715" s="154"/>
      <c r="V715" s="154"/>
      <c r="W715" s="154"/>
    </row>
    <row r="716">
      <c r="Q716" s="154"/>
      <c r="U716" s="154"/>
      <c r="V716" s="154"/>
      <c r="W716" s="154"/>
    </row>
    <row r="717">
      <c r="Q717" s="154"/>
      <c r="U717" s="154"/>
      <c r="V717" s="154"/>
      <c r="W717" s="154"/>
    </row>
    <row r="718">
      <c r="Q718" s="154"/>
      <c r="U718" s="154"/>
      <c r="V718" s="154"/>
      <c r="W718" s="154"/>
    </row>
    <row r="719">
      <c r="Q719" s="154"/>
      <c r="U719" s="154"/>
      <c r="V719" s="154"/>
      <c r="W719" s="154"/>
    </row>
    <row r="720">
      <c r="Q720" s="154"/>
      <c r="U720" s="154"/>
      <c r="V720" s="154"/>
      <c r="W720" s="154"/>
    </row>
    <row r="721">
      <c r="Q721" s="154"/>
      <c r="U721" s="154"/>
      <c r="V721" s="154"/>
      <c r="W721" s="154"/>
    </row>
    <row r="722">
      <c r="Q722" s="154"/>
      <c r="U722" s="154"/>
      <c r="V722" s="154"/>
      <c r="W722" s="154"/>
    </row>
    <row r="723">
      <c r="Q723" s="154"/>
      <c r="U723" s="154"/>
      <c r="V723" s="154"/>
      <c r="W723" s="154"/>
    </row>
    <row r="724">
      <c r="Q724" s="154"/>
      <c r="U724" s="154"/>
      <c r="V724" s="154"/>
      <c r="W724" s="154"/>
    </row>
    <row r="725">
      <c r="Q725" s="154"/>
      <c r="U725" s="154"/>
      <c r="V725" s="154"/>
      <c r="W725" s="154"/>
    </row>
    <row r="726">
      <c r="Q726" s="154"/>
      <c r="U726" s="154"/>
      <c r="V726" s="154"/>
      <c r="W726" s="154"/>
    </row>
    <row r="727">
      <c r="Q727" s="154"/>
      <c r="U727" s="154"/>
      <c r="V727" s="154"/>
      <c r="W727" s="154"/>
    </row>
    <row r="728">
      <c r="Q728" s="154"/>
      <c r="U728" s="154"/>
      <c r="V728" s="154"/>
      <c r="W728" s="154"/>
    </row>
    <row r="729">
      <c r="Q729" s="154"/>
      <c r="U729" s="154"/>
      <c r="V729" s="154"/>
      <c r="W729" s="154"/>
    </row>
    <row r="730">
      <c r="Q730" s="154"/>
      <c r="U730" s="154"/>
      <c r="V730" s="154"/>
      <c r="W730" s="154"/>
    </row>
    <row r="731">
      <c r="Q731" s="154"/>
      <c r="U731" s="154"/>
      <c r="V731" s="154"/>
      <c r="W731" s="154"/>
    </row>
    <row r="732">
      <c r="Q732" s="154"/>
      <c r="U732" s="154"/>
      <c r="V732" s="154"/>
      <c r="W732" s="154"/>
    </row>
    <row r="733">
      <c r="Q733" s="154"/>
      <c r="U733" s="154"/>
      <c r="V733" s="154"/>
      <c r="W733" s="154"/>
    </row>
    <row r="734">
      <c r="Q734" s="154"/>
      <c r="U734" s="154"/>
      <c r="V734" s="154"/>
      <c r="W734" s="154"/>
    </row>
    <row r="735">
      <c r="Q735" s="154"/>
      <c r="U735" s="154"/>
      <c r="V735" s="154"/>
      <c r="W735" s="154"/>
    </row>
    <row r="736">
      <c r="Q736" s="154"/>
      <c r="U736" s="154"/>
      <c r="V736" s="154"/>
      <c r="W736" s="154"/>
    </row>
    <row r="737">
      <c r="Q737" s="154"/>
      <c r="U737" s="154"/>
      <c r="V737" s="154"/>
      <c r="W737" s="154"/>
    </row>
    <row r="738">
      <c r="Q738" s="154"/>
      <c r="U738" s="154"/>
      <c r="V738" s="154"/>
      <c r="W738" s="154"/>
    </row>
    <row r="739">
      <c r="Q739" s="154"/>
      <c r="U739" s="154"/>
      <c r="V739" s="154"/>
      <c r="W739" s="154"/>
    </row>
    <row r="740">
      <c r="Q740" s="154"/>
      <c r="U740" s="154"/>
      <c r="V740" s="154"/>
      <c r="W740" s="154"/>
    </row>
    <row r="741">
      <c r="Q741" s="154"/>
      <c r="U741" s="154"/>
      <c r="V741" s="154"/>
      <c r="W741" s="154"/>
    </row>
    <row r="742">
      <c r="Q742" s="154"/>
      <c r="U742" s="154"/>
      <c r="V742" s="154"/>
      <c r="W742" s="154"/>
    </row>
    <row r="743">
      <c r="Q743" s="154"/>
      <c r="U743" s="154"/>
      <c r="V743" s="154"/>
      <c r="W743" s="154"/>
    </row>
    <row r="744">
      <c r="Q744" s="154"/>
      <c r="U744" s="154"/>
      <c r="V744" s="154"/>
      <c r="W744" s="154"/>
    </row>
    <row r="745">
      <c r="Q745" s="154"/>
      <c r="U745" s="154"/>
      <c r="V745" s="154"/>
      <c r="W745" s="154"/>
    </row>
    <row r="746">
      <c r="Q746" s="154"/>
      <c r="U746" s="154"/>
      <c r="V746" s="154"/>
      <c r="W746" s="154"/>
    </row>
    <row r="747">
      <c r="Q747" s="154"/>
      <c r="U747" s="154"/>
      <c r="V747" s="154"/>
      <c r="W747" s="154"/>
    </row>
    <row r="748">
      <c r="Q748" s="154"/>
      <c r="U748" s="154"/>
      <c r="V748" s="154"/>
      <c r="W748" s="154"/>
    </row>
    <row r="749">
      <c r="Q749" s="154"/>
      <c r="U749" s="154"/>
      <c r="V749" s="154"/>
      <c r="W749" s="154"/>
    </row>
    <row r="750">
      <c r="Q750" s="154"/>
      <c r="U750" s="154"/>
      <c r="V750" s="154"/>
      <c r="W750" s="154"/>
    </row>
    <row r="751">
      <c r="Q751" s="154"/>
      <c r="U751" s="154"/>
      <c r="V751" s="154"/>
      <c r="W751" s="154"/>
    </row>
    <row r="752">
      <c r="Q752" s="154"/>
      <c r="U752" s="154"/>
      <c r="V752" s="154"/>
      <c r="W752" s="154"/>
    </row>
    <row r="753">
      <c r="Q753" s="154"/>
      <c r="U753" s="154"/>
      <c r="V753" s="154"/>
      <c r="W753" s="154"/>
    </row>
    <row r="754">
      <c r="Q754" s="154"/>
      <c r="U754" s="154"/>
      <c r="V754" s="154"/>
      <c r="W754" s="154"/>
    </row>
    <row r="755">
      <c r="Q755" s="154"/>
      <c r="U755" s="154"/>
      <c r="V755" s="154"/>
      <c r="W755" s="154"/>
    </row>
    <row r="756">
      <c r="Q756" s="154"/>
      <c r="U756" s="154"/>
      <c r="V756" s="154"/>
      <c r="W756" s="154"/>
    </row>
    <row r="757">
      <c r="Q757" s="154"/>
      <c r="U757" s="154"/>
      <c r="V757" s="154"/>
      <c r="W757" s="154"/>
    </row>
    <row r="758">
      <c r="Q758" s="154"/>
      <c r="U758" s="154"/>
      <c r="V758" s="154"/>
      <c r="W758" s="154"/>
    </row>
    <row r="759">
      <c r="Q759" s="154"/>
      <c r="U759" s="154"/>
      <c r="V759" s="154"/>
      <c r="W759" s="154"/>
    </row>
    <row r="760">
      <c r="Q760" s="154"/>
      <c r="U760" s="154"/>
      <c r="V760" s="154"/>
      <c r="W760" s="154"/>
    </row>
    <row r="761">
      <c r="Q761" s="154"/>
      <c r="U761" s="154"/>
      <c r="V761" s="154"/>
      <c r="W761" s="154"/>
    </row>
    <row r="762">
      <c r="Q762" s="154"/>
      <c r="U762" s="154"/>
      <c r="V762" s="154"/>
      <c r="W762" s="154"/>
    </row>
    <row r="763">
      <c r="Q763" s="154"/>
      <c r="U763" s="154"/>
      <c r="V763" s="154"/>
      <c r="W763" s="154"/>
    </row>
    <row r="764">
      <c r="Q764" s="154"/>
      <c r="U764" s="154"/>
      <c r="V764" s="154"/>
      <c r="W764" s="154"/>
    </row>
    <row r="765">
      <c r="Q765" s="154"/>
      <c r="U765" s="154"/>
      <c r="V765" s="154"/>
      <c r="W765" s="154"/>
    </row>
    <row r="766">
      <c r="Q766" s="154"/>
      <c r="U766" s="154"/>
      <c r="V766" s="154"/>
      <c r="W766" s="154"/>
    </row>
    <row r="767">
      <c r="Q767" s="154"/>
      <c r="U767" s="154"/>
      <c r="V767" s="154"/>
      <c r="W767" s="154"/>
    </row>
    <row r="768">
      <c r="Q768" s="154"/>
      <c r="U768" s="154"/>
      <c r="V768" s="154"/>
      <c r="W768" s="154"/>
    </row>
    <row r="769">
      <c r="Q769" s="154"/>
      <c r="U769" s="154"/>
      <c r="V769" s="154"/>
      <c r="W769" s="154"/>
    </row>
    <row r="770">
      <c r="Q770" s="154"/>
      <c r="U770" s="154"/>
      <c r="V770" s="154"/>
      <c r="W770" s="154"/>
    </row>
    <row r="771">
      <c r="Q771" s="154"/>
      <c r="U771" s="154"/>
      <c r="V771" s="154"/>
      <c r="W771" s="154"/>
    </row>
    <row r="772">
      <c r="Q772" s="154"/>
      <c r="U772" s="154"/>
      <c r="V772" s="154"/>
      <c r="W772" s="154"/>
    </row>
    <row r="773">
      <c r="Q773" s="154"/>
      <c r="U773" s="154"/>
      <c r="V773" s="154"/>
      <c r="W773" s="154"/>
    </row>
    <row r="774">
      <c r="Q774" s="154"/>
      <c r="U774" s="154"/>
      <c r="V774" s="154"/>
      <c r="W774" s="154"/>
    </row>
    <row r="775">
      <c r="Q775" s="154"/>
      <c r="U775" s="154"/>
      <c r="V775" s="154"/>
      <c r="W775" s="154"/>
    </row>
    <row r="776">
      <c r="Q776" s="154"/>
      <c r="U776" s="154"/>
      <c r="V776" s="154"/>
      <c r="W776" s="154"/>
    </row>
    <row r="777">
      <c r="Q777" s="154"/>
      <c r="U777" s="154"/>
      <c r="V777" s="154"/>
      <c r="W777" s="154"/>
    </row>
    <row r="778">
      <c r="Q778" s="154"/>
      <c r="U778" s="154"/>
      <c r="V778" s="154"/>
      <c r="W778" s="154"/>
    </row>
    <row r="779">
      <c r="Q779" s="154"/>
      <c r="U779" s="154"/>
      <c r="V779" s="154"/>
      <c r="W779" s="154"/>
    </row>
    <row r="780">
      <c r="Q780" s="154"/>
      <c r="U780" s="154"/>
      <c r="V780" s="154"/>
      <c r="W780" s="154"/>
    </row>
    <row r="781">
      <c r="Q781" s="154"/>
      <c r="U781" s="154"/>
      <c r="V781" s="154"/>
      <c r="W781" s="154"/>
    </row>
    <row r="782">
      <c r="Q782" s="154"/>
      <c r="U782" s="154"/>
      <c r="V782" s="154"/>
      <c r="W782" s="154"/>
    </row>
    <row r="783">
      <c r="Q783" s="154"/>
      <c r="U783" s="154"/>
      <c r="V783" s="154"/>
      <c r="W783" s="154"/>
    </row>
    <row r="784">
      <c r="Q784" s="154"/>
      <c r="U784" s="154"/>
      <c r="V784" s="154"/>
      <c r="W784" s="154"/>
    </row>
    <row r="785">
      <c r="Q785" s="154"/>
      <c r="U785" s="154"/>
      <c r="V785" s="154"/>
      <c r="W785" s="154"/>
    </row>
    <row r="786">
      <c r="Q786" s="154"/>
      <c r="U786" s="154"/>
      <c r="V786" s="154"/>
      <c r="W786" s="154"/>
    </row>
    <row r="787">
      <c r="Q787" s="154"/>
      <c r="U787" s="154"/>
      <c r="V787" s="154"/>
      <c r="W787" s="154"/>
    </row>
    <row r="788">
      <c r="Q788" s="154"/>
      <c r="U788" s="154"/>
      <c r="V788" s="154"/>
      <c r="W788" s="154"/>
    </row>
    <row r="789">
      <c r="Q789" s="154"/>
      <c r="U789" s="154"/>
      <c r="V789" s="154"/>
      <c r="W789" s="154"/>
    </row>
    <row r="790">
      <c r="Q790" s="154"/>
      <c r="U790" s="154"/>
      <c r="V790" s="154"/>
      <c r="W790" s="154"/>
    </row>
    <row r="791">
      <c r="Q791" s="154"/>
      <c r="U791" s="154"/>
      <c r="V791" s="154"/>
      <c r="W791" s="154"/>
    </row>
    <row r="792">
      <c r="Q792" s="154"/>
      <c r="U792" s="154"/>
      <c r="V792" s="154"/>
      <c r="W792" s="154"/>
    </row>
    <row r="793">
      <c r="Q793" s="154"/>
      <c r="U793" s="154"/>
      <c r="V793" s="154"/>
      <c r="W793" s="154"/>
    </row>
    <row r="794">
      <c r="Q794" s="154"/>
      <c r="U794" s="154"/>
      <c r="V794" s="154"/>
      <c r="W794" s="154"/>
    </row>
    <row r="795">
      <c r="Q795" s="154"/>
      <c r="U795" s="154"/>
      <c r="V795" s="154"/>
      <c r="W795" s="154"/>
    </row>
    <row r="796">
      <c r="Q796" s="154"/>
      <c r="U796" s="154"/>
      <c r="V796" s="154"/>
      <c r="W796" s="154"/>
    </row>
    <row r="797">
      <c r="Q797" s="154"/>
      <c r="U797" s="154"/>
      <c r="V797" s="154"/>
      <c r="W797" s="154"/>
    </row>
    <row r="798">
      <c r="Q798" s="154"/>
      <c r="U798" s="154"/>
      <c r="V798" s="154"/>
      <c r="W798" s="154"/>
    </row>
    <row r="799">
      <c r="Q799" s="154"/>
      <c r="U799" s="154"/>
      <c r="V799" s="154"/>
      <c r="W799" s="154"/>
    </row>
    <row r="800">
      <c r="Q800" s="154"/>
      <c r="U800" s="154"/>
      <c r="V800" s="154"/>
      <c r="W800" s="154"/>
    </row>
    <row r="801">
      <c r="Q801" s="154"/>
      <c r="U801" s="154"/>
      <c r="V801" s="154"/>
      <c r="W801" s="154"/>
    </row>
    <row r="802">
      <c r="Q802" s="154"/>
      <c r="U802" s="154"/>
      <c r="V802" s="154"/>
      <c r="W802" s="154"/>
    </row>
    <row r="803">
      <c r="Q803" s="154"/>
      <c r="U803" s="154"/>
      <c r="V803" s="154"/>
      <c r="W803" s="154"/>
    </row>
    <row r="804">
      <c r="Q804" s="154"/>
      <c r="U804" s="154"/>
      <c r="V804" s="154"/>
      <c r="W804" s="154"/>
    </row>
    <row r="805">
      <c r="Q805" s="154"/>
      <c r="U805" s="154"/>
      <c r="V805" s="154"/>
      <c r="W805" s="154"/>
    </row>
    <row r="806">
      <c r="Q806" s="154"/>
      <c r="U806" s="154"/>
      <c r="V806" s="154"/>
      <c r="W806" s="154"/>
    </row>
    <row r="807">
      <c r="Q807" s="154"/>
      <c r="U807" s="154"/>
      <c r="V807" s="154"/>
      <c r="W807" s="154"/>
    </row>
    <row r="808">
      <c r="Q808" s="154"/>
      <c r="U808" s="154"/>
      <c r="V808" s="154"/>
      <c r="W808" s="154"/>
    </row>
    <row r="809">
      <c r="Q809" s="154"/>
      <c r="U809" s="154"/>
      <c r="V809" s="154"/>
      <c r="W809" s="154"/>
    </row>
    <row r="810">
      <c r="Q810" s="154"/>
      <c r="U810" s="154"/>
      <c r="V810" s="154"/>
      <c r="W810" s="154"/>
    </row>
    <row r="811">
      <c r="Q811" s="154"/>
      <c r="U811" s="154"/>
      <c r="V811" s="154"/>
      <c r="W811" s="154"/>
    </row>
    <row r="812">
      <c r="Q812" s="154"/>
      <c r="U812" s="154"/>
      <c r="V812" s="154"/>
      <c r="W812" s="154"/>
    </row>
    <row r="813">
      <c r="Q813" s="154"/>
      <c r="U813" s="154"/>
      <c r="V813" s="154"/>
      <c r="W813" s="154"/>
    </row>
    <row r="814">
      <c r="Q814" s="154"/>
      <c r="U814" s="154"/>
      <c r="V814" s="154"/>
      <c r="W814" s="154"/>
    </row>
    <row r="815">
      <c r="Q815" s="154"/>
      <c r="U815" s="154"/>
      <c r="V815" s="154"/>
      <c r="W815" s="154"/>
    </row>
    <row r="816">
      <c r="Q816" s="154"/>
      <c r="U816" s="154"/>
      <c r="V816" s="154"/>
      <c r="W816" s="154"/>
    </row>
    <row r="817">
      <c r="Q817" s="154"/>
      <c r="U817" s="154"/>
      <c r="V817" s="154"/>
      <c r="W817" s="154"/>
    </row>
    <row r="818">
      <c r="Q818" s="154"/>
      <c r="U818" s="154"/>
      <c r="V818" s="154"/>
      <c r="W818" s="154"/>
    </row>
    <row r="819">
      <c r="Q819" s="154"/>
      <c r="U819" s="154"/>
      <c r="V819" s="154"/>
      <c r="W819" s="154"/>
    </row>
    <row r="820">
      <c r="Q820" s="154"/>
      <c r="U820" s="154"/>
      <c r="V820" s="154"/>
      <c r="W820" s="154"/>
    </row>
    <row r="821">
      <c r="Q821" s="154"/>
      <c r="U821" s="154"/>
      <c r="V821" s="154"/>
      <c r="W821" s="154"/>
    </row>
    <row r="822">
      <c r="Q822" s="154"/>
      <c r="U822" s="154"/>
      <c r="V822" s="154"/>
      <c r="W822" s="154"/>
    </row>
    <row r="823">
      <c r="Q823" s="154"/>
      <c r="U823" s="154"/>
      <c r="V823" s="154"/>
      <c r="W823" s="154"/>
    </row>
    <row r="824">
      <c r="Q824" s="154"/>
      <c r="U824" s="154"/>
      <c r="V824" s="154"/>
      <c r="W824" s="154"/>
    </row>
    <row r="825">
      <c r="Q825" s="154"/>
      <c r="U825" s="154"/>
      <c r="V825" s="154"/>
      <c r="W825" s="154"/>
    </row>
    <row r="826">
      <c r="Q826" s="154"/>
      <c r="U826" s="154"/>
      <c r="V826" s="154"/>
      <c r="W826" s="154"/>
    </row>
    <row r="827">
      <c r="Q827" s="154"/>
      <c r="U827" s="154"/>
      <c r="V827" s="154"/>
      <c r="W827" s="154"/>
    </row>
    <row r="828">
      <c r="Q828" s="154"/>
      <c r="U828" s="154"/>
      <c r="V828" s="154"/>
      <c r="W828" s="154"/>
    </row>
    <row r="829">
      <c r="Q829" s="154"/>
      <c r="U829" s="154"/>
      <c r="V829" s="154"/>
      <c r="W829" s="154"/>
    </row>
    <row r="830">
      <c r="Q830" s="154"/>
      <c r="U830" s="154"/>
      <c r="V830" s="154"/>
      <c r="W830" s="154"/>
    </row>
    <row r="831">
      <c r="Q831" s="154"/>
      <c r="U831" s="154"/>
      <c r="V831" s="154"/>
      <c r="W831" s="154"/>
    </row>
    <row r="832">
      <c r="Q832" s="154"/>
      <c r="U832" s="154"/>
      <c r="V832" s="154"/>
      <c r="W832" s="154"/>
    </row>
    <row r="833">
      <c r="Q833" s="154"/>
      <c r="U833" s="154"/>
      <c r="V833" s="154"/>
      <c r="W833" s="154"/>
    </row>
    <row r="834">
      <c r="Q834" s="154"/>
      <c r="U834" s="154"/>
      <c r="V834" s="154"/>
      <c r="W834" s="154"/>
    </row>
    <row r="835">
      <c r="Q835" s="154"/>
      <c r="U835" s="154"/>
      <c r="V835" s="154"/>
      <c r="W835" s="154"/>
    </row>
    <row r="836">
      <c r="Q836" s="154"/>
      <c r="U836" s="154"/>
      <c r="V836" s="154"/>
      <c r="W836" s="154"/>
    </row>
    <row r="837">
      <c r="Q837" s="154"/>
      <c r="U837" s="154"/>
      <c r="V837" s="154"/>
      <c r="W837" s="154"/>
    </row>
    <row r="838">
      <c r="Q838" s="154"/>
      <c r="U838" s="154"/>
      <c r="V838" s="154"/>
      <c r="W838" s="154"/>
    </row>
    <row r="839">
      <c r="Q839" s="154"/>
      <c r="U839" s="154"/>
      <c r="V839" s="154"/>
      <c r="W839" s="154"/>
    </row>
    <row r="840">
      <c r="Q840" s="154"/>
      <c r="U840" s="154"/>
      <c r="V840" s="154"/>
      <c r="W840" s="154"/>
    </row>
    <row r="841">
      <c r="Q841" s="154"/>
      <c r="U841" s="154"/>
      <c r="V841" s="154"/>
      <c r="W841" s="154"/>
    </row>
    <row r="842">
      <c r="Q842" s="154"/>
      <c r="U842" s="154"/>
      <c r="V842" s="154"/>
      <c r="W842" s="154"/>
    </row>
    <row r="843">
      <c r="Q843" s="154"/>
      <c r="U843" s="154"/>
      <c r="V843" s="154"/>
      <c r="W843" s="154"/>
    </row>
    <row r="844">
      <c r="Q844" s="154"/>
      <c r="U844" s="154"/>
      <c r="V844" s="154"/>
      <c r="W844" s="154"/>
    </row>
    <row r="845">
      <c r="Q845" s="154"/>
      <c r="U845" s="154"/>
      <c r="V845" s="154"/>
      <c r="W845" s="154"/>
    </row>
    <row r="846">
      <c r="Q846" s="154"/>
      <c r="U846" s="154"/>
      <c r="V846" s="154"/>
      <c r="W846" s="154"/>
    </row>
    <row r="847">
      <c r="Q847" s="154"/>
      <c r="U847" s="154"/>
      <c r="V847" s="154"/>
      <c r="W847" s="154"/>
    </row>
    <row r="848">
      <c r="Q848" s="154"/>
      <c r="U848" s="154"/>
      <c r="V848" s="154"/>
      <c r="W848" s="154"/>
    </row>
    <row r="849">
      <c r="Q849" s="154"/>
      <c r="U849" s="154"/>
      <c r="V849" s="154"/>
      <c r="W849" s="154"/>
    </row>
    <row r="850">
      <c r="Q850" s="154"/>
      <c r="U850" s="154"/>
      <c r="V850" s="154"/>
      <c r="W850" s="154"/>
    </row>
    <row r="851">
      <c r="Q851" s="154"/>
      <c r="U851" s="154"/>
      <c r="V851" s="154"/>
      <c r="W851" s="154"/>
    </row>
    <row r="852">
      <c r="Q852" s="154"/>
      <c r="U852" s="154"/>
      <c r="V852" s="154"/>
      <c r="W852" s="154"/>
    </row>
    <row r="853">
      <c r="Q853" s="154"/>
      <c r="U853" s="154"/>
      <c r="V853" s="154"/>
      <c r="W853" s="154"/>
    </row>
    <row r="854">
      <c r="Q854" s="154"/>
      <c r="U854" s="154"/>
      <c r="V854" s="154"/>
      <c r="W854" s="154"/>
    </row>
    <row r="855">
      <c r="Q855" s="154"/>
      <c r="U855" s="154"/>
      <c r="V855" s="154"/>
      <c r="W855" s="154"/>
    </row>
    <row r="856">
      <c r="Q856" s="154"/>
      <c r="U856" s="154"/>
      <c r="V856" s="154"/>
      <c r="W856" s="154"/>
    </row>
    <row r="857"/>
    <row r="858"/>
    <row r="859"/>
  </sheetData>
  <mergeCells count="15">
    <mergeCell ref="F1:J1"/>
    <mergeCell ref="L1:N5"/>
    <mergeCell ref="F2:K5"/>
    <mergeCell ref="N6:P7"/>
    <mergeCell ref="F7:J7"/>
    <mergeCell ref="A9:Q9"/>
    <mergeCell ref="U9:V9"/>
    <mergeCell ref="P10:Q10"/>
    <mergeCell ref="U10:V10"/>
    <mergeCell ref="A25:Q25"/>
    <mergeCell ref="P26:Q26"/>
    <mergeCell ref="A41:Q41"/>
    <mergeCell ref="P42:Q42"/>
    <mergeCell ref="P58:Q58"/>
    <mergeCell ref="P74:Q7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onlyoffice/8.1.3.1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 Нинилина</dc:creator>
  <cp:lastModifiedBy>Александр Стрыгин</cp:lastModifiedBy>
  <cp:revision>189</cp:revision>
  <dcterms:created xsi:type="dcterms:W3CDTF">2024-09-24T09:49:54Z</dcterms:created>
  <dcterms:modified xsi:type="dcterms:W3CDTF">2026-06-05T17:51:28Z</dcterms:modified>
</cp:coreProperties>
</file>