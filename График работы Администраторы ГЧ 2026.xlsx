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readedComments/threadedComment2.xml" ContentType="application/vnd.ms-excel.threadedcomments+xml"/>
  <Override PartName="/xl/theme/theme1.xml" ContentType="application/vnd.openxmlformats-officedocument.theme+xml"/>
  <Override PartName="/xl/worksheets/sheet13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worksheets/sheet12.xml" ContentType="application/vnd.openxmlformats-officedocument.spreadsheetml.worksheet+xml"/>
  <Override PartName="/xl/threadedComments/threadedComment1.xml" ContentType="application/vnd.ms-excel.threadedcomments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4.xml" ContentType="application/vnd.ms-excel.threadedcomments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hreadedComments/threadedComment3.xml" ContentType="application/vnd.ms-excel.threadedcomment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comments4.xml" ContentType="application/vnd.openxmlformats-officedocument.spreadsheetml.comments+xml"/>
  <Override PartName="/xl/persons/person.xml" ContentType="application/vnd.ms-excel.person+xml"/>
  <Override PartName="/xl/threadedComments/threadedComment6.xml" ContentType="application/vnd.ms-excel.threadedcomment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Декабрь 2026" sheetId="1" state="visible" r:id="rId2"/>
    <sheet name="Ноябрь 2026" sheetId="2" state="visible" r:id="rId3"/>
    <sheet name="Октябрь 2026" sheetId="3" state="visible" r:id="rId4"/>
    <sheet name="Сентябрь 2026" sheetId="4" state="visible" r:id="rId5"/>
    <sheet name="Август 2026" sheetId="5" state="visible" r:id="rId6"/>
    <sheet name="Июль 2026" sheetId="6" state="visible" r:id="rId7"/>
    <sheet name="Июнь 2026" sheetId="7" state="visible" r:id="rId8"/>
    <sheet name="Май 2026" sheetId="8" state="visible" r:id="rId9"/>
    <sheet name="Апрель 2026" sheetId="9" state="visible" r:id="rId10"/>
    <sheet name="Март 2026" sheetId="10" state="visible" r:id="rId11"/>
    <sheet name="Февраль 2026" sheetId="11" state="visible" r:id="rId12"/>
    <sheet name="Январь 2026" sheetId="12" state="visible" r:id="rId13"/>
    <sheet name="Декабрь 2025" sheetId="13" state="visible" r:id="rId14"/>
    <sheet name="ТЕСТ" sheetId="14" state="visible" r:id="rId15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tc={60803086-2F69-0A3E-C9BC-4233364A6E7B}</author>
  </authors>
  <commentList>
    <comment ref="C56" authorId="0" xr:uid="{60803086-2F69-0A3E-C9BC-4233364A6E7B}">
      <text>
        <r>
          <rPr>
            <b/>
            <sz val="9"/>
            <rFont val="Tahoma"/>
          </rPr>
          <t xml:space="preserve">Александр Нетронин:</t>
        </r>
        <r>
          <rPr>
            <sz val="9"/>
            <rFont val="Tahoma"/>
          </rPr>
          <t xml:space="preserve">
Разбирали задачу 2872159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tc={475E7BDE-FAD9-5D8A-BC2E-257431067E7C}</author>
    <author>tc={3963C6CD-4325-F865-0998-E24A44CC1F64}</author>
  </authors>
  <commentList>
    <comment ref="E108" authorId="0" xr:uid="{475E7BDE-FAD9-5D8A-BC2E-257431067E7C}">
      <text>
        <r>
          <rPr>
            <b/>
            <sz val="9"/>
            <rFont val="Tahoma"/>
          </rPr>
          <t xml:space="preserve">Кирилл Качаев:</t>
        </r>
        <r>
          <rPr>
            <sz val="9"/>
            <rFont val="Tahoma"/>
          </rPr>
          <t xml:space="preserve">
Помощь по задаче БАТ t0350579
</t>
        </r>
      </text>
    </comment>
    <comment ref="I108" authorId="1" xr:uid="{3963C6CD-4325-F865-0998-E24A44CC1F64}">
      <text>
        <r>
          <rPr>
            <b/>
            <sz val="9"/>
            <rFont val="Tahoma"/>
          </rPr>
          <t xml:space="preserve">Кирилл Качаев:</t>
        </r>
        <r>
          <rPr>
            <sz val="9"/>
            <rFont val="Tahoma"/>
          </rPr>
          <t xml:space="preserve">
+1ч, без обеда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tc={2439F724-3FE9-F023-FBEF-1175AC9C5AB2}</author>
    <author>tc={4810C791-D9BF-2EA9-E1A8-CFB1750571E7}</author>
  </authors>
  <commentList>
    <comment ref="A23" authorId="0" xr:uid="{2439F724-3FE9-F023-FBEF-1175AC9C5AB2}">
      <text>
        <r>
          <rPr>
            <b/>
            <sz val="9"/>
            <rFont val="Tahoma"/>
          </rPr>
          <t xml:space="preserve">Пётр Пулиший:</t>
        </r>
        <r>
          <rPr>
            <sz val="9"/>
            <rFont val="Tahoma"/>
          </rPr>
          <t xml:space="preserve">
1-я неделя закрытия в 1-ой линии
</t>
        </r>
      </text>
    </comment>
    <comment ref="K72" authorId="1" xr:uid="{4810C791-D9BF-2EA9-E1A8-CFB1750571E7}">
      <text>
        <r>
          <rPr>
            <b/>
            <sz val="9"/>
            <rFont val="Tahoma"/>
          </rPr>
          <t xml:space="preserve">Артем Рычков:</t>
        </r>
        <r>
          <rPr>
            <sz val="9"/>
            <rFont val="Tahoma"/>
          </rPr>
          <t xml:space="preserve">
Помощь с критом по Часцам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tc={175CC56F-FE24-AEEE-C231-9D5DB13BD641}</author>
    <author>tc={DB09666D-143E-1267-86E7-0311343E2BCD}</author>
  </authors>
  <commentList>
    <comment ref="G60" authorId="0" xr:uid="{175CC56F-FE24-AEEE-C231-9D5DB13BD641}">
      <text>
        <r>
          <rPr>
            <b/>
            <sz val="9"/>
            <rFont val="Tahoma"/>
          </rPr>
          <t xml:space="preserve">Артем Рычков:</t>
        </r>
        <r>
          <rPr>
            <sz val="9"/>
            <rFont val="Tahoma"/>
          </rPr>
          <t xml:space="preserve">
Проблема с каширой
</t>
        </r>
      </text>
    </comment>
    <comment ref="I60" authorId="1" xr:uid="{DB09666D-143E-1267-86E7-0311343E2BCD}">
      <text>
        <r>
          <rPr>
            <b/>
            <sz val="9"/>
            <rFont val="Tahoma"/>
          </rPr>
          <t xml:space="preserve">Артем Рычков:</t>
        </r>
        <r>
          <rPr>
            <sz val="9"/>
            <rFont val="Tahoma"/>
          </rPr>
          <t xml:space="preserve">
Проблема с ответ хранением в клевере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tc={DBD721D0-E8F6-174C-94CB-6C3366CD331C}</author>
  </authors>
  <commentList>
    <comment ref="O47" authorId="0" xr:uid="{DBD721D0-E8F6-174C-94CB-6C3366CD331C}">
      <text>
        <r>
          <rPr>
            <b/>
            <sz val="9"/>
            <rFont val="Tahoma"/>
          </rPr>
          <t xml:space="preserve">Артем Рычков:</t>
        </r>
        <r>
          <rPr>
            <sz val="9"/>
            <rFont val="Tahoma"/>
          </rPr>
          <t xml:space="preserve">
Проблема с приемкой перемещением в Константиново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tc={6C710758-1F03-F4EF-4FB7-8E698AA0DCA4}</author>
  </authors>
  <commentList>
    <comment ref="I66" authorId="0" xr:uid="{6C710758-1F03-F4EF-4FB7-8E698AA0DCA4}">
      <text>
        <r>
          <rPr>
            <b/>
            <sz val="9"/>
            <rFont val="Tahoma"/>
          </rPr>
          <t xml:space="preserve">Артем Рычков:</t>
        </r>
        <r>
          <rPr>
            <sz val="9"/>
            <rFont val="Tahoma"/>
          </rPr>
          <t xml:space="preserve">
Проблмы с РЗ в Константиново
</t>
        </r>
      </text>
    </comment>
  </commentList>
</comments>
</file>

<file path=xl/sharedStrings.xml><?xml version="1.0" encoding="utf-8"?>
<sst xmlns="http://schemas.openxmlformats.org/spreadsheetml/2006/main" count="126" uniqueCount="126">
  <si>
    <t xml:space="preserve">     </t>
  </si>
  <si>
    <t>11-20</t>
  </si>
  <si>
    <t>Отпуск\больничный</t>
  </si>
  <si>
    <t>6-18</t>
  </si>
  <si>
    <t>12</t>
  </si>
  <si>
    <t>18-6</t>
  </si>
  <si>
    <t xml:space="preserve">Поддержка Черкизово</t>
  </si>
  <si>
    <t>8-20</t>
  </si>
  <si>
    <t>20-8</t>
  </si>
  <si>
    <t>9-21</t>
  </si>
  <si>
    <t>21-9</t>
  </si>
  <si>
    <t>10-22</t>
  </si>
  <si>
    <t>22-10</t>
  </si>
  <si>
    <t xml:space="preserve">у всех указано свое местное время</t>
  </si>
  <si>
    <t xml:space="preserve">Администраторы 1с</t>
  </si>
  <si>
    <t xml:space="preserve">кол. рч\мес</t>
  </si>
  <si>
    <t xml:space="preserve">ДЖ рч\мес</t>
  </si>
  <si>
    <t>пн</t>
  </si>
  <si>
    <t>вт</t>
  </si>
  <si>
    <t>ср</t>
  </si>
  <si>
    <t>чт</t>
  </si>
  <si>
    <t>пт</t>
  </si>
  <si>
    <t>сб</t>
  </si>
  <si>
    <t>вс</t>
  </si>
  <si>
    <t>Неделя</t>
  </si>
  <si>
    <t>Итог</t>
  </si>
  <si>
    <t>Ч/Мес</t>
  </si>
  <si>
    <t>День</t>
  </si>
  <si>
    <t>Ночь</t>
  </si>
  <si>
    <t>Кол.смен</t>
  </si>
  <si>
    <t xml:space="preserve">Часовой пояс</t>
  </si>
  <si>
    <t>Нетронин</t>
  </si>
  <si>
    <t>9-18</t>
  </si>
  <si>
    <t>8</t>
  </si>
  <si>
    <t xml:space="preserve">МСК +3</t>
  </si>
  <si>
    <t>Рычков</t>
  </si>
  <si>
    <t>Колобашкин</t>
  </si>
  <si>
    <t>18-3</t>
  </si>
  <si>
    <t>МСК</t>
  </si>
  <si>
    <t>Игумнов</t>
  </si>
  <si>
    <t>Душин</t>
  </si>
  <si>
    <t>ф</t>
  </si>
  <si>
    <t>Юращик</t>
  </si>
  <si>
    <t>Дащенко</t>
  </si>
  <si>
    <t xml:space="preserve">МСК +4</t>
  </si>
  <si>
    <t>Пузырь</t>
  </si>
  <si>
    <t>Голышев</t>
  </si>
  <si>
    <t>Торубара</t>
  </si>
  <si>
    <t>Стрыгин</t>
  </si>
  <si>
    <t xml:space="preserve">МСК +2</t>
  </si>
  <si>
    <t>Фрик</t>
  </si>
  <si>
    <t>Истрашкин</t>
  </si>
  <si>
    <t>Колмогорцев</t>
  </si>
  <si>
    <t>10</t>
  </si>
  <si>
    <t>8-17</t>
  </si>
  <si>
    <t>9</t>
  </si>
  <si>
    <t>7</t>
  </si>
  <si>
    <t>4</t>
  </si>
  <si>
    <t>21-10</t>
  </si>
  <si>
    <t>9-22</t>
  </si>
  <si>
    <t xml:space="preserve">                                                                                      </t>
  </si>
  <si>
    <t>Раимова</t>
  </si>
  <si>
    <t>Войтехович</t>
  </si>
  <si>
    <t>Васильев</t>
  </si>
  <si>
    <t>Рожнева</t>
  </si>
  <si>
    <t>Качаев</t>
  </si>
  <si>
    <t>Карузина</t>
  </si>
  <si>
    <t>21-11</t>
  </si>
  <si>
    <t>9-23</t>
  </si>
  <si>
    <t>21-12</t>
  </si>
  <si>
    <t>9-24</t>
  </si>
  <si>
    <t>10-19</t>
  </si>
  <si>
    <t>8,5</t>
  </si>
  <si>
    <t>9-17</t>
  </si>
  <si>
    <t>12-21</t>
  </si>
  <si>
    <t>13-21</t>
  </si>
  <si>
    <t>14-21</t>
  </si>
  <si>
    <t>11-21</t>
  </si>
  <si>
    <t>8-16</t>
  </si>
  <si>
    <t>10-20</t>
  </si>
  <si>
    <t>13-22</t>
  </si>
  <si>
    <t>11</t>
  </si>
  <si>
    <t xml:space="preserve"> </t>
  </si>
  <si>
    <t>2,5</t>
  </si>
  <si>
    <t>Будовская</t>
  </si>
  <si>
    <t>21-7</t>
  </si>
  <si>
    <t>0,5</t>
  </si>
  <si>
    <t xml:space="preserve">           </t>
  </si>
  <si>
    <t>9,5</t>
  </si>
  <si>
    <t>6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</si>
  <si>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</si>
  <si>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</si>
  <si>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</si>
  <si>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</si>
  <si>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</si>
  <si>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</si>
  <si>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</si>
  <si>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</si>
  <si>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</si>
  <si>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</si>
  <si>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</si>
  <si>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</si>
  <si>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</si>
  <si>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</si>
  <si>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</si>
  <si>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</si>
  <si>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</si>
  <si>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</si>
  <si>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</si>
  <si>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</si>
  <si>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</si>
  <si>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1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</si>
  <si>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</si>
  <si>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</si>
  <si>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</si>
  <si>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</si>
  <si>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</si>
  <si>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</si>
  <si>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</si>
  <si>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</si>
  <si>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</si>
  <si>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</si>
  <si>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01.01.2026</t>
  </si>
  <si>
    <t>02.01.2026</t>
  </si>
  <si>
    <t>03.01.2026</t>
  </si>
  <si>
    <t>04.01.2026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</si>
</sst>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\-m"/>
    <numFmt numFmtId="165" formatCode="dd\.mm\.yyyy"/>
    <numFmt numFmtId="166" formatCode="dd/mm/yyyy"/>
  </numFmts>
  <fonts count="33">
    <font>
      <sz val="10.000000"/>
      <color theme="1"/>
      <name val="Calibri"/>
      <scheme val="minor"/>
    </font>
    <font>
      <sz val="11.000000"/>
      <color theme="1"/>
      <name val="Calibri"/>
      <scheme val="minor"/>
    </font>
    <font>
      <sz val="11.000000"/>
      <color indexed="5"/>
      <name val="Calibri"/>
    </font>
    <font>
      <sz val="11.000000"/>
      <name val="Calibri"/>
    </font>
    <font>
      <sz val="11.000000"/>
      <color rgb="FFFF3B3B"/>
      <name val="Calibri"/>
    </font>
    <font>
      <sz val="11.000000"/>
      <color theme="1"/>
      <name val="Calibri"/>
    </font>
    <font>
      <sz val="10.000000"/>
      <color theme="1"/>
      <name val="Calibri"/>
    </font>
    <font>
      <b/>
      <sz val="13.000000"/>
      <name val="Calibri"/>
    </font>
    <font>
      <b/>
      <sz val="14.000000"/>
      <name val="Calibri"/>
    </font>
    <font>
      <b/>
      <sz val="11.000000"/>
      <name val="Calibri"/>
    </font>
    <font>
      <sz val="10.000000"/>
      <color theme="1"/>
      <name val="Arial"/>
    </font>
    <font>
      <b/>
      <sz val="11.000000"/>
      <color theme="1"/>
      <name val="Calibri"/>
    </font>
    <font>
      <b/>
      <sz val="10.000000"/>
      <color theme="1"/>
      <name val="Calibri"/>
    </font>
    <font>
      <sz val="11.000000"/>
      <color rgb="FF1F1F1F"/>
      <name val="Calibri"/>
    </font>
    <font>
      <sz val="8.000000"/>
      <color theme="1"/>
      <name val="Calibri"/>
    </font>
    <font>
      <sz val="11.000000"/>
      <color indexed="2"/>
      <name val="Calibri"/>
    </font>
    <font>
      <sz val="11.000000"/>
      <color indexed="2"/>
      <name val="Calibri"/>
      <scheme val="minor"/>
    </font>
    <font>
      <b/>
      <sz val="10.000000"/>
      <name val="Calibri"/>
    </font>
    <font>
      <sz val="11.000000"/>
      <name val="Calibri"/>
      <scheme val="minor"/>
    </font>
    <font>
      <sz val="10.000000"/>
      <color indexed="2"/>
      <name val="Arial"/>
    </font>
    <font>
      <sz val="11.000000"/>
      <color theme="1"/>
      <name val="Arial"/>
    </font>
    <font>
      <sz val="10.000000"/>
      <name val="Calibri"/>
      <scheme val="minor"/>
    </font>
    <font>
      <sz val="11.000000"/>
      <color indexed="5"/>
      <name val="Calibri"/>
      <scheme val="minor"/>
    </font>
    <font>
      <sz val="11.000000"/>
      <color rgb="FFFF3B3B"/>
      <name val="Calibri"/>
      <scheme val="minor"/>
    </font>
    <font>
      <b/>
      <sz val="13.000000"/>
      <name val="Calibri"/>
      <scheme val="minor"/>
    </font>
    <font>
      <b/>
      <sz val="14.000000"/>
      <name val="Calibri"/>
      <scheme val="minor"/>
    </font>
    <font>
      <b/>
      <sz val="11.000000"/>
      <name val="Calibri"/>
      <scheme val="minor"/>
    </font>
    <font>
      <sz val="10.000000"/>
      <name val="Arial"/>
    </font>
    <font>
      <b/>
      <sz val="10.000000"/>
      <name val="Calibri"/>
      <scheme val="minor"/>
    </font>
    <font>
      <sz val="11.000000"/>
      <color rgb="FF1F1F1F"/>
      <name val="Calibri"/>
      <scheme val="minor"/>
    </font>
    <font>
      <sz val="11.000000"/>
      <color theme="1" tint="0"/>
      <name val="Calibri"/>
      <scheme val="minor"/>
    </font>
    <font>
      <sz val="10.000000"/>
      <color indexed="2"/>
      <name val="Calibri"/>
      <scheme val="minor"/>
    </font>
    <font>
      <sz val="11.000000"/>
      <color rgb="FF0070C0"/>
      <name val="Calibri"/>
      <scheme val="minor"/>
    </font>
  </fonts>
  <fills count="66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FF3B3B"/>
        <bgColor rgb="FFFF3B3B"/>
      </patternFill>
    </fill>
    <fill>
      <patternFill patternType="solid">
        <fgColor theme="0"/>
      </patternFill>
    </fill>
    <fill>
      <patternFill patternType="solid">
        <fgColor rgb="FFFFC000"/>
        <bgColor rgb="FFFFC000"/>
      </patternFill>
    </fill>
    <fill>
      <patternFill patternType="solid">
        <fgColor rgb="FF0070C0"/>
        <bgColor rgb="FF0070C0"/>
      </patternFill>
    </fill>
    <fill>
      <patternFill patternType="solid">
        <fgColor theme="0"/>
        <bgColor indexed="7"/>
      </patternFill>
    </fill>
    <fill>
      <patternFill patternType="solid">
        <fgColor theme="0"/>
        <bgColor rgb="FFA64D79"/>
      </patternFill>
    </fill>
    <fill>
      <patternFill patternType="solid">
        <fgColor theme="0"/>
        <bgColor rgb="FFDA9D9A"/>
      </patternFill>
    </fill>
    <fill>
      <patternFill patternType="solid">
        <fgColor theme="0"/>
        <bgColor rgb="FF741B47"/>
      </patternFill>
    </fill>
    <fill>
      <patternFill patternType="solid">
        <fgColor indexed="50"/>
        <bgColor indexed="50"/>
      </patternFill>
    </fill>
    <fill>
      <patternFill patternType="solid">
        <fgColor rgb="FF2E75B5"/>
        <bgColor rgb="FF2E75B5"/>
      </patternFill>
    </fill>
    <fill>
      <patternFill patternType="solid">
        <fgColor rgb="FFFFD965"/>
        <bgColor rgb="FFFFD965"/>
      </patternFill>
    </fill>
    <fill>
      <patternFill patternType="solid">
        <fgColor rgb="FFFFD966"/>
        <bgColor rgb="FFFFD966"/>
      </patternFill>
    </fill>
    <fill>
      <patternFill patternType="solid">
        <fgColor rgb="FF548DD4"/>
        <bgColor rgb="FF548DD4"/>
      </patternFill>
    </fill>
    <fill>
      <patternFill patternType="solid">
        <fgColor rgb="FF92D050"/>
        <bgColor rgb="FF92D050"/>
      </patternFill>
    </fill>
    <fill>
      <patternFill patternType="solid">
        <fgColor indexed="65"/>
      </patternFill>
    </fill>
    <fill>
      <patternFill patternType="solid">
        <fgColor rgb="FF871313"/>
        <bgColor rgb="FF871313"/>
      </patternFill>
    </fill>
    <fill>
      <patternFill patternType="solid">
        <fgColor rgb="FF5B9BD5"/>
        <bgColor rgb="FF5B9BD5"/>
      </patternFill>
    </fill>
    <fill>
      <patternFill patternType="solid">
        <fgColor indexed="5"/>
        <bgColor rgb="FF0070C0"/>
      </patternFill>
    </fill>
    <fill>
      <patternFill patternType="solid">
        <fgColor indexed="5"/>
      </patternFill>
    </fill>
    <fill>
      <patternFill patternType="solid">
        <fgColor indexed="5"/>
        <bgColor rgb="FFFFC000"/>
      </patternFill>
    </fill>
    <fill>
      <patternFill patternType="solid">
        <fgColor theme="0"/>
        <bgColor indexed="5"/>
      </patternFill>
    </fill>
    <fill>
      <patternFill patternType="solid">
        <fgColor theme="4"/>
        <bgColor theme="4"/>
      </patternFill>
    </fill>
    <fill>
      <patternFill patternType="solid">
        <fgColor indexed="2"/>
        <bgColor indexed="2"/>
      </patternFill>
    </fill>
    <fill>
      <patternFill patternType="solid">
        <fgColor indexed="2"/>
        <bgColor rgb="FFFFC000"/>
      </patternFill>
    </fill>
    <fill>
      <patternFill patternType="solid">
        <fgColor indexed="5"/>
        <bgColor rgb="FF92D050"/>
      </patternFill>
    </fill>
    <fill>
      <patternFill patternType="solid">
        <fgColor rgb="FFFFC000"/>
        <bgColor indexed="2"/>
      </patternFill>
    </fill>
    <fill>
      <patternFill patternType="solid">
        <fgColor indexed="5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92D050"/>
      </patternFill>
    </fill>
    <fill>
      <patternFill patternType="solid">
        <fgColor rgb="FF92D050"/>
        <bgColor indexed="5"/>
      </patternFill>
    </fill>
    <fill>
      <patternFill patternType="solid">
        <fgColor theme="2"/>
        <bgColor indexed="5"/>
      </patternFill>
    </fill>
    <fill>
      <patternFill patternType="solid">
        <fgColor theme="2" tint="-0.34998626667073579"/>
        <bgColor theme="2" tint="-0.34998626667073579"/>
      </patternFill>
    </fill>
    <fill>
      <patternFill patternType="solid">
        <fgColor indexed="5"/>
        <bgColor indexed="6"/>
      </patternFill>
    </fill>
    <fill>
      <patternFill patternType="solid">
        <fgColor theme="0"/>
        <bgColor theme="5"/>
      </patternFill>
    </fill>
    <fill>
      <patternFill patternType="solid">
        <fgColor rgb="FFFFC000"/>
        <bgColor theme="0"/>
      </patternFill>
    </fill>
    <fill>
      <patternFill patternType="solid">
        <fgColor theme="0"/>
        <bgColor indexed="6"/>
      </patternFill>
    </fill>
    <fill>
      <patternFill patternType="solid">
        <fgColor rgb="FFFFC000"/>
        <bgColor indexed="5"/>
      </patternFill>
    </fill>
    <fill>
      <patternFill patternType="solid">
        <fgColor rgb="FF92D050"/>
        <bgColor rgb="FFDA9D9A"/>
      </patternFill>
    </fill>
    <fill>
      <patternFill patternType="solid">
        <fgColor rgb="FFFFC000"/>
        <bgColor indexed="6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0070C0"/>
      </patternFill>
    </fill>
    <fill>
      <patternFill patternType="solid">
        <fgColor rgb="FF0070C0"/>
        <bgColor rgb="FFFFC000"/>
      </patternFill>
    </fill>
    <fill>
      <patternFill patternType="solid">
        <fgColor rgb="FFFFC000"/>
        <bgColor rgb="FF0070C0"/>
      </patternFill>
    </fill>
    <fill>
      <patternFill patternType="solid">
        <fgColor theme="8" tint="0.39997558519241921"/>
        <bgColor rgb="FF5B9BD5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871313"/>
      </patternFill>
    </fill>
    <fill>
      <patternFill patternType="solid">
        <fgColor theme="2"/>
        <bgColor theme="0"/>
      </patternFill>
    </fill>
    <fill>
      <patternFill patternType="solid">
        <fgColor theme="2"/>
        <bgColor rgb="FF0070C0"/>
      </patternFill>
    </fill>
    <fill>
      <patternFill patternType="solid">
        <fgColor rgb="FF0070C0"/>
        <bgColor theme="0"/>
      </patternFill>
    </fill>
    <fill>
      <patternFill patternType="solid">
        <fgColor rgb="FFFF3B3B"/>
      </patternFill>
    </fill>
    <fill>
      <patternFill patternType="solid">
        <fgColor indexed="50"/>
      </patternFill>
    </fill>
    <fill>
      <patternFill patternType="solid">
        <fgColor rgb="FF2E75B5"/>
      </patternFill>
    </fill>
    <fill>
      <patternFill patternType="solid">
        <fgColor rgb="FFFFD965"/>
      </patternFill>
    </fill>
    <fill>
      <patternFill patternType="solid">
        <fgColor rgb="FFFFD966"/>
      </patternFill>
    </fill>
    <fill>
      <patternFill patternType="solid">
        <fgColor rgb="FF548DD4"/>
      </patternFill>
    </fill>
    <fill>
      <patternFill patternType="solid">
        <fgColor rgb="FF92D050"/>
      </patternFill>
    </fill>
    <fill>
      <patternFill patternType="solid">
        <fgColor rgb="FF871313"/>
      </patternFill>
    </fill>
    <fill>
      <patternFill patternType="solid">
        <fgColor rgb="FF5B9BD5"/>
      </patternFill>
    </fill>
    <fill>
      <patternFill patternType="solid">
        <fgColor indexed="2"/>
      </patternFill>
    </fill>
    <fill>
      <patternFill patternType="solid">
        <fgColor theme="7" tint="0"/>
        <bgColor theme="7" tint="0"/>
      </patternFill>
    </fill>
    <fill>
      <patternFill patternType="solid">
        <fgColor theme="8" tint="0"/>
        <bgColor theme="8" tint="0"/>
      </patternFill>
    </fill>
  </fills>
  <borders count="94">
    <border>
      <left style="none"/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none"/>
      <right style="none"/>
      <top style="thin">
        <color theme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theme="1"/>
      </bottom>
      <diagonal style="none"/>
    </border>
    <border>
      <left style="thin">
        <color auto="1"/>
      </left>
      <right style="thin">
        <color theme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none"/>
      <diagonal style="none"/>
    </border>
    <border>
      <left style="thin">
        <color theme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none"/>
      <bottom style="none"/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 style="none"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auto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auto="1"/>
      </bottom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none"/>
      <top style="thin">
        <color auto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theme="1"/>
      </left>
      <right style="none"/>
      <top style="none"/>
      <bottom style="thin">
        <color auto="1"/>
      </bottom>
      <diagonal style="none"/>
    </border>
    <border>
      <left style="none"/>
      <right style="thin">
        <color theme="1"/>
      </right>
      <top style="none"/>
      <bottom style="thin">
        <color auto="1"/>
      </bottom>
      <diagonal style="none"/>
    </border>
    <border>
      <left style="thin">
        <color theme="1"/>
      </left>
      <right style="none"/>
      <top style="thin">
        <color auto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auto="1"/>
      </top>
      <bottom style="none"/>
      <diagonal style="none"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auto="1"/>
      </right>
      <top style="none"/>
      <bottom style="thin">
        <color theme="1"/>
      </bottom>
      <diagonal style="none"/>
    </border>
    <border>
      <left style="none"/>
      <right style="thin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medium">
        <color auto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auto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thin">
        <color theme="1"/>
      </left>
      <right style="thin">
        <color auto="1"/>
      </right>
      <top style="thin">
        <color theme="1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945">
    <xf fontId="0" fillId="0" borderId="0" numFmtId="0" xfId="0"/>
    <xf fontId="0" fillId="0" borderId="1" numFmtId="0" xfId="0" applyBorder="1"/>
    <xf fontId="2" fillId="2" borderId="2" numFmtId="49" xfId="0" applyNumberFormat="1" applyFont="1" applyFill="1" applyBorder="1" applyAlignment="1">
      <alignment horizontal="center" vertical="center"/>
    </xf>
    <xf fontId="3" fillId="2" borderId="2" numFmtId="0" xfId="0" applyFont="1" applyFill="1" applyBorder="1" applyAlignment="1">
      <alignment horizontal="center" vertical="center" wrapText="1"/>
    </xf>
    <xf fontId="4" fillId="3" borderId="2" numFmtId="49" xfId="0" applyNumberFormat="1" applyFont="1" applyFill="1" applyBorder="1" applyAlignment="1">
      <alignment horizontal="center" vertical="center"/>
    </xf>
    <xf fontId="3" fillId="3" borderId="2" numFmtId="0" xfId="0" applyFont="1" applyFill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0" numFmtId="0" xfId="0" applyFont="1" applyAlignment="1">
      <alignment vertical="center"/>
    </xf>
    <xf fontId="5" fillId="4" borderId="0" numFmtId="0" xfId="0" applyFont="1" applyFill="1" applyAlignment="1">
      <alignment horizontal="center" vertical="center"/>
    </xf>
    <xf fontId="5" fillId="4" borderId="0" numFmtId="0" xfId="0" applyFont="1" applyFill="1"/>
    <xf fontId="3" fillId="4" borderId="0" numFmtId="0" xfId="0" applyFont="1" applyFill="1" applyAlignment="1">
      <alignment vertical="center"/>
    </xf>
    <xf fontId="3" fillId="4" borderId="0" numFmtId="0" xfId="0" applyFont="1" applyFill="1" applyAlignment="1">
      <alignment horizontal="center" vertical="center"/>
    </xf>
    <xf fontId="3" fillId="0" borderId="0" numFmtId="1" xfId="0" applyNumberFormat="1" applyFont="1" applyAlignment="1">
      <alignment horizontal="center" vertical="center"/>
    </xf>
    <xf fontId="0" fillId="0" borderId="0" numFmtId="49" xfId="0" applyNumberFormat="1"/>
    <xf fontId="3" fillId="0" borderId="1" numFmtId="0" xfId="0" applyFont="1" applyBorder="1" applyAlignment="1">
      <alignment horizontal="left" vertical="center"/>
    </xf>
    <xf fontId="3" fillId="5" borderId="2" numFmtId="49" xfId="0" applyNumberFormat="1" applyFont="1" applyFill="1" applyBorder="1" applyAlignment="1">
      <alignment horizontal="center" vertical="center"/>
    </xf>
    <xf fontId="3" fillId="6" borderId="2" numFmtId="49" xfId="0" applyNumberFormat="1" applyFont="1" applyFill="1" applyBorder="1" applyAlignment="1">
      <alignment horizontal="center" vertical="center"/>
    </xf>
    <xf fontId="3" fillId="0" borderId="3" numFmtId="0" xfId="0" applyFont="1" applyBorder="1" applyAlignment="1">
      <alignment horizontal="left" vertical="center"/>
    </xf>
    <xf fontId="0" fillId="4" borderId="0" numFmtId="0" xfId="0" applyFill="1"/>
    <xf fontId="0" fillId="4" borderId="0" numFmtId="0" xfId="0" applyFill="1" applyAlignment="1">
      <alignment horizontal="center"/>
    </xf>
    <xf fontId="0" fillId="7" borderId="0" numFmtId="0" xfId="0" applyFill="1"/>
    <xf fontId="0" fillId="0" borderId="0" numFmtId="0" xfId="0"/>
    <xf fontId="0" fillId="0" borderId="4" numFmtId="0" xfId="0" applyBorder="1"/>
    <xf fontId="6" fillId="8" borderId="0" numFmtId="164" xfId="0" applyNumberFormat="1" applyFont="1" applyFill="1"/>
    <xf fontId="6" fillId="8" borderId="0" numFmtId="0" xfId="0" applyFont="1" applyFill="1"/>
    <xf fontId="5" fillId="4" borderId="0" numFmtId="0" xfId="0" applyFont="1" applyFill="1" applyAlignment="1">
      <alignment vertical="center"/>
    </xf>
    <xf fontId="5" fillId="9" borderId="0" numFmtId="49" xfId="0" applyNumberFormat="1" applyFont="1" applyFill="1" applyAlignment="1">
      <alignment horizontal="center" vertical="center"/>
    </xf>
    <xf fontId="5" fillId="9" borderId="0" numFmtId="0" xfId="0" applyFont="1" applyFill="1" applyAlignment="1">
      <alignment horizontal="center" vertical="center"/>
    </xf>
    <xf fontId="3" fillId="4" borderId="0" numFmtId="0" xfId="0" applyFont="1" applyFill="1" applyAlignment="1">
      <alignment horizontal="left" vertical="center"/>
    </xf>
    <xf fontId="6" fillId="10" borderId="0" numFmtId="0" xfId="0" applyFont="1" applyFill="1"/>
    <xf fontId="3" fillId="0" borderId="5" numFmtId="0" xfId="0" applyFont="1" applyBorder="1" applyAlignment="1">
      <alignment vertical="center"/>
    </xf>
    <xf fontId="7" fillId="3" borderId="5" numFmtId="0" xfId="0" applyFont="1" applyFill="1" applyBorder="1" applyAlignment="1">
      <alignment vertical="center"/>
    </xf>
    <xf fontId="3" fillId="0" borderId="5" numFmtId="0" xfId="0" applyFont="1" applyBorder="1" applyAlignment="1">
      <alignment horizontal="center" vertical="center"/>
    </xf>
    <xf fontId="0" fillId="0" borderId="5" numFmtId="0" xfId="0" applyBorder="1"/>
    <xf fontId="8" fillId="0" borderId="6" numFmtId="0" xfId="0" applyFont="1" applyBorder="1" applyAlignment="1">
      <alignment horizontal="center" vertical="center"/>
    </xf>
    <xf fontId="8" fillId="0" borderId="7" numFmtId="0" xfId="0" applyFont="1" applyBorder="1" applyAlignment="1">
      <alignment horizontal="center" vertical="center"/>
    </xf>
    <xf fontId="8" fillId="0" borderId="8" numFmtId="0" xfId="0" applyFont="1" applyBorder="1" applyAlignment="1">
      <alignment horizontal="center" vertical="center"/>
    </xf>
    <xf fontId="9" fillId="11" borderId="9" numFmtId="0" xfId="0" applyFont="1" applyFill="1" applyBorder="1" applyAlignment="1">
      <alignment horizontal="center" vertical="center"/>
    </xf>
    <xf fontId="3" fillId="0" borderId="10" numFmtId="0" xfId="0" applyFont="1" applyBorder="1" applyAlignment="1">
      <alignment horizontal="center" vertical="center"/>
    </xf>
    <xf fontId="9" fillId="12" borderId="11" numFmtId="0" xfId="0" applyFont="1" applyFill="1" applyBorder="1" applyAlignment="1">
      <alignment horizontal="center" vertical="center"/>
    </xf>
    <xf fontId="9" fillId="12" borderId="8" numFmtId="0" xfId="0" applyFont="1" applyFill="1" applyBorder="1" applyAlignment="1">
      <alignment horizontal="center" vertical="center"/>
    </xf>
    <xf fontId="3" fillId="0" borderId="12" numFmtId="1" xfId="0" applyNumberFormat="1" applyFont="1" applyBorder="1" applyAlignment="1">
      <alignment horizontal="center" vertical="center"/>
    </xf>
    <xf fontId="10" fillId="0" borderId="13" numFmtId="0" xfId="0" applyFont="1" applyBorder="1"/>
    <xf fontId="11" fillId="13" borderId="14" numFmtId="0" xfId="0" applyFont="1" applyFill="1" applyBorder="1" applyAlignment="1">
      <alignment horizontal="center"/>
    </xf>
    <xf fontId="10" fillId="13" borderId="14" numFmtId="0" xfId="0" applyFont="1" applyFill="1" applyBorder="1"/>
    <xf fontId="11" fillId="14" borderId="14" numFmtId="0" xfId="0" applyFont="1" applyFill="1" applyBorder="1" applyAlignment="1">
      <alignment horizontal="center"/>
    </xf>
    <xf fontId="10" fillId="14" borderId="14" numFmtId="0" xfId="0" applyFont="1" applyFill="1" applyBorder="1"/>
    <xf fontId="11" fillId="13" borderId="15" numFmtId="0" xfId="0" applyFont="1" applyFill="1" applyBorder="1" applyAlignment="1">
      <alignment horizontal="center"/>
    </xf>
    <xf fontId="11" fillId="13" borderId="16" numFmtId="0" xfId="0" applyFont="1" applyFill="1" applyBorder="1" applyAlignment="1">
      <alignment horizontal="center"/>
    </xf>
    <xf fontId="10" fillId="0" borderId="2" numFmtId="0" xfId="0" applyFont="1" applyBorder="1"/>
    <xf fontId="10" fillId="0" borderId="2" numFmtId="1" xfId="0" applyNumberFormat="1" applyFont="1" applyBorder="1"/>
    <xf fontId="5" fillId="0" borderId="17" numFmtId="0" xfId="0" applyFont="1" applyBorder="1"/>
    <xf fontId="5" fillId="0" borderId="18" numFmtId="0" xfId="0" applyFont="1" applyBorder="1" applyAlignment="1">
      <alignment horizontal="center"/>
    </xf>
    <xf fontId="12" fillId="5" borderId="18" numFmtId="165" xfId="0" applyNumberFormat="1" applyFont="1" applyFill="1" applyBorder="1" applyAlignment="1">
      <alignment horizontal="center"/>
    </xf>
    <xf fontId="10" fillId="5" borderId="18" numFmtId="165" xfId="0" applyNumberFormat="1" applyFont="1" applyFill="1" applyBorder="1"/>
    <xf fontId="11" fillId="13" borderId="18" numFmtId="49" xfId="0" applyNumberFormat="1" applyFont="1" applyFill="1" applyBorder="1" applyAlignment="1">
      <alignment horizontal="center"/>
    </xf>
    <xf fontId="11" fillId="13" borderId="18" numFmtId="0" xfId="0" applyFont="1" applyFill="1" applyBorder="1" applyAlignment="1">
      <alignment horizontal="center"/>
    </xf>
    <xf fontId="10" fillId="0" borderId="18" numFmtId="14" xfId="0" applyNumberFormat="1" applyFont="1" applyBorder="1"/>
    <xf fontId="10" fillId="0" borderId="18" numFmtId="0" xfId="0" applyFont="1" applyBorder="1"/>
    <xf fontId="10" fillId="0" borderId="19" numFmtId="0" xfId="0" applyFont="1" applyBorder="1"/>
    <xf fontId="5" fillId="5" borderId="2" numFmtId="49" xfId="0" applyNumberFormat="1" applyFont="1" applyFill="1" applyBorder="1" applyAlignment="1">
      <alignment horizontal="center"/>
    </xf>
    <xf fontId="5" fillId="15" borderId="2" numFmtId="49" xfId="0" applyNumberFormat="1" applyFont="1" applyFill="1" applyBorder="1" applyAlignment="1">
      <alignment horizontal="center"/>
    </xf>
    <xf fontId="5" fillId="0" borderId="2" numFmtId="1" xfId="0" applyNumberFormat="1" applyFont="1" applyBorder="1" applyAlignment="1">
      <alignment horizontal="center"/>
    </xf>
    <xf fontId="5" fillId="0" borderId="20" numFmtId="0" xfId="0" applyFont="1" applyBorder="1"/>
    <xf fontId="11" fillId="16" borderId="18" numFmtId="49" xfId="0" applyNumberFormat="1" applyFont="1" applyFill="1" applyBorder="1" applyAlignment="1">
      <alignment horizontal="center"/>
    </xf>
    <xf fontId="3" fillId="16" borderId="18" numFmtId="49" xfId="0" applyNumberFormat="1" applyFont="1" applyFill="1" applyBorder="1" applyAlignment="1">
      <alignment horizontal="center"/>
    </xf>
    <xf fontId="3" fillId="0" borderId="18" numFmtId="49" xfId="0" applyNumberFormat="1" applyFont="1" applyBorder="1" applyAlignment="1">
      <alignment horizontal="center"/>
    </xf>
    <xf fontId="5" fillId="0" borderId="18" numFmtId="49" xfId="0" applyNumberFormat="1" applyFont="1" applyBorder="1" applyAlignment="1">
      <alignment horizontal="center"/>
    </xf>
    <xf fontId="11" fillId="17" borderId="18" numFmtId="49" xfId="0" applyNumberFormat="1" applyFont="1" applyFill="1" applyBorder="1" applyAlignment="1">
      <alignment horizontal="center"/>
    </xf>
    <xf fontId="5" fillId="0" borderId="18" numFmtId="1" xfId="0" applyNumberFormat="1" applyFont="1" applyBorder="1" applyAlignment="1">
      <alignment horizontal="center"/>
    </xf>
    <xf fontId="11" fillId="0" borderId="18" numFmtId="49" xfId="0" applyNumberFormat="1" applyFont="1" applyBorder="1" applyAlignment="1">
      <alignment horizontal="center"/>
    </xf>
    <xf fontId="10" fillId="6" borderId="18" numFmtId="49" xfId="0" applyNumberFormat="1" applyFont="1" applyFill="1" applyBorder="1" applyAlignment="1">
      <alignment horizontal="center"/>
    </xf>
    <xf fontId="10" fillId="5" borderId="18" numFmtId="49" xfId="0" applyNumberFormat="1" applyFont="1" applyFill="1" applyBorder="1" applyAlignment="1">
      <alignment horizontal="center"/>
    </xf>
    <xf fontId="5" fillId="0" borderId="21" numFmtId="1" xfId="0" applyNumberFormat="1" applyFont="1" applyBorder="1" applyAlignment="1">
      <alignment horizontal="center"/>
    </xf>
    <xf fontId="5" fillId="0" borderId="2" numFmtId="0" xfId="0" applyFont="1" applyBorder="1"/>
    <xf fontId="11" fillId="18" borderId="18" numFmtId="49" xfId="0" applyNumberFormat="1" applyFont="1" applyFill="1" applyBorder="1" applyAlignment="1">
      <alignment horizontal="center"/>
    </xf>
    <xf fontId="5" fillId="6" borderId="18" numFmtId="49" xfId="0" applyNumberFormat="1" applyFont="1" applyFill="1" applyBorder="1" applyAlignment="1">
      <alignment horizontal="center"/>
    </xf>
    <xf fontId="5" fillId="5" borderId="18" numFmtId="49" xfId="0" applyNumberFormat="1" applyFont="1" applyFill="1" applyBorder="1" applyAlignment="1">
      <alignment horizontal="center"/>
    </xf>
    <xf fontId="3" fillId="6" borderId="18" numFmtId="49" xfId="0" applyNumberFormat="1" applyFont="1" applyFill="1" applyBorder="1" applyAlignment="1">
      <alignment horizontal="center"/>
    </xf>
    <xf fontId="13" fillId="17" borderId="2" numFmtId="0" xfId="0" applyFont="1" applyFill="1" applyBorder="1"/>
    <xf fontId="6" fillId="0" borderId="0" numFmtId="0" xfId="0" applyFont="1"/>
    <xf fontId="11" fillId="19" borderId="18" numFmtId="49" xfId="0" applyNumberFormat="1" applyFont="1" applyFill="1" applyBorder="1" applyAlignment="1">
      <alignment horizontal="center"/>
    </xf>
    <xf fontId="3" fillId="0" borderId="18" numFmtId="49" xfId="0" applyNumberFormat="1" applyFont="1" applyBorder="1" applyAlignment="1">
      <alignment horizontal="center" vertical="center"/>
    </xf>
    <xf fontId="3" fillId="5" borderId="18" numFmtId="49" xfId="0" applyNumberFormat="1" applyFont="1" applyFill="1" applyBorder="1" applyAlignment="1">
      <alignment horizontal="center"/>
    </xf>
    <xf fontId="10" fillId="5" borderId="22" numFmtId="49" xfId="0" applyNumberFormat="1" applyFont="1" applyFill="1" applyBorder="1" applyAlignment="1">
      <alignment horizontal="center"/>
    </xf>
    <xf fontId="5" fillId="0" borderId="23" numFmtId="1" xfId="0" applyNumberFormat="1" applyFont="1" applyBorder="1" applyAlignment="1">
      <alignment horizontal="center"/>
    </xf>
    <xf fontId="5" fillId="0" borderId="24" numFmtId="1" xfId="0" applyNumberFormat="1" applyFont="1" applyBorder="1" applyAlignment="1">
      <alignment horizontal="center"/>
    </xf>
    <xf fontId="0" fillId="0" borderId="18" numFmtId="0" xfId="0" applyBorder="1"/>
    <xf fontId="9" fillId="19" borderId="18" numFmtId="49" xfId="0" applyNumberFormat="1" applyFont="1" applyFill="1" applyBorder="1" applyAlignment="1">
      <alignment horizontal="center" vertical="center"/>
    </xf>
    <xf fontId="3" fillId="6" borderId="0" numFmtId="49" xfId="0" applyNumberFormat="1" applyFont="1" applyFill="1" applyAlignment="1">
      <alignment horizontal="center"/>
    </xf>
    <xf fontId="5" fillId="0" borderId="25" numFmtId="1" xfId="0" applyNumberFormat="1" applyFont="1" applyBorder="1" applyAlignment="1">
      <alignment horizontal="center"/>
    </xf>
    <xf fontId="5" fillId="0" borderId="0" numFmtId="0" xfId="0" applyFont="1"/>
    <xf fontId="11" fillId="0" borderId="18" numFmtId="0" xfId="0" applyFont="1" applyBorder="1" applyAlignment="1">
      <alignment horizontal="center"/>
    </xf>
    <xf fontId="10" fillId="17" borderId="18" numFmtId="49" xfId="0" applyNumberFormat="1" applyFont="1" applyFill="1" applyBorder="1"/>
    <xf fontId="10" fillId="0" borderId="18" numFmtId="49" xfId="0" applyNumberFormat="1" applyFont="1" applyBorder="1"/>
    <xf fontId="10" fillId="0" borderId="26" numFmtId="0" xfId="0" applyFont="1" applyBorder="1"/>
    <xf fontId="10" fillId="0" borderId="0" numFmtId="0" xfId="0" applyFont="1"/>
    <xf fontId="9" fillId="0" borderId="18" numFmtId="0" xfId="0" applyFont="1" applyBorder="1" applyAlignment="1">
      <alignment horizontal="center" vertical="center"/>
    </xf>
    <xf fontId="3" fillId="0" borderId="18" numFmtId="0" xfId="0" applyFont="1" applyBorder="1" applyAlignment="1">
      <alignment horizontal="center" vertical="center"/>
    </xf>
    <xf fontId="3" fillId="0" borderId="25" numFmtId="0" xfId="0" applyFont="1" applyBorder="1" applyAlignment="1">
      <alignment horizontal="center" vertical="center"/>
    </xf>
    <xf fontId="3" fillId="0" borderId="2" numFmtId="1" xfId="0" applyNumberFormat="1" applyFont="1" applyBorder="1" applyAlignment="1">
      <alignment horizontal="center" vertical="center"/>
    </xf>
    <xf fontId="9" fillId="13" borderId="18" numFmtId="0" xfId="0" applyFont="1" applyFill="1" applyBorder="1" applyAlignment="1">
      <alignment horizontal="center" vertical="center"/>
    </xf>
    <xf fontId="9" fillId="14" borderId="18" numFmtId="0" xfId="0" applyFont="1" applyFill="1" applyBorder="1" applyAlignment="1">
      <alignment horizontal="center" vertical="center"/>
    </xf>
    <xf fontId="9" fillId="13" borderId="18" numFmtId="49" xfId="0" applyNumberFormat="1" applyFont="1" applyFill="1" applyBorder="1" applyAlignment="1">
      <alignment horizontal="center" vertical="center"/>
    </xf>
    <xf fontId="3" fillId="0" borderId="18" numFmtId="14" xfId="0" applyNumberFormat="1" applyFont="1" applyBorder="1" applyAlignment="1">
      <alignment horizontal="center" vertical="center"/>
    </xf>
    <xf fontId="3" fillId="0" borderId="19" numFmtId="0" xfId="0" applyFont="1" applyBorder="1" applyAlignment="1">
      <alignment horizontal="center" vertical="center"/>
    </xf>
    <xf fontId="5" fillId="15" borderId="2" numFmtId="49" xfId="0" applyNumberFormat="1" applyFont="1" applyFill="1" applyBorder="1" applyAlignment="1">
      <alignment horizontal="center" vertical="center"/>
    </xf>
    <xf fontId="3" fillId="20" borderId="18" numFmtId="49" xfId="0" applyNumberFormat="1" applyFont="1" applyFill="1" applyBorder="1" applyAlignment="1">
      <alignment horizontal="center"/>
    </xf>
    <xf fontId="3" fillId="21" borderId="18" numFmtId="49" xfId="0" applyNumberFormat="1" applyFont="1" applyFill="1" applyBorder="1" applyAlignment="1">
      <alignment horizontal="center"/>
    </xf>
    <xf fontId="3" fillId="21" borderId="18" numFmtId="49" xfId="0" applyNumberFormat="1" applyFont="1" applyFill="1" applyBorder="1" applyAlignment="1">
      <alignment horizontal="center" vertical="center"/>
    </xf>
    <xf fontId="3" fillId="22" borderId="18" numFmtId="49" xfId="0" applyNumberFormat="1" applyFont="1" applyFill="1" applyBorder="1" applyAlignment="1">
      <alignment horizontal="center"/>
    </xf>
    <xf fontId="5" fillId="21" borderId="18" numFmtId="49" xfId="0" applyNumberFormat="1" applyFont="1" applyFill="1" applyBorder="1" applyAlignment="1">
      <alignment horizontal="center"/>
    </xf>
    <xf fontId="3" fillId="5" borderId="0" numFmtId="49" xfId="0" applyNumberFormat="1" applyFont="1" applyFill="1" applyAlignment="1">
      <alignment horizontal="center"/>
    </xf>
    <xf fontId="11" fillId="0" borderId="0" numFmtId="49" xfId="0" applyNumberFormat="1" applyFont="1" applyAlignment="1">
      <alignment horizontal="center"/>
    </xf>
    <xf fontId="9" fillId="0" borderId="18" numFmtId="49" xfId="0" applyNumberFormat="1" applyFont="1" applyBorder="1" applyAlignment="1">
      <alignment horizontal="center" vertical="center"/>
    </xf>
    <xf fontId="3" fillId="0" borderId="26" numFmtId="0" xfId="0" applyFont="1" applyBorder="1" applyAlignment="1">
      <alignment horizontal="center" vertical="center"/>
    </xf>
    <xf fontId="5" fillId="13" borderId="18" numFmtId="0" xfId="0" applyFont="1" applyFill="1" applyBorder="1" applyAlignment="1">
      <alignment horizontal="center"/>
    </xf>
    <xf fontId="5" fillId="0" borderId="25" numFmtId="0" xfId="0" applyFont="1" applyBorder="1" applyAlignment="1">
      <alignment horizontal="center"/>
    </xf>
    <xf fontId="5" fillId="0" borderId="18" numFmtId="14" xfId="0" applyNumberFormat="1" applyFont="1" applyBorder="1" applyAlignment="1">
      <alignment horizontal="center"/>
    </xf>
    <xf fontId="5" fillId="0" borderId="19" numFmtId="0" xfId="0" applyFont="1" applyBorder="1" applyAlignment="1">
      <alignment horizontal="center"/>
    </xf>
    <xf fontId="3" fillId="23" borderId="18" numFmtId="49" xfId="0" applyNumberFormat="1" applyFont="1" applyFill="1" applyBorder="1" applyAlignment="1">
      <alignment horizontal="center"/>
    </xf>
    <xf fontId="11" fillId="24" borderId="18" numFmtId="49" xfId="0" applyNumberFormat="1" applyFont="1" applyFill="1" applyBorder="1" applyAlignment="1">
      <alignment horizontal="center"/>
    </xf>
    <xf fontId="3" fillId="2" borderId="18" numFmtId="49" xfId="0" applyNumberFormat="1" applyFont="1" applyFill="1" applyBorder="1" applyAlignment="1">
      <alignment horizontal="center"/>
    </xf>
    <xf fontId="5" fillId="2" borderId="18" numFmtId="49" xfId="0" applyNumberFormat="1" applyFont="1" applyFill="1" applyBorder="1" applyAlignment="1">
      <alignment horizontal="center"/>
    </xf>
    <xf fontId="0" fillId="2" borderId="18" numFmtId="0" xfId="0" applyFill="1" applyBorder="1"/>
    <xf fontId="9" fillId="24" borderId="18" numFmtId="49" xfId="0" applyNumberFormat="1" applyFont="1" applyFill="1" applyBorder="1" applyAlignment="1">
      <alignment horizontal="center" vertical="center"/>
    </xf>
    <xf fontId="5" fillId="0" borderId="26" numFmtId="0" xfId="0" applyFont="1" applyBorder="1" applyAlignment="1">
      <alignment horizontal="center"/>
    </xf>
    <xf fontId="3" fillId="0" borderId="27" numFmtId="0" xfId="0" applyFont="1" applyBorder="1" applyAlignment="1">
      <alignment horizontal="center" vertical="center"/>
    </xf>
    <xf fontId="3" fillId="0" borderId="27" numFmtId="1" xfId="0" applyNumberFormat="1" applyFont="1" applyBorder="1" applyAlignment="1">
      <alignment horizontal="center" vertical="center"/>
    </xf>
    <xf fontId="11" fillId="14" borderId="18" numFmtId="0" xfId="0" applyFont="1" applyFill="1" applyBorder="1" applyAlignment="1">
      <alignment horizontal="center"/>
    </xf>
    <xf fontId="9" fillId="16" borderId="18" numFmtId="49" xfId="0" applyNumberFormat="1" applyFont="1" applyFill="1" applyBorder="1" applyAlignment="1">
      <alignment horizontal="center"/>
    </xf>
    <xf fontId="0" fillId="5" borderId="18" numFmtId="0" xfId="0" applyFill="1" applyBorder="1"/>
    <xf fontId="3" fillId="2" borderId="18" numFmtId="49" xfId="0" applyNumberFormat="1" applyFont="1" applyFill="1" applyBorder="1" applyAlignment="1">
      <alignment horizontal="center" vertical="center"/>
    </xf>
    <xf fontId="3" fillId="6" borderId="28" numFmtId="49" xfId="0" applyNumberFormat="1" applyFont="1" applyFill="1" applyBorder="1" applyAlignment="1">
      <alignment horizontal="center"/>
    </xf>
    <xf fontId="5" fillId="0" borderId="29" numFmtId="0" xfId="0" applyFont="1" applyBorder="1" applyAlignment="1">
      <alignment horizontal="center"/>
    </xf>
    <xf fontId="11" fillId="17" borderId="30" numFmtId="49" xfId="0" applyNumberFormat="1" applyFont="1" applyFill="1" applyBorder="1" applyAlignment="1">
      <alignment horizontal="center"/>
    </xf>
    <xf fontId="5" fillId="0" borderId="29" numFmtId="49" xfId="0" applyNumberFormat="1" applyFont="1" applyBorder="1" applyAlignment="1">
      <alignment horizontal="center"/>
    </xf>
    <xf fontId="11" fillId="0" borderId="29" numFmtId="0" xfId="0" applyFont="1" applyBorder="1" applyAlignment="1">
      <alignment horizontal="center"/>
    </xf>
    <xf fontId="5" fillId="0" borderId="31" numFmtId="0" xfId="0" applyFont="1" applyBorder="1" applyAlignment="1">
      <alignment horizontal="center"/>
    </xf>
    <xf fontId="3" fillId="0" borderId="27" numFmtId="0" xfId="0" applyFont="1" applyBorder="1" applyAlignment="1">
      <alignment vertical="center"/>
    </xf>
    <xf fontId="3" fillId="0" borderId="32" numFmtId="0" xfId="0" applyFont="1" applyBorder="1" applyAlignment="1">
      <alignment vertical="center"/>
    </xf>
    <xf fontId="5" fillId="0" borderId="13" numFmtId="0" xfId="0" applyFont="1" applyBorder="1" applyAlignment="1">
      <alignment horizontal="center"/>
    </xf>
    <xf fontId="5" fillId="13" borderId="14" numFmtId="0" xfId="0" applyFont="1" applyFill="1" applyBorder="1" applyAlignment="1">
      <alignment horizontal="center"/>
    </xf>
    <xf fontId="5" fillId="0" borderId="2" numFmtId="0" xfId="0" applyFont="1" applyBorder="1" applyAlignment="1">
      <alignment horizontal="center"/>
    </xf>
    <xf fontId="12" fillId="25" borderId="18" numFmtId="165" xfId="0" applyNumberFormat="1" applyFont="1" applyFill="1" applyBorder="1" applyAlignment="1">
      <alignment horizontal="center"/>
    </xf>
    <xf fontId="12" fillId="26" borderId="18" numFmtId="165" xfId="0" applyNumberFormat="1" applyFont="1" applyFill="1" applyBorder="1" applyAlignment="1">
      <alignment horizontal="center"/>
    </xf>
    <xf fontId="10" fillId="26" borderId="18" numFmtId="165" xfId="0" applyNumberFormat="1" applyFont="1" applyFill="1" applyBorder="1"/>
    <xf fontId="5" fillId="0" borderId="14" numFmtId="0" xfId="0" applyFont="1" applyBorder="1" applyAlignment="1">
      <alignment horizontal="center"/>
    </xf>
    <xf fontId="3" fillId="27" borderId="18" numFmtId="49" xfId="0" applyNumberFormat="1" applyFont="1" applyFill="1" applyBorder="1" applyAlignment="1">
      <alignment horizontal="center"/>
    </xf>
    <xf fontId="10" fillId="6" borderId="22" numFmtId="49" xfId="0" applyNumberFormat="1" applyFont="1" applyFill="1" applyBorder="1" applyAlignment="1">
      <alignment horizontal="center"/>
    </xf>
    <xf fontId="0" fillId="21" borderId="18" numFmtId="0" xfId="0" applyFill="1" applyBorder="1"/>
    <xf fontId="10" fillId="26" borderId="33" numFmtId="165" xfId="0" applyNumberFormat="1" applyFont="1" applyFill="1" applyBorder="1"/>
    <xf fontId="11" fillId="17" borderId="29" numFmtId="49" xfId="0" applyNumberFormat="1" applyFont="1" applyFill="1" applyBorder="1" applyAlignment="1">
      <alignment horizontal="center"/>
    </xf>
    <xf fontId="3" fillId="0" borderId="0" numFmtId="0" xfId="0" applyFont="1" applyAlignment="1">
      <alignment horizontal="center" vertical="center"/>
    </xf>
    <xf fontId="0" fillId="0" borderId="0" numFmtId="0" xfId="0" applyAlignment="1">
      <alignment horizontal="center"/>
    </xf>
    <xf fontId="3" fillId="0" borderId="34" numFmtId="0" xfId="0" applyFont="1" applyBorder="1" applyAlignment="1">
      <alignment vertical="center"/>
    </xf>
    <xf fontId="3" fillId="5" borderId="18" numFmtId="49" xfId="0" applyNumberFormat="1" applyFont="1" applyFill="1" applyBorder="1" applyAlignment="1">
      <alignment horizontal="center" vertical="center"/>
    </xf>
    <xf fontId="10" fillId="5" borderId="31" numFmtId="165" xfId="0" applyNumberFormat="1" applyFont="1" applyFill="1" applyBorder="1"/>
    <xf fontId="10" fillId="17" borderId="29" numFmtId="49" xfId="0" applyNumberFormat="1" applyFont="1" applyFill="1" applyBorder="1"/>
    <xf fontId="10" fillId="0" borderId="29" numFmtId="49" xfId="0" applyNumberFormat="1" applyFont="1" applyBorder="1"/>
    <xf fontId="10" fillId="0" borderId="29" numFmtId="0" xfId="0" applyFont="1" applyBorder="1"/>
    <xf fontId="10" fillId="0" borderId="31" numFmtId="0" xfId="0" applyFont="1" applyBorder="1"/>
    <xf fontId="9" fillId="0" borderId="20" numFmtId="0" xfId="0" applyFont="1" applyBorder="1" applyAlignment="1">
      <alignment horizontal="center" vertical="center"/>
    </xf>
    <xf fontId="9" fillId="0" borderId="27" numFmtId="0" xfId="0" applyFont="1" applyBorder="1" applyAlignment="1">
      <alignment horizontal="center" vertical="center"/>
    </xf>
    <xf fontId="9" fillId="0" borderId="25" numFmtId="0" xfId="0" applyFont="1" applyBorder="1" applyAlignment="1">
      <alignment horizontal="center" vertical="center"/>
    </xf>
    <xf fontId="3" fillId="0" borderId="2" numFmtId="0" xfId="0" applyFont="1" applyBorder="1" applyAlignment="1">
      <alignment horizontal="center" vertical="center"/>
    </xf>
    <xf fontId="3" fillId="0" borderId="13" numFmtId="0" xfId="0" applyFont="1" applyBorder="1" applyAlignment="1">
      <alignment horizontal="center" vertical="center"/>
    </xf>
    <xf fontId="9" fillId="13" borderId="14" numFmtId="0" xfId="0" applyFont="1" applyFill="1" applyBorder="1" applyAlignment="1">
      <alignment horizontal="center" vertical="center"/>
    </xf>
    <xf fontId="9" fillId="14" borderId="14" numFmtId="0" xfId="0" applyFont="1" applyFill="1" applyBorder="1" applyAlignment="1">
      <alignment horizontal="center" vertical="center"/>
    </xf>
    <xf fontId="9" fillId="13" borderId="15" numFmtId="0" xfId="0" applyFont="1" applyFill="1" applyBorder="1" applyAlignment="1">
      <alignment horizontal="center" vertical="center"/>
    </xf>
    <xf fontId="9" fillId="13" borderId="16" numFmtId="0" xfId="0" applyFont="1" applyFill="1" applyBorder="1" applyAlignment="1">
      <alignment horizontal="center" vertical="center"/>
    </xf>
    <xf fontId="12" fillId="28" borderId="18" numFmtId="165" xfId="0" applyNumberFormat="1" applyFont="1" applyFill="1" applyBorder="1" applyAlignment="1">
      <alignment horizontal="center"/>
    </xf>
    <xf fontId="3" fillId="5" borderId="25" numFmtId="49" xfId="0" applyNumberFormat="1" applyFont="1" applyFill="1" applyBorder="1" applyAlignment="1">
      <alignment horizontal="center" vertical="center"/>
    </xf>
    <xf fontId="5" fillId="6" borderId="0" numFmtId="49" xfId="0" applyNumberFormat="1" applyFont="1" applyFill="1" applyAlignment="1">
      <alignment horizontal="center"/>
    </xf>
    <xf fontId="3" fillId="5" borderId="0" numFmtId="49" xfId="0" applyNumberFormat="1" applyFont="1" applyFill="1" applyAlignment="1">
      <alignment horizontal="center" vertical="center"/>
    </xf>
    <xf fontId="9" fillId="0" borderId="29" numFmtId="0" xfId="0" applyFont="1" applyBorder="1" applyAlignment="1">
      <alignment horizontal="center" vertical="center"/>
    </xf>
    <xf fontId="9" fillId="0" borderId="29" numFmtId="49" xfId="0" applyNumberFormat="1" applyFont="1" applyBorder="1" applyAlignment="1">
      <alignment horizontal="center" vertical="center"/>
    </xf>
    <xf fontId="3" fillId="0" borderId="29" numFmtId="49" xfId="0" applyNumberFormat="1" applyFont="1" applyBorder="1" applyAlignment="1">
      <alignment horizontal="center" vertical="center"/>
    </xf>
    <xf fontId="3" fillId="0" borderId="31" numFmtId="0" xfId="0" applyFont="1" applyBorder="1" applyAlignment="1">
      <alignment horizontal="center" vertical="center"/>
    </xf>
    <xf fontId="9" fillId="0" borderId="15" numFmtId="0" xfId="0" applyFont="1" applyBorder="1" applyAlignment="1">
      <alignment horizontal="center" vertical="center"/>
    </xf>
    <xf fontId="9" fillId="0" borderId="4" numFmtId="0" xfId="0" applyFont="1" applyBorder="1" applyAlignment="1">
      <alignment horizontal="center" vertical="center"/>
    </xf>
    <xf fontId="9" fillId="0" borderId="16" numFmtId="0" xfId="0" applyFont="1" applyBorder="1" applyAlignment="1">
      <alignment horizontal="center" vertical="center"/>
    </xf>
    <xf fontId="3" fillId="23" borderId="0" numFmtId="49" xfId="0" applyNumberFormat="1" applyFont="1" applyFill="1" applyAlignment="1">
      <alignment horizontal="center"/>
    </xf>
    <xf fontId="5" fillId="23" borderId="18" numFmtId="49" xfId="0" applyNumberFormat="1" applyFont="1" applyFill="1" applyBorder="1" applyAlignment="1">
      <alignment horizontal="center"/>
    </xf>
    <xf fontId="5" fillId="23" borderId="0" numFmtId="49" xfId="0" applyNumberFormat="1" applyFont="1" applyFill="1" applyAlignment="1">
      <alignment horizontal="center"/>
    </xf>
    <xf fontId="3" fillId="0" borderId="18" numFmtId="2" xfId="0" applyNumberFormat="1" applyFont="1" applyBorder="1" applyAlignment="1">
      <alignment horizontal="center"/>
    </xf>
    <xf fontId="3" fillId="20" borderId="18" numFmtId="2" xfId="0" applyNumberFormat="1" applyFont="1" applyFill="1" applyBorder="1" applyAlignment="1">
      <alignment horizontal="center"/>
    </xf>
    <xf fontId="3" fillId="21" borderId="18" numFmtId="2" xfId="0" applyNumberFormat="1" applyFont="1" applyFill="1" applyBorder="1" applyAlignment="1">
      <alignment horizontal="center"/>
    </xf>
    <xf fontId="3" fillId="29" borderId="0" numFmtId="49" xfId="0" applyNumberFormat="1" applyFont="1" applyFill="1" applyAlignment="1">
      <alignment horizontal="center"/>
    </xf>
    <xf fontId="3" fillId="29" borderId="18" numFmtId="2" xfId="0" applyNumberFormat="1" applyFont="1" applyFill="1" applyBorder="1" applyAlignment="1">
      <alignment horizontal="center"/>
    </xf>
    <xf fontId="3" fillId="22" borderId="18" numFmtId="2" xfId="0" applyNumberFormat="1" applyFont="1" applyFill="1" applyBorder="1" applyAlignment="1">
      <alignment horizontal="center"/>
    </xf>
    <xf fontId="11" fillId="17" borderId="18" numFmtId="1" xfId="0" applyNumberFormat="1" applyFont="1" applyFill="1" applyBorder="1" applyAlignment="1">
      <alignment horizontal="center"/>
    </xf>
    <xf fontId="10" fillId="5" borderId="35" numFmtId="165" xfId="0" applyNumberFormat="1" applyFont="1" applyFill="1" applyBorder="1"/>
    <xf fontId="3" fillId="0" borderId="20" numFmtId="0" xfId="0" applyFont="1" applyBorder="1" applyAlignment="1">
      <alignment horizontal="center" vertical="center"/>
    </xf>
    <xf fontId="5" fillId="5" borderId="25" numFmtId="49" xfId="0" applyNumberFormat="1" applyFont="1" applyFill="1" applyBorder="1" applyAlignment="1">
      <alignment horizontal="center"/>
    </xf>
    <xf fontId="5" fillId="4" borderId="18" numFmtId="49" xfId="0" applyNumberFormat="1" applyFont="1" applyFill="1" applyBorder="1" applyAlignment="1">
      <alignment horizontal="center"/>
    </xf>
    <xf fontId="3" fillId="23" borderId="18" numFmtId="49" xfId="0" applyNumberFormat="1" applyFont="1" applyFill="1" applyBorder="1" applyAlignment="1">
      <alignment horizontal="center" vertical="center"/>
    </xf>
    <xf fontId="5" fillId="0" borderId="15" numFmtId="0" xfId="0" applyFont="1" applyBorder="1" applyAlignment="1">
      <alignment horizontal="center"/>
    </xf>
    <xf fontId="3" fillId="16" borderId="0" numFmtId="49" xfId="0" applyNumberFormat="1" applyFont="1" applyFill="1" applyAlignment="1">
      <alignment horizontal="center"/>
    </xf>
    <xf fontId="3" fillId="16" borderId="22" numFmtId="49" xfId="0" applyNumberFormat="1" applyFont="1" applyFill="1" applyBorder="1" applyAlignment="1">
      <alignment horizontal="center"/>
    </xf>
    <xf fontId="3" fillId="30" borderId="18" numFmtId="49" xfId="0" applyNumberFormat="1" applyFont="1" applyFill="1" applyBorder="1" applyAlignment="1">
      <alignment horizontal="center"/>
    </xf>
    <xf fontId="5" fillId="30" borderId="18" numFmtId="49" xfId="0" applyNumberFormat="1" applyFont="1" applyFill="1" applyBorder="1" applyAlignment="1">
      <alignment horizontal="center"/>
    </xf>
    <xf fontId="11" fillId="16" borderId="36" numFmtId="49" xfId="0" applyNumberFormat="1" applyFont="1" applyFill="1" applyBorder="1" applyAlignment="1">
      <alignment horizontal="center"/>
    </xf>
    <xf fontId="11" fillId="16" borderId="37" numFmtId="49" xfId="0" applyNumberFormat="1" applyFont="1" applyFill="1" applyBorder="1" applyAlignment="1">
      <alignment horizontal="center"/>
    </xf>
    <xf fontId="11" fillId="19" borderId="36" numFmtId="49" xfId="0" applyNumberFormat="1" applyFont="1" applyFill="1" applyBorder="1" applyAlignment="1">
      <alignment horizontal="center"/>
    </xf>
    <xf fontId="11" fillId="19" borderId="37" numFmtId="49" xfId="0" applyNumberFormat="1" applyFont="1" applyFill="1" applyBorder="1" applyAlignment="1">
      <alignment horizontal="center"/>
    </xf>
    <xf fontId="9" fillId="19" borderId="37" numFmtId="49" xfId="0" applyNumberFormat="1" applyFont="1" applyFill="1" applyBorder="1" applyAlignment="1">
      <alignment horizontal="center" vertical="center"/>
    </xf>
    <xf fontId="11" fillId="0" borderId="2" numFmtId="0" xfId="0" applyFont="1" applyBorder="1" applyAlignment="1">
      <alignment horizontal="center"/>
    </xf>
    <xf fontId="11" fillId="13" borderId="20" numFmtId="0" xfId="0" applyFont="1" applyFill="1" applyBorder="1" applyAlignment="1">
      <alignment horizontal="center"/>
    </xf>
    <xf fontId="11" fillId="13" borderId="25" numFmtId="0" xfId="0" applyFont="1" applyFill="1" applyBorder="1" applyAlignment="1">
      <alignment horizontal="center"/>
    </xf>
    <xf fontId="12" fillId="5" borderId="33" numFmtId="165" xfId="0" applyNumberFormat="1" applyFont="1" applyFill="1" applyBorder="1" applyAlignment="1">
      <alignment horizontal="center"/>
    </xf>
    <xf fontId="12" fillId="5" borderId="38" numFmtId="165" xfId="0" applyNumberFormat="1" applyFont="1" applyFill="1" applyBorder="1" applyAlignment="1">
      <alignment horizontal="center"/>
    </xf>
    <xf fontId="10" fillId="5" borderId="33" numFmtId="165" xfId="0" applyNumberFormat="1" applyFont="1" applyFill="1" applyBorder="1"/>
    <xf fontId="11" fillId="13" borderId="2" numFmtId="49" xfId="0" applyNumberFormat="1" applyFont="1" applyFill="1" applyBorder="1" applyAlignment="1">
      <alignment horizontal="center"/>
    </xf>
    <xf fontId="11" fillId="13" borderId="2" numFmtId="0" xfId="0" applyFont="1" applyFill="1" applyBorder="1" applyAlignment="1">
      <alignment horizontal="center"/>
    </xf>
    <xf fontId="10" fillId="0" borderId="2" numFmtId="14" xfId="0" applyNumberFormat="1" applyFont="1" applyBorder="1"/>
    <xf fontId="10" fillId="0" borderId="14" numFmtId="0" xfId="0" applyFont="1" applyBorder="1"/>
    <xf fontId="11" fillId="18" borderId="37" numFmtId="49" xfId="0" applyNumberFormat="1" applyFont="1" applyFill="1" applyBorder="1" applyAlignment="1">
      <alignment horizontal="center"/>
    </xf>
    <xf fontId="11" fillId="17" borderId="21" numFmtId="49" xfId="0" applyNumberFormat="1" applyFont="1" applyFill="1" applyBorder="1" applyAlignment="1">
      <alignment horizontal="center"/>
    </xf>
    <xf fontId="11" fillId="0" borderId="37" numFmtId="49" xfId="0" applyNumberFormat="1" applyFont="1" applyBorder="1" applyAlignment="1">
      <alignment horizontal="center"/>
    </xf>
    <xf fontId="11" fillId="17" borderId="39" numFmtId="49" xfId="0" applyNumberFormat="1" applyFont="1" applyFill="1" applyBorder="1" applyAlignment="1">
      <alignment horizontal="center"/>
    </xf>
    <xf fontId="5" fillId="0" borderId="13" numFmtId="1" xfId="0" applyNumberFormat="1" applyFont="1" applyBorder="1" applyAlignment="1">
      <alignment horizontal="center"/>
    </xf>
    <xf fontId="11" fillId="0" borderId="40" numFmtId="49" xfId="0" applyNumberFormat="1" applyFont="1" applyBorder="1" applyAlignment="1">
      <alignment horizontal="center"/>
    </xf>
    <xf fontId="14" fillId="30" borderId="18" numFmtId="49" xfId="0" applyNumberFormat="1" applyFont="1" applyFill="1" applyBorder="1" applyAlignment="1">
      <alignment horizontal="center"/>
    </xf>
    <xf fontId="6" fillId="30" borderId="18" numFmtId="49" xfId="0" applyNumberFormat="1" applyFont="1" applyFill="1" applyBorder="1" applyAlignment="1">
      <alignment horizontal="center"/>
    </xf>
    <xf fontId="0" fillId="6" borderId="18" numFmtId="0" xfId="0" applyFill="1" applyBorder="1"/>
    <xf fontId="1" fillId="6" borderId="18" numFmtId="0" xfId="0" applyFont="1" applyFill="1" applyBorder="1" applyAlignment="1">
      <alignment horizontal="center"/>
    </xf>
    <xf fontId="5" fillId="0" borderId="0" numFmtId="1" xfId="0" applyNumberFormat="1" applyFont="1" applyAlignment="1">
      <alignment horizontal="center"/>
    </xf>
    <xf fontId="11" fillId="17" borderId="41" numFmtId="49" xfId="0" applyNumberFormat="1" applyFont="1" applyFill="1" applyBorder="1" applyAlignment="1">
      <alignment horizontal="center"/>
    </xf>
    <xf fontId="5" fillId="0" borderId="29" numFmtId="1" xfId="0" applyNumberFormat="1" applyFont="1" applyBorder="1" applyAlignment="1">
      <alignment horizontal="center"/>
    </xf>
    <xf fontId="11" fillId="0" borderId="36" numFmtId="49" xfId="0" applyNumberFormat="1" applyFont="1" applyBorder="1" applyAlignment="1">
      <alignment horizontal="center"/>
    </xf>
    <xf fontId="10" fillId="5" borderId="38" numFmtId="165" xfId="0" applyNumberFormat="1" applyFont="1" applyFill="1" applyBorder="1"/>
    <xf fontId="10" fillId="17" borderId="2" numFmtId="49" xfId="0" applyNumberFormat="1" applyFont="1" applyFill="1" applyBorder="1"/>
    <xf fontId="10" fillId="0" borderId="2" numFmtId="49" xfId="0" applyNumberFormat="1" applyFont="1" applyBorder="1"/>
    <xf fontId="9" fillId="13" borderId="20" numFmtId="0" xfId="0" applyFont="1" applyFill="1" applyBorder="1" applyAlignment="1">
      <alignment horizontal="center" vertical="center"/>
    </xf>
    <xf fontId="9" fillId="13" borderId="25" numFmtId="0" xfId="0" applyFont="1" applyFill="1" applyBorder="1" applyAlignment="1">
      <alignment horizontal="center" vertical="center"/>
    </xf>
    <xf fontId="9" fillId="13" borderId="2" numFmtId="49" xfId="0" applyNumberFormat="1" applyFont="1" applyFill="1" applyBorder="1" applyAlignment="1">
      <alignment horizontal="center" vertical="center"/>
    </xf>
    <xf fontId="9" fillId="13" borderId="2" numFmtId="0" xfId="0" applyFont="1" applyFill="1" applyBorder="1" applyAlignment="1">
      <alignment horizontal="center" vertical="center"/>
    </xf>
    <xf fontId="3" fillId="0" borderId="2" numFmtId="14" xfId="0" applyNumberFormat="1" applyFont="1" applyBorder="1" applyAlignment="1">
      <alignment horizontal="center" vertical="center"/>
    </xf>
    <xf fontId="3" fillId="0" borderId="14" numFmtId="0" xfId="0" applyFont="1" applyBorder="1" applyAlignment="1">
      <alignment horizontal="center" vertical="center"/>
    </xf>
    <xf fontId="5" fillId="0" borderId="39" numFmtId="1" xfId="0" applyNumberFormat="1" applyFont="1" applyBorder="1" applyAlignment="1">
      <alignment horizontal="center"/>
    </xf>
    <xf fontId="13" fillId="17" borderId="25" numFmtId="0" xfId="0" applyFont="1" applyFill="1" applyBorder="1"/>
    <xf fontId="5" fillId="0" borderId="25" numFmtId="0" xfId="0" applyFont="1" applyBorder="1"/>
    <xf fontId="3" fillId="6" borderId="18" numFmtId="49" xfId="0" applyNumberFormat="1" applyFont="1" applyFill="1" applyBorder="1" applyAlignment="1">
      <alignment horizontal="center" vertical="center"/>
    </xf>
    <xf fontId="5" fillId="0" borderId="41" numFmtId="1" xfId="0" applyNumberFormat="1" applyFont="1" applyBorder="1" applyAlignment="1">
      <alignment horizontal="center"/>
    </xf>
    <xf fontId="9" fillId="0" borderId="2" numFmtId="0" xfId="0" applyFont="1" applyBorder="1" applyAlignment="1">
      <alignment horizontal="center" vertical="center"/>
    </xf>
    <xf fontId="9" fillId="0" borderId="2" numFmtId="49" xfId="0" applyNumberFormat="1" applyFont="1" applyBorder="1" applyAlignment="1">
      <alignment horizontal="center" vertical="center"/>
    </xf>
    <xf fontId="3" fillId="0" borderId="2" numFmtId="49" xfId="0" applyNumberFormat="1" applyFont="1" applyBorder="1" applyAlignment="1">
      <alignment horizontal="center" vertical="center"/>
    </xf>
    <xf fontId="5" fillId="0" borderId="20" numFmtId="0" xfId="0" applyFont="1" applyBorder="1" applyAlignment="1">
      <alignment horizontal="center"/>
    </xf>
    <xf fontId="5" fillId="0" borderId="2" numFmtId="14" xfId="0" applyNumberFormat="1" applyFont="1" applyBorder="1" applyAlignment="1">
      <alignment horizontal="center"/>
    </xf>
    <xf fontId="11" fillId="24" borderId="37" numFmtId="49" xfId="0" applyNumberFormat="1" applyFont="1" applyFill="1" applyBorder="1" applyAlignment="1">
      <alignment horizontal="center"/>
    </xf>
    <xf fontId="5" fillId="5" borderId="0" numFmtId="49" xfId="0" applyNumberFormat="1" applyFont="1" applyFill="1" applyAlignment="1">
      <alignment horizontal="center"/>
    </xf>
    <xf fontId="9" fillId="24" borderId="37" numFmtId="49" xfId="0" applyNumberFormat="1" applyFont="1" applyFill="1" applyBorder="1" applyAlignment="1">
      <alignment horizontal="center" vertical="center"/>
    </xf>
    <xf fontId="11" fillId="17" borderId="2" numFmtId="49" xfId="0" applyNumberFormat="1" applyFont="1" applyFill="1" applyBorder="1" applyAlignment="1">
      <alignment horizontal="center"/>
    </xf>
    <xf fontId="5" fillId="0" borderId="2" numFmtId="49" xfId="0" applyNumberFormat="1" applyFont="1" applyBorder="1" applyAlignment="1">
      <alignment horizontal="center"/>
    </xf>
    <xf fontId="3" fillId="31" borderId="18" numFmtId="49" xfId="0" applyNumberFormat="1" applyFont="1" applyFill="1" applyBorder="1" applyAlignment="1">
      <alignment horizontal="center"/>
    </xf>
    <xf fontId="3" fillId="4" borderId="18" numFmtId="49" xfId="0" applyNumberFormat="1" applyFont="1" applyFill="1" applyBorder="1" applyAlignment="1">
      <alignment horizontal="center"/>
    </xf>
    <xf fontId="5" fillId="20" borderId="18" numFmtId="49" xfId="0" applyNumberFormat="1" applyFont="1" applyFill="1" applyBorder="1" applyAlignment="1">
      <alignment horizontal="center"/>
    </xf>
    <xf fontId="3" fillId="22" borderId="28" numFmtId="49" xfId="0" applyNumberFormat="1" applyFont="1" applyFill="1" applyBorder="1" applyAlignment="1">
      <alignment horizontal="center" vertical="center"/>
    </xf>
    <xf fontId="3" fillId="22" borderId="0" numFmtId="49" xfId="0" applyNumberFormat="1" applyFont="1" applyFill="1" applyAlignment="1">
      <alignment horizontal="center" vertical="center"/>
    </xf>
    <xf fontId="3" fillId="16" borderId="42" numFmtId="49" xfId="0" applyNumberFormat="1" applyFont="1" applyFill="1" applyBorder="1" applyAlignment="1">
      <alignment horizontal="center"/>
    </xf>
    <xf fontId="5" fillId="0" borderId="0" numFmtId="49" xfId="0" applyNumberFormat="1" applyFont="1" applyAlignment="1">
      <alignment horizontal="center"/>
    </xf>
    <xf fontId="10" fillId="5" borderId="0" numFmtId="49" xfId="0" applyNumberFormat="1" applyFont="1" applyFill="1" applyAlignment="1">
      <alignment horizontal="center"/>
    </xf>
    <xf fontId="5" fillId="6" borderId="42" numFmtId="49" xfId="0" applyNumberFormat="1" applyFont="1" applyFill="1" applyBorder="1" applyAlignment="1">
      <alignment horizontal="center"/>
    </xf>
    <xf fontId="10" fillId="6" borderId="28" numFmtId="49" xfId="0" applyNumberFormat="1" applyFont="1" applyFill="1" applyBorder="1" applyAlignment="1">
      <alignment horizontal="center"/>
    </xf>
    <xf fontId="3" fillId="6" borderId="0" numFmtId="49" xfId="0" applyNumberFormat="1" applyFont="1" applyFill="1" applyAlignment="1">
      <alignment horizontal="center" vertical="center"/>
    </xf>
    <xf fontId="10" fillId="5" borderId="28" numFmtId="49" xfId="0" applyNumberFormat="1" applyFont="1" applyFill="1" applyBorder="1" applyAlignment="1">
      <alignment horizontal="center"/>
    </xf>
    <xf fontId="11" fillId="18" borderId="43" numFmtId="49" xfId="0" applyNumberFormat="1" applyFont="1" applyFill="1" applyBorder="1" applyAlignment="1">
      <alignment horizontal="center"/>
    </xf>
    <xf fontId="10" fillId="6" borderId="0" numFmtId="49" xfId="0" applyNumberFormat="1" applyFont="1" applyFill="1" applyAlignment="1">
      <alignment horizontal="center"/>
    </xf>
    <xf fontId="5" fillId="5" borderId="42" numFmtId="49" xfId="0" applyNumberFormat="1" applyFont="1" applyFill="1" applyBorder="1" applyAlignment="1">
      <alignment horizontal="center"/>
    </xf>
    <xf fontId="3" fillId="27" borderId="0" numFmtId="49" xfId="0" applyNumberFormat="1" applyFont="1" applyFill="1" applyAlignment="1">
      <alignment horizontal="center"/>
    </xf>
    <xf fontId="11" fillId="16" borderId="40" numFmtId="49" xfId="0" applyNumberFormat="1" applyFont="1" applyFill="1" applyBorder="1" applyAlignment="1">
      <alignment horizontal="center"/>
    </xf>
    <xf fontId="11" fillId="30" borderId="18" numFmtId="49" xfId="0" applyNumberFormat="1" applyFont="1" applyFill="1" applyBorder="1" applyAlignment="1">
      <alignment horizontal="center"/>
    </xf>
    <xf fontId="3" fillId="0" borderId="0" numFmtId="49" xfId="0" applyNumberFormat="1" applyFont="1" applyAlignment="1">
      <alignment horizontal="center"/>
    </xf>
    <xf fontId="11" fillId="24" borderId="36" numFmtId="49" xfId="0" applyNumberFormat="1" applyFont="1" applyFill="1" applyBorder="1" applyAlignment="1">
      <alignment horizontal="center"/>
    </xf>
    <xf fontId="3" fillId="30" borderId="18" numFmtId="49" xfId="0" applyNumberFormat="1" applyFont="1" applyFill="1" applyBorder="1" applyAlignment="1">
      <alignment horizontal="center" vertical="center"/>
    </xf>
    <xf fontId="5" fillId="5" borderId="44" numFmtId="49" xfId="0" applyNumberFormat="1" applyFont="1" applyFill="1" applyBorder="1" applyAlignment="1">
      <alignment horizontal="center"/>
    </xf>
    <xf fontId="3" fillId="5" borderId="44" numFmtId="49" xfId="0" applyNumberFormat="1" applyFont="1" applyFill="1" applyBorder="1" applyAlignment="1">
      <alignment horizontal="center"/>
    </xf>
    <xf fontId="11" fillId="19" borderId="20" numFmtId="49" xfId="0" applyNumberFormat="1" applyFont="1" applyFill="1" applyBorder="1" applyAlignment="1">
      <alignment horizontal="center"/>
    </xf>
    <xf fontId="0" fillId="0" borderId="2" numFmtId="0" xfId="0" applyBorder="1" applyAlignment="1">
      <alignment horizontal="center"/>
    </xf>
    <xf fontId="0" fillId="0" borderId="2" numFmtId="0" xfId="0" applyBorder="1" applyAlignment="1">
      <alignment horizontal="center" vertical="center"/>
    </xf>
    <xf fontId="10" fillId="5" borderId="45" numFmtId="49" xfId="0" applyNumberFormat="1" applyFont="1" applyFill="1" applyBorder="1" applyAlignment="1">
      <alignment horizontal="center"/>
    </xf>
    <xf fontId="3" fillId="0" borderId="43" numFmtId="49" xfId="0" applyNumberFormat="1" applyFont="1" applyBorder="1" applyAlignment="1">
      <alignment horizontal="center" vertical="center"/>
    </xf>
    <xf fontId="5" fillId="30" borderId="0" numFmtId="49" xfId="0" applyNumberFormat="1" applyFont="1" applyFill="1" applyAlignment="1">
      <alignment horizontal="center"/>
    </xf>
    <xf fontId="11" fillId="0" borderId="20" numFmtId="0" xfId="0" applyFont="1" applyBorder="1" applyAlignment="1">
      <alignment horizontal="center"/>
    </xf>
    <xf fontId="11" fillId="17" borderId="25" numFmtId="49" xfId="0" applyNumberFormat="1" applyFont="1" applyFill="1" applyBorder="1" applyAlignment="1">
      <alignment horizontal="center"/>
    </xf>
    <xf fontId="5" fillId="0" borderId="20" numFmtId="1" xfId="0" applyNumberFormat="1" applyFont="1" applyBorder="1" applyAlignment="1">
      <alignment horizontal="center"/>
    </xf>
    <xf fontId="5" fillId="0" borderId="25" numFmtId="14" xfId="0" applyNumberFormat="1" applyFont="1" applyBorder="1" applyAlignment="1">
      <alignment horizontal="center"/>
    </xf>
    <xf fontId="11" fillId="0" borderId="46" numFmtId="49" xfId="0" applyNumberFormat="1" applyFont="1" applyBorder="1" applyAlignment="1">
      <alignment horizontal="center"/>
    </xf>
    <xf fontId="11" fillId="17" borderId="44" numFmtId="49" xfId="0" applyNumberFormat="1" applyFont="1" applyFill="1" applyBorder="1" applyAlignment="1">
      <alignment horizontal="center"/>
    </xf>
    <xf fontId="11" fillId="0" borderId="22" numFmtId="49" xfId="0" applyNumberFormat="1" applyFont="1" applyBorder="1" applyAlignment="1">
      <alignment horizontal="center"/>
    </xf>
    <xf fontId="0" fillId="0" borderId="44" numFmtId="0" xfId="0" applyBorder="1"/>
    <xf fontId="5" fillId="5" borderId="28" numFmtId="49" xfId="0" applyNumberFormat="1" applyFont="1" applyFill="1" applyBorder="1" applyAlignment="1">
      <alignment horizontal="center"/>
    </xf>
    <xf fontId="0" fillId="0" borderId="47" numFmtId="0" xfId="0" applyBorder="1"/>
    <xf fontId="5" fillId="6" borderId="2" numFmtId="49" xfId="0" applyNumberFormat="1" applyFont="1" applyFill="1" applyBorder="1" applyAlignment="1">
      <alignment horizontal="center"/>
    </xf>
    <xf fontId="3" fillId="6" borderId="2" numFmtId="49" xfId="0" applyNumberFormat="1" applyFont="1" applyFill="1" applyBorder="1" applyAlignment="1">
      <alignment horizontal="center"/>
    </xf>
    <xf fontId="12" fillId="5" borderId="43" numFmtId="165" xfId="0" applyNumberFormat="1" applyFont="1" applyFill="1" applyBorder="1" applyAlignment="1">
      <alignment horizontal="center"/>
    </xf>
    <xf fontId="11" fillId="0" borderId="25" numFmtId="0" xfId="0" applyFont="1" applyBorder="1" applyAlignment="1">
      <alignment horizontal="center"/>
    </xf>
    <xf fontId="9" fillId="0" borderId="48" numFmtId="0" xfId="0" applyFont="1" applyBorder="1" applyAlignment="1">
      <alignment horizontal="center" vertical="center"/>
    </xf>
    <xf fontId="5" fillId="0" borderId="13" numFmtId="0" xfId="0" applyFont="1" applyBorder="1"/>
    <xf fontId="5" fillId="5" borderId="22" numFmtId="49" xfId="0" applyNumberFormat="1" applyFont="1" applyFill="1" applyBorder="1" applyAlignment="1">
      <alignment horizontal="center"/>
    </xf>
    <xf fontId="11" fillId="19" borderId="43" numFmtId="49" xfId="0" applyNumberFormat="1" applyFont="1" applyFill="1" applyBorder="1" applyAlignment="1">
      <alignment horizontal="center"/>
    </xf>
    <xf fontId="3" fillId="0" borderId="0" numFmtId="49" xfId="0" applyNumberFormat="1" applyFont="1" applyAlignment="1">
      <alignment horizontal="center" vertical="center"/>
    </xf>
    <xf fontId="11" fillId="17" borderId="43" numFmtId="49" xfId="0" applyNumberFormat="1" applyFont="1" applyFill="1" applyBorder="1" applyAlignment="1">
      <alignment horizontal="center"/>
    </xf>
    <xf fontId="5" fillId="0" borderId="43" numFmtId="1" xfId="0" applyNumberFormat="1" applyFont="1" applyBorder="1" applyAlignment="1">
      <alignment horizontal="center"/>
    </xf>
    <xf fontId="11" fillId="0" borderId="43" numFmtId="49" xfId="0" applyNumberFormat="1" applyFont="1" applyBorder="1" applyAlignment="1">
      <alignment horizontal="center"/>
    </xf>
    <xf fontId="5" fillId="0" borderId="43" numFmtId="0" xfId="0" applyFont="1" applyBorder="1"/>
    <xf fontId="3" fillId="5" borderId="42" numFmtId="49" xfId="0" applyNumberFormat="1" applyFont="1" applyFill="1" applyBorder="1" applyAlignment="1">
      <alignment horizontal="center"/>
    </xf>
    <xf fontId="5" fillId="0" borderId="29" numFmtId="0" xfId="0" applyFont="1" applyBorder="1"/>
    <xf fontId="11" fillId="13" borderId="25" numFmtId="49" xfId="0" applyNumberFormat="1" applyFont="1" applyFill="1" applyBorder="1" applyAlignment="1">
      <alignment horizontal="center"/>
    </xf>
    <xf fontId="3" fillId="2" borderId="0" numFmtId="49" xfId="0" applyNumberFormat="1" applyFont="1" applyFill="1" applyAlignment="1">
      <alignment horizontal="center"/>
    </xf>
    <xf fontId="3" fillId="2" borderId="22" numFmtId="49" xfId="0" applyNumberFormat="1" applyFont="1" applyFill="1" applyBorder="1" applyAlignment="1">
      <alignment horizontal="center"/>
    </xf>
    <xf fontId="3" fillId="0" borderId="38" numFmtId="0" xfId="0" applyFont="1" applyBorder="1" applyAlignment="1">
      <alignment horizontal="center" vertical="center"/>
    </xf>
    <xf fontId="11" fillId="13" borderId="27" numFmtId="0" xfId="0" applyFont="1" applyFill="1" applyBorder="1" applyAlignment="1">
      <alignment horizontal="center"/>
    </xf>
    <xf fontId="3" fillId="0" borderId="18" numFmtId="0" xfId="0" applyFont="1" applyBorder="1" applyAlignment="1">
      <alignment vertical="center"/>
    </xf>
    <xf fontId="0" fillId="21" borderId="0" numFmtId="0" xfId="0" applyFill="1"/>
    <xf fontId="10" fillId="20" borderId="0" numFmtId="49" xfId="0" applyNumberFormat="1" applyFont="1" applyFill="1" applyAlignment="1">
      <alignment horizontal="center"/>
    </xf>
    <xf fontId="5" fillId="0" borderId="37" numFmtId="0" xfId="0" applyFont="1" applyBorder="1" applyAlignment="1">
      <alignment horizontal="center"/>
    </xf>
    <xf fontId="11" fillId="13" borderId="21" numFmtId="49" xfId="0" applyNumberFormat="1" applyFont="1" applyFill="1" applyBorder="1" applyAlignment="1">
      <alignment horizontal="center"/>
    </xf>
    <xf fontId="5" fillId="32" borderId="18" numFmtId="49" xfId="0" applyNumberFormat="1" applyFont="1" applyFill="1" applyBorder="1" applyAlignment="1">
      <alignment horizontal="center"/>
    </xf>
    <xf fontId="1" fillId="0" borderId="18" numFmtId="0" xfId="0" applyFont="1" applyBorder="1">
      <protection hidden="0" locked="1"/>
    </xf>
    <xf fontId="5" fillId="32" borderId="0" numFmtId="49" xfId="0" applyNumberFormat="1" applyFont="1" applyFill="1" applyAlignment="1">
      <alignment horizontal="center"/>
    </xf>
    <xf fontId="11" fillId="0" borderId="49" numFmtId="49" xfId="0" applyNumberFormat="1" applyFont="1" applyBorder="1" applyAlignment="1">
      <alignment horizontal="center"/>
    </xf>
    <xf fontId="0" fillId="0" borderId="18" numFmtId="0" xfId="0" applyBorder="1">
      <protection hidden="0" locked="1"/>
    </xf>
    <xf fontId="1" fillId="6" borderId="18" numFmtId="0" xfId="0" applyFont="1" applyFill="1" applyBorder="1" applyAlignment="1">
      <alignment horizontal="center" vertical="center"/>
    </xf>
    <xf fontId="1" fillId="0" borderId="18" numFmtId="0" xfId="0" applyFont="1" applyBorder="1"/>
    <xf fontId="15" fillId="0" borderId="18" numFmtId="49" xfId="0" applyNumberFormat="1" applyFont="1" applyBorder="1" applyAlignment="1">
      <alignment horizontal="center"/>
    </xf>
    <xf fontId="16" fillId="0" borderId="18" numFmtId="0" xfId="0" applyFont="1" applyBorder="1" applyAlignment="1">
      <alignment horizontal="center" vertical="center"/>
    </xf>
    <xf fontId="0" fillId="0" borderId="0" numFmtId="0" xfId="0">
      <protection hidden="0" locked="1"/>
    </xf>
    <xf fontId="1" fillId="5" borderId="18" numFmtId="0" xfId="0" applyFont="1" applyFill="1" applyBorder="1" applyAlignment="1">
      <alignment horizontal="center" vertical="center"/>
    </xf>
    <xf fontId="1" fillId="0" borderId="18" numFmtId="0" xfId="0" applyFont="1" applyBorder="1" applyAlignment="1">
      <alignment horizontal="center" vertical="center"/>
    </xf>
    <xf fontId="5" fillId="0" borderId="14" numFmtId="0" xfId="0" applyFont="1" applyBorder="1"/>
    <xf fontId="11" fillId="0" borderId="50" numFmtId="0" xfId="0" applyFont="1" applyBorder="1" applyAlignment="1">
      <alignment horizontal="center"/>
    </xf>
    <xf fontId="11" fillId="17" borderId="51" numFmtId="49" xfId="0" applyNumberFormat="1" applyFont="1" applyFill="1" applyBorder="1" applyAlignment="1">
      <alignment horizontal="center"/>
    </xf>
    <xf fontId="5" fillId="0" borderId="14" numFmtId="49" xfId="0" applyNumberFormat="1" applyFont="1" applyBorder="1" applyAlignment="1">
      <alignment horizontal="center"/>
    </xf>
    <xf fontId="5" fillId="0" borderId="37" numFmtId="1" xfId="0" applyNumberFormat="1" applyFont="1" applyBorder="1" applyAlignment="1">
      <alignment horizontal="center"/>
    </xf>
    <xf fontId="9" fillId="0" borderId="47" numFmtId="0" xfId="0" applyFont="1" applyBorder="1" applyAlignment="1">
      <alignment horizontal="center" vertical="center"/>
    </xf>
    <xf fontId="9" fillId="0" borderId="52" numFmtId="0" xfId="0" applyFont="1" applyBorder="1" applyAlignment="1">
      <alignment horizontal="center" vertical="center"/>
    </xf>
    <xf fontId="9" fillId="0" borderId="45" numFmtId="0" xfId="0" applyFont="1" applyBorder="1" applyAlignment="1">
      <alignment horizontal="center" vertical="center"/>
    </xf>
    <xf fontId="3" fillId="0" borderId="21" numFmtId="0" xfId="0" applyFont="1" applyBorder="1" applyAlignment="1">
      <alignment horizontal="center" vertical="center"/>
    </xf>
    <xf fontId="3" fillId="0" borderId="25" numFmtId="1" xfId="0" applyNumberFormat="1" applyFont="1" applyBorder="1" applyAlignment="1">
      <alignment horizontal="center" vertical="center"/>
    </xf>
    <xf fontId="3" fillId="0" borderId="29" numFmtId="0" xfId="0" applyFont="1" applyBorder="1" applyAlignment="1">
      <alignment vertical="center"/>
    </xf>
    <xf fontId="9" fillId="13" borderId="47" numFmtId="0" xfId="0" applyFont="1" applyFill="1" applyBorder="1" applyAlignment="1">
      <alignment horizontal="center" vertical="center"/>
    </xf>
    <xf fontId="9" fillId="13" borderId="45" numFmtId="0" xfId="0" applyFont="1" applyFill="1" applyBorder="1" applyAlignment="1">
      <alignment horizontal="center" vertical="center"/>
    </xf>
    <xf fontId="3" fillId="0" borderId="53" numFmtId="0" xfId="0" applyFont="1" applyBorder="1" applyAlignment="1">
      <alignment horizontal="center" vertical="center"/>
    </xf>
    <xf fontId="17" fillId="5" borderId="18" numFmtId="165" xfId="0" applyNumberFormat="1" applyFont="1" applyFill="1" applyBorder="1" applyAlignment="1">
      <alignment horizontal="center"/>
    </xf>
    <xf fontId="9" fillId="13" borderId="53" numFmtId="49" xfId="0" applyNumberFormat="1" applyFont="1" applyFill="1" applyBorder="1" applyAlignment="1">
      <alignment horizontal="center" vertical="center"/>
    </xf>
    <xf fontId="9" fillId="13" borderId="53" numFmtId="0" xfId="0" applyFont="1" applyFill="1" applyBorder="1" applyAlignment="1">
      <alignment horizontal="center" vertical="center"/>
    </xf>
    <xf fontId="3" fillId="0" borderId="21" numFmtId="166" xfId="0" applyNumberFormat="1" applyFont="1" applyBorder="1" applyAlignment="1">
      <alignment horizontal="center" vertical="center"/>
    </xf>
    <xf fontId="3" fillId="32" borderId="18" numFmtId="49" xfId="0" applyNumberFormat="1" applyFont="1" applyFill="1" applyBorder="1" applyAlignment="1">
      <alignment horizontal="center"/>
    </xf>
    <xf fontId="1" fillId="0" borderId="0" numFmtId="0" xfId="0" applyFont="1">
      <protection hidden="0" locked="1"/>
    </xf>
    <xf fontId="11" fillId="0" borderId="28" numFmtId="49" xfId="0" applyNumberFormat="1" applyFont="1" applyBorder="1" applyAlignment="1">
      <alignment horizontal="center"/>
    </xf>
    <xf fontId="3" fillId="32" borderId="0" numFmtId="49" xfId="0" applyNumberFormat="1" applyFont="1" applyFill="1" applyAlignment="1">
      <alignment horizontal="center"/>
    </xf>
    <xf fontId="1" fillId="0" borderId="42" numFmtId="0" xfId="0" applyFont="1" applyBorder="1">
      <protection hidden="0" locked="1"/>
    </xf>
    <xf fontId="5" fillId="6" borderId="22" numFmtId="49" xfId="0" applyNumberFormat="1" applyFont="1" applyFill="1" applyBorder="1" applyAlignment="1">
      <alignment horizontal="center"/>
    </xf>
    <xf fontId="5" fillId="2" borderId="0" numFmtId="49" xfId="0" applyNumberFormat="1" applyFont="1" applyFill="1" applyAlignment="1">
      <alignment horizontal="center"/>
    </xf>
    <xf fontId="6" fillId="0" borderId="2" numFmtId="0" xfId="0" applyFont="1" applyBorder="1"/>
    <xf fontId="1" fillId="6" borderId="0" numFmtId="0" xfId="0" applyFont="1" applyFill="1" applyAlignment="1">
      <alignment horizontal="center" vertical="center"/>
    </xf>
    <xf fontId="18" fillId="0" borderId="18" numFmtId="0" xfId="0" applyFont="1" applyBorder="1" applyAlignment="1">
      <alignment horizontal="center" vertical="center"/>
    </xf>
    <xf fontId="1" fillId="0" borderId="47" numFmtId="0" xfId="0" applyFont="1" applyBorder="1">
      <protection hidden="0" locked="1"/>
    </xf>
    <xf fontId="18" fillId="5" borderId="18" numFmtId="0" xfId="0" applyFont="1" applyFill="1" applyBorder="1" applyAlignment="1">
      <alignment horizontal="center" vertical="center"/>
    </xf>
    <xf fontId="11" fillId="19" borderId="2" numFmtId="49" xfId="0" applyNumberFormat="1" applyFont="1" applyFill="1" applyBorder="1" applyAlignment="1">
      <alignment horizontal="center"/>
    </xf>
    <xf fontId="2" fillId="0" borderId="33" numFmtId="49" xfId="0" applyNumberFormat="1" applyFont="1" applyBorder="1" applyAlignment="1">
      <alignment horizontal="center" vertical="center"/>
    </xf>
    <xf fontId="3" fillId="0" borderId="33" numFmtId="0" xfId="0" applyFont="1" applyBorder="1" applyAlignment="1">
      <alignment horizontal="center" vertical="center" wrapText="1"/>
    </xf>
    <xf fontId="3" fillId="0" borderId="45" numFmtId="0" xfId="0" applyFont="1" applyBorder="1" applyAlignment="1">
      <alignment horizontal="center" vertical="center" wrapText="1"/>
    </xf>
    <xf fontId="1" fillId="6" borderId="18" numFmtId="0" xfId="0" applyFont="1" applyFill="1" applyBorder="1" applyAlignment="1">
      <alignment horizontal="center" vertical="center" wrapText="1"/>
    </xf>
    <xf fontId="18" fillId="6" borderId="18" numFmtId="0" xfId="0" applyFont="1" applyFill="1" applyBorder="1" applyAlignment="1">
      <alignment horizontal="center" vertical="center" wrapText="1"/>
    </xf>
    <xf fontId="2" fillId="0" borderId="54" numFmtId="49" xfId="0" applyNumberFormat="1" applyFont="1" applyBorder="1" applyAlignment="1">
      <alignment horizontal="center" vertical="center"/>
    </xf>
    <xf fontId="1" fillId="0" borderId="18" numFmtId="0" xfId="0" applyFont="1" applyBorder="1" applyAlignment="1">
      <alignment horizontal="center" vertical="center" wrapText="1"/>
    </xf>
    <xf fontId="9" fillId="19" borderId="50" numFmtId="49" xfId="0" applyNumberFormat="1" applyFont="1" applyFill="1" applyBorder="1" applyAlignment="1">
      <alignment horizontal="center" vertical="center"/>
    </xf>
    <xf fontId="18" fillId="6" borderId="18" numFmtId="0" xfId="0" applyFont="1" applyFill="1" applyBorder="1" applyAlignment="1">
      <alignment horizontal="center" vertical="center"/>
    </xf>
    <xf fontId="9" fillId="0" borderId="43" numFmtId="49" xfId="0" applyNumberFormat="1" applyFont="1" applyBorder="1" applyAlignment="1">
      <alignment horizontal="center" vertical="center"/>
    </xf>
    <xf fontId="9" fillId="0" borderId="21" numFmtId="0" xfId="0" applyFont="1" applyBorder="1" applyAlignment="1">
      <alignment horizontal="center" vertical="center"/>
    </xf>
    <xf fontId="3" fillId="0" borderId="2" numFmtId="0" xfId="0" applyFont="1" applyBorder="1" applyAlignment="1">
      <alignment vertical="center"/>
    </xf>
    <xf fontId="11" fillId="13" borderId="47" numFmtId="0" xfId="0" applyFont="1" applyFill="1" applyBorder="1" applyAlignment="1">
      <alignment horizontal="center"/>
    </xf>
    <xf fontId="11" fillId="13" borderId="45" numFmtId="0" xfId="0" applyFont="1" applyFill="1" applyBorder="1" applyAlignment="1">
      <alignment horizontal="center"/>
    </xf>
    <xf fontId="5" fillId="0" borderId="21" numFmtId="0" xfId="0" applyFont="1" applyBorder="1" applyAlignment="1">
      <alignment horizontal="center"/>
    </xf>
    <xf fontId="5" fillId="0" borderId="53" numFmtId="0" xfId="0" applyFont="1" applyBorder="1" applyAlignment="1">
      <alignment horizontal="center"/>
    </xf>
    <xf fontId="12" fillId="5" borderId="0" numFmtId="165" xfId="0" applyNumberFormat="1" applyFont="1" applyFill="1" applyAlignment="1">
      <alignment horizontal="center"/>
    </xf>
    <xf fontId="11" fillId="13" borderId="53" numFmtId="49" xfId="0" applyNumberFormat="1" applyFont="1" applyFill="1" applyBorder="1" applyAlignment="1">
      <alignment horizontal="center"/>
    </xf>
    <xf fontId="11" fillId="13" borderId="53" numFmtId="0" xfId="0" applyFont="1" applyFill="1" applyBorder="1" applyAlignment="1">
      <alignment horizontal="center"/>
    </xf>
    <xf fontId="5" fillId="0" borderId="21" numFmtId="166" xfId="0" applyNumberFormat="1" applyFont="1" applyBorder="1" applyAlignment="1">
      <alignment horizontal="center"/>
    </xf>
    <xf fontId="5" fillId="15" borderId="0" numFmtId="49" xfId="0" applyNumberFormat="1" applyFont="1" applyFill="1" applyAlignment="1">
      <alignment horizontal="center"/>
    </xf>
    <xf fontId="5" fillId="32" borderId="0" numFmtId="49" xfId="0" applyNumberFormat="1" applyFont="1" applyFill="1" applyAlignment="1">
      <alignment horizontal="center" wrapText="1"/>
    </xf>
    <xf fontId="1" fillId="0" borderId="0" numFmtId="0" xfId="0" applyFont="1" applyAlignment="1">
      <alignment wrapText="1"/>
      <protection hidden="0" locked="1"/>
    </xf>
    <xf fontId="5" fillId="32" borderId="42" numFmtId="49" xfId="0" applyNumberFormat="1" applyFont="1" applyFill="1" applyBorder="1" applyAlignment="1">
      <alignment horizontal="center" wrapText="1"/>
    </xf>
    <xf fontId="5" fillId="32" borderId="18" numFmtId="49" xfId="0" applyNumberFormat="1" applyFont="1" applyFill="1" applyBorder="1" applyAlignment="1">
      <alignment horizontal="center" wrapText="1"/>
    </xf>
    <xf fontId="1" fillId="0" borderId="18" numFmtId="0" xfId="0" applyFont="1" applyBorder="1" applyAlignment="1">
      <alignment wrapText="1"/>
      <protection hidden="0" locked="1"/>
    </xf>
    <xf fontId="5" fillId="2" borderId="22" numFmtId="49" xfId="0" applyNumberFormat="1" applyFont="1" applyFill="1" applyBorder="1" applyAlignment="1">
      <alignment horizontal="center"/>
    </xf>
    <xf fontId="1" fillId="5" borderId="18" numFmtId="0" xfId="0" applyFont="1" applyFill="1" applyBorder="1" applyAlignment="1">
      <alignment horizontal="center" vertical="center" wrapText="1"/>
    </xf>
    <xf fontId="5" fillId="0" borderId="14" numFmtId="1" xfId="0" applyNumberFormat="1" applyFont="1" applyBorder="1" applyAlignment="1">
      <alignment horizontal="center"/>
    </xf>
    <xf fontId="11" fillId="0" borderId="21" numFmtId="0" xfId="0" applyFont="1" applyBorder="1" applyAlignment="1">
      <alignment horizontal="center"/>
    </xf>
    <xf fontId="3" fillId="0" borderId="46" numFmtId="0" xfId="0" applyFont="1" applyBorder="1" applyAlignment="1">
      <alignment horizontal="center" vertical="center"/>
    </xf>
    <xf fontId="3" fillId="0" borderId="55" numFmtId="0" xfId="0" applyFont="1" applyBorder="1" applyAlignment="1">
      <alignment horizontal="center" vertical="center"/>
    </xf>
    <xf fontId="5" fillId="32" borderId="53" numFmtId="49" xfId="0" applyNumberFormat="1" applyFont="1" applyFill="1" applyBorder="1" applyAlignment="1">
      <alignment horizontal="center"/>
    </xf>
    <xf fontId="5" fillId="32" borderId="53" numFmtId="49" xfId="0" applyNumberFormat="1" applyFont="1" applyFill="1" applyBorder="1" applyAlignment="1">
      <alignment horizontal="center" wrapText="1"/>
    </xf>
    <xf fontId="1" fillId="0" borderId="53" numFmtId="0" xfId="0" applyFont="1" applyBorder="1">
      <protection hidden="0" locked="1"/>
    </xf>
    <xf fontId="1" fillId="0" borderId="53" numFmtId="0" xfId="0" applyFont="1" applyBorder="1" applyAlignment="1">
      <alignment wrapText="1"/>
      <protection hidden="0" locked="1"/>
    </xf>
    <xf fontId="5" fillId="32" borderId="43" numFmtId="49" xfId="0" applyNumberFormat="1" applyFont="1" applyFill="1" applyBorder="1" applyAlignment="1">
      <alignment horizontal="center"/>
    </xf>
    <xf fontId="1" fillId="0" borderId="43" numFmtId="0" xfId="0" applyFont="1" applyBorder="1">
      <protection hidden="0" locked="1"/>
    </xf>
    <xf fontId="1" fillId="0" borderId="0" numFmtId="0" xfId="0" applyFont="1" applyAlignment="1">
      <alignment horizontal="center" vertical="center"/>
    </xf>
    <xf fontId="1" fillId="5" borderId="0" numFmtId="0" xfId="0" applyFont="1" applyFill="1" applyAlignment="1">
      <alignment horizontal="center" vertical="center" wrapText="1"/>
    </xf>
    <xf fontId="1" fillId="0" borderId="54" numFmtId="0" xfId="0" applyFont="1" applyBorder="1">
      <protection hidden="0" locked="1"/>
    </xf>
    <xf fontId="1" fillId="0" borderId="45" numFmtId="0" xfId="0" applyFont="1" applyBorder="1">
      <protection hidden="0" locked="1"/>
    </xf>
    <xf fontId="3" fillId="0" borderId="55" numFmtId="0" xfId="0" applyFont="1" applyBorder="1" applyAlignment="1">
      <alignment vertical="center"/>
    </xf>
    <xf fontId="5" fillId="13" borderId="0" numFmtId="0" xfId="0" applyFont="1" applyFill="1" applyAlignment="1">
      <alignment horizontal="center"/>
    </xf>
    <xf fontId="5" fillId="2" borderId="43" numFmtId="49" xfId="0" applyNumberFormat="1" applyFont="1" applyFill="1" applyBorder="1" applyAlignment="1">
      <alignment horizontal="center"/>
    </xf>
    <xf fontId="1" fillId="0" borderId="56" numFmtId="0" xfId="0" applyFont="1" applyBorder="1">
      <protection hidden="0" locked="1"/>
    </xf>
    <xf fontId="1" fillId="0" borderId="32" numFmtId="0" xfId="0" applyFont="1" applyBorder="1">
      <protection hidden="0" locked="1"/>
    </xf>
    <xf fontId="1" fillId="0" borderId="57" numFmtId="0" xfId="0" applyFont="1" applyBorder="1">
      <protection hidden="0" locked="1"/>
    </xf>
    <xf fontId="1" fillId="0" borderId="28" numFmtId="0" xfId="0" applyFont="1" applyBorder="1">
      <protection hidden="0" locked="1"/>
    </xf>
    <xf fontId="1" fillId="0" borderId="58" numFmtId="0" xfId="0" applyFont="1" applyBorder="1">
      <protection hidden="0" locked="1"/>
    </xf>
    <xf fontId="1" fillId="0" borderId="59" numFmtId="0" xfId="0" applyFont="1" applyBorder="1">
      <protection hidden="0" locked="1"/>
    </xf>
    <xf fontId="1" fillId="0" borderId="60" numFmtId="0" xfId="0" applyFont="1" applyBorder="1">
      <protection hidden="0" locked="1"/>
    </xf>
    <xf fontId="5" fillId="2" borderId="18" numFmtId="49" xfId="0" applyNumberFormat="1" applyFont="1" applyFill="1" applyBorder="1" applyAlignment="1">
      <alignment horizontal="center" wrapText="1"/>
    </xf>
    <xf fontId="1" fillId="0" borderId="52" numFmtId="0" xfId="0" applyFont="1" applyBorder="1">
      <protection hidden="0" locked="1"/>
    </xf>
    <xf fontId="6" fillId="0" borderId="20" numFmtId="0" xfId="0" applyFont="1" applyBorder="1"/>
    <xf fontId="0" fillId="0" borderId="58" numFmtId="0" xfId="0" applyBorder="1">
      <protection hidden="0" locked="1"/>
    </xf>
    <xf fontId="0" fillId="0" borderId="59" numFmtId="0" xfId="0" applyBorder="1">
      <protection hidden="0" locked="1"/>
    </xf>
    <xf fontId="0" fillId="0" borderId="60" numFmtId="0" xfId="0" applyBorder="1">
      <protection hidden="0" locked="1"/>
    </xf>
    <xf fontId="0" fillId="0" borderId="42" numFmtId="0" xfId="0" applyBorder="1">
      <protection hidden="0" locked="1"/>
    </xf>
    <xf fontId="0" fillId="0" borderId="28" numFmtId="0" xfId="0" applyBorder="1">
      <protection hidden="0" locked="1"/>
    </xf>
    <xf fontId="0" fillId="0" borderId="32" numFmtId="0" xfId="0" applyBorder="1">
      <protection hidden="0" locked="1"/>
    </xf>
    <xf fontId="0" fillId="0" borderId="57" numFmtId="0" xfId="0" applyBorder="1">
      <protection hidden="0" locked="1"/>
    </xf>
    <xf fontId="0" fillId="0" borderId="56" numFmtId="0" xfId="0" applyBorder="1">
      <protection hidden="0" locked="1"/>
    </xf>
    <xf fontId="2" fillId="2" borderId="31" numFmtId="49" xfId="0" applyNumberFormat="1" applyFont="1" applyFill="1" applyBorder="1" applyAlignment="1">
      <alignment horizontal="center" vertical="center"/>
    </xf>
    <xf fontId="3" fillId="2" borderId="31" numFmtId="0" xfId="0" applyFont="1" applyFill="1" applyBorder="1" applyAlignment="1">
      <alignment horizontal="center" vertical="center" wrapText="1"/>
    </xf>
    <xf fontId="2" fillId="2" borderId="33" numFmtId="49" xfId="0" applyNumberFormat="1" applyFont="1" applyFill="1" applyBorder="1" applyAlignment="1">
      <alignment horizontal="center" vertical="center"/>
    </xf>
    <xf fontId="3" fillId="2" borderId="33" numFmtId="0" xfId="0" applyFont="1" applyFill="1" applyBorder="1" applyAlignment="1">
      <alignment horizontal="center" vertical="center" wrapText="1"/>
    </xf>
    <xf fontId="2" fillId="2" borderId="14" numFmtId="49" xfId="0" applyNumberFormat="1" applyFont="1" applyFill="1" applyBorder="1" applyAlignment="1">
      <alignment horizontal="center" vertical="center"/>
    </xf>
    <xf fontId="3" fillId="2" borderId="14" numFmtId="0" xfId="0" applyFont="1" applyFill="1" applyBorder="1" applyAlignment="1">
      <alignment horizontal="center" vertical="center" wrapText="1"/>
    </xf>
    <xf fontId="0" fillId="0" borderId="61" numFmtId="0" xfId="0" applyBorder="1">
      <protection hidden="0" locked="1"/>
    </xf>
    <xf fontId="0" fillId="0" borderId="62" numFmtId="0" xfId="0" applyBorder="1">
      <protection hidden="0" locked="1"/>
    </xf>
    <xf fontId="0" fillId="0" borderId="47" numFmtId="0" xfId="0" applyBorder="1">
      <protection hidden="0" locked="1"/>
    </xf>
    <xf fontId="0" fillId="0" borderId="52" numFmtId="0" xfId="0" applyBorder="1">
      <protection hidden="0" locked="1"/>
    </xf>
    <xf fontId="9" fillId="0" borderId="22" numFmtId="49" xfId="0" applyNumberFormat="1" applyFont="1" applyBorder="1" applyAlignment="1">
      <alignment horizontal="center" vertical="center"/>
    </xf>
    <xf fontId="3" fillId="0" borderId="63" numFmtId="49" xfId="0" applyNumberFormat="1" applyFont="1" applyBorder="1" applyAlignment="1">
      <alignment horizontal="center" vertical="center"/>
    </xf>
    <xf fontId="0" fillId="0" borderId="64" numFmtId="0" xfId="0" applyBorder="1">
      <protection hidden="0" locked="1"/>
    </xf>
    <xf fontId="0" fillId="0" borderId="48" numFmtId="0" xfId="0" applyBorder="1">
      <protection hidden="0" locked="1"/>
    </xf>
    <xf fontId="0" fillId="0" borderId="65" numFmtId="0" xfId="0" applyBorder="1">
      <protection hidden="0" locked="1"/>
    </xf>
    <xf fontId="11" fillId="16" borderId="2" numFmtId="49" xfId="0" applyNumberFormat="1" applyFont="1" applyFill="1" applyBorder="1" applyAlignment="1">
      <alignment horizontal="center"/>
    </xf>
    <xf fontId="0" fillId="0" borderId="63" numFmtId="0" xfId="0" applyBorder="1">
      <protection hidden="0" locked="1"/>
    </xf>
    <xf fontId="2" fillId="2" borderId="18" numFmtId="49" xfId="0" applyNumberFormat="1" applyFont="1" applyFill="1" applyBorder="1" applyAlignment="1">
      <alignment horizontal="center" vertical="center"/>
    </xf>
    <xf fontId="3" fillId="2" borderId="18" numFmtId="0" xfId="0" applyFont="1" applyFill="1" applyBorder="1" applyAlignment="1">
      <alignment horizontal="center" vertical="center" wrapText="1"/>
    </xf>
    <xf fontId="18" fillId="0" borderId="18" numFmtId="0" xfId="0" applyFont="1" applyBorder="1"/>
    <xf fontId="3" fillId="0" borderId="45" numFmtId="0" xfId="0" applyFont="1" applyBorder="1" applyAlignment="1">
      <alignment horizontal="center" vertical="center"/>
    </xf>
    <xf fontId="5" fillId="32" borderId="44" numFmtId="49" xfId="0" applyNumberFormat="1" applyFont="1" applyFill="1" applyBorder="1" applyAlignment="1">
      <alignment horizontal="center"/>
    </xf>
    <xf fontId="0" fillId="0" borderId="53" numFmtId="0" xfId="0" applyBorder="1">
      <protection hidden="0" locked="1"/>
    </xf>
    <xf fontId="5" fillId="32" borderId="63" numFmtId="49" xfId="0" applyNumberFormat="1" applyFont="1" applyFill="1" applyBorder="1" applyAlignment="1">
      <alignment horizontal="center"/>
    </xf>
    <xf fontId="0" fillId="0" borderId="66" numFmtId="0" xfId="0" applyBorder="1">
      <protection hidden="0" locked="1"/>
    </xf>
    <xf fontId="0" fillId="0" borderId="67" numFmtId="0" xfId="0" applyBorder="1">
      <protection hidden="0" locked="1"/>
    </xf>
    <xf fontId="0" fillId="0" borderId="45" numFmtId="0" xfId="0" applyBorder="1">
      <protection hidden="0" locked="1"/>
    </xf>
    <xf fontId="3" fillId="0" borderId="3" numFmtId="0" xfId="0" applyFont="1" applyBorder="1" applyAlignment="1">
      <alignment vertical="center"/>
    </xf>
    <xf fontId="0" fillId="0" borderId="68" numFmtId="0" xfId="0" applyBorder="1">
      <protection hidden="0" locked="1"/>
    </xf>
    <xf fontId="11" fillId="13" borderId="13" numFmtId="0" xfId="0" applyFont="1" applyFill="1" applyBorder="1" applyAlignment="1">
      <alignment horizontal="center"/>
    </xf>
    <xf fontId="5" fillId="13" borderId="13" numFmtId="0" xfId="0" applyFont="1" applyFill="1" applyBorder="1" applyAlignment="1">
      <alignment horizontal="center"/>
    </xf>
    <xf fontId="11" fillId="14" borderId="13" numFmtId="0" xfId="0" applyFont="1" applyFill="1" applyBorder="1" applyAlignment="1">
      <alignment horizontal="center"/>
    </xf>
    <xf fontId="12" fillId="5" borderId="14" numFmtId="165" xfId="0" applyNumberFormat="1" applyFont="1" applyFill="1" applyBorder="1" applyAlignment="1">
      <alignment horizontal="center"/>
    </xf>
    <xf fontId="12" fillId="25" borderId="14" numFmtId="165" xfId="0" applyNumberFormat="1" applyFont="1" applyFill="1" applyBorder="1" applyAlignment="1">
      <alignment horizontal="center"/>
    </xf>
    <xf fontId="10" fillId="5" borderId="14" numFmtId="165" xfId="0" applyNumberFormat="1" applyFont="1" applyFill="1" applyBorder="1"/>
    <xf fontId="5" fillId="33" borderId="18" numFmtId="49" xfId="0" applyNumberFormat="1" applyFont="1" applyFill="1" applyBorder="1" applyAlignment="1">
      <alignment horizontal="center"/>
    </xf>
    <xf fontId="11" fillId="0" borderId="27" numFmtId="49" xfId="0" applyNumberFormat="1" applyFont="1" applyBorder="1" applyAlignment="1">
      <alignment horizontal="center"/>
    </xf>
    <xf fontId="3" fillId="0" borderId="14" numFmtId="49" xfId="0" applyNumberFormat="1" applyFont="1" applyBorder="1" applyAlignment="1">
      <alignment horizontal="center"/>
    </xf>
    <xf fontId="3" fillId="0" borderId="14" numFmtId="49" xfId="0" applyNumberFormat="1" applyFont="1" applyBorder="1" applyAlignment="1">
      <alignment horizontal="center" vertical="center"/>
    </xf>
    <xf fontId="5" fillId="0" borderId="60" numFmtId="0" xfId="0" applyFont="1" applyBorder="1" applyAlignment="1">
      <alignment horizontal="right"/>
    </xf>
    <xf fontId="10" fillId="0" borderId="18" numFmtId="49" xfId="0" applyNumberFormat="1" applyFont="1" applyBorder="1" applyAlignment="1">
      <alignment horizontal="center"/>
    </xf>
    <xf fontId="3" fillId="0" borderId="69" numFmtId="49" xfId="0" applyNumberFormat="1" applyFont="1" applyBorder="1" applyAlignment="1">
      <alignment horizontal="center" vertical="center"/>
    </xf>
    <xf fontId="3" fillId="0" borderId="70" numFmtId="49" xfId="0" applyNumberFormat="1" applyFont="1" applyBorder="1" applyAlignment="1">
      <alignment horizontal="center"/>
    </xf>
    <xf fontId="5" fillId="0" borderId="28" numFmtId="49" xfId="0" applyNumberFormat="1" applyFont="1" applyBorder="1" applyAlignment="1">
      <alignment horizontal="center"/>
    </xf>
    <xf fontId="1" fillId="5" borderId="0" numFmtId="0" xfId="0" applyFont="1" applyFill="1" applyAlignment="1">
      <alignment horizontal="center" vertical="center"/>
    </xf>
    <xf fontId="1" fillId="0" borderId="43" numFmtId="0" xfId="0" applyFont="1" applyBorder="1"/>
    <xf fontId="11" fillId="0" borderId="14" numFmtId="0" xfId="0" applyFont="1" applyBorder="1" applyAlignment="1">
      <alignment horizontal="center"/>
    </xf>
    <xf fontId="12" fillId="25" borderId="33" numFmtId="165" xfId="0" applyNumberFormat="1" applyFont="1" applyFill="1" applyBorder="1" applyAlignment="1">
      <alignment horizontal="center"/>
    </xf>
    <xf fontId="11" fillId="17" borderId="14" numFmtId="49" xfId="0" applyNumberFormat="1" applyFont="1" applyFill="1" applyBorder="1" applyAlignment="1">
      <alignment horizontal="center"/>
    </xf>
    <xf fontId="3" fillId="0" borderId="31" numFmtId="0" xfId="0" applyFont="1" applyBorder="1" applyAlignment="1">
      <alignment vertical="center"/>
    </xf>
    <xf fontId="9" fillId="0" borderId="63" numFmtId="49" xfId="0" applyNumberFormat="1" applyFont="1" applyBorder="1" applyAlignment="1">
      <alignment horizontal="center" vertical="center"/>
    </xf>
    <xf fontId="12" fillId="26" borderId="0" numFmtId="165" xfId="0" applyNumberFormat="1" applyFont="1" applyFill="1" applyAlignment="1">
      <alignment horizontal="center"/>
    </xf>
    <xf fontId="5" fillId="33" borderId="0" numFmtId="49" xfId="0" applyNumberFormat="1" applyFont="1" applyFill="1" applyAlignment="1">
      <alignment horizontal="center"/>
    </xf>
    <xf fontId="3" fillId="2" borderId="0" numFmtId="0" xfId="0" applyFont="1" applyFill="1" applyAlignment="1">
      <alignment horizontal="center" vertical="center" wrapText="1"/>
    </xf>
    <xf fontId="5" fillId="6" borderId="28" numFmtId="49" xfId="0" applyNumberFormat="1" applyFont="1" applyFill="1" applyBorder="1" applyAlignment="1">
      <alignment horizontal="center"/>
    </xf>
    <xf fontId="5" fillId="6" borderId="43" numFmtId="49" xfId="0" applyNumberFormat="1" applyFont="1" applyFill="1" applyBorder="1" applyAlignment="1">
      <alignment horizontal="center"/>
    </xf>
    <xf fontId="1" fillId="6" borderId="43" numFmtId="0" xfId="0" applyFont="1" applyFill="1" applyBorder="1" applyAlignment="1">
      <alignment horizontal="center" vertical="center"/>
    </xf>
    <xf fontId="5" fillId="0" borderId="22" numFmtId="49" xfId="0" applyNumberFormat="1" applyFont="1" applyBorder="1" applyAlignment="1">
      <alignment horizontal="center"/>
    </xf>
    <xf fontId="2" fillId="0" borderId="18" numFmtId="49" xfId="0" applyNumberFormat="1" applyFont="1" applyBorder="1" applyAlignment="1">
      <alignment horizontal="center" vertical="center"/>
    </xf>
    <xf fontId="3" fillId="0" borderId="18" numFmtId="0" xfId="0" applyFont="1" applyBorder="1" applyAlignment="1">
      <alignment horizontal="center" vertical="center" wrapText="1"/>
    </xf>
    <xf fontId="1" fillId="5" borderId="42" numFmtId="0" xfId="0" applyFont="1" applyFill="1" applyBorder="1" applyAlignment="1">
      <alignment horizontal="center" vertical="center"/>
    </xf>
    <xf fontId="3" fillId="0" borderId="71" numFmtId="0" xfId="0" applyFont="1" applyBorder="1" applyAlignment="1">
      <alignment vertical="center"/>
    </xf>
    <xf fontId="3" fillId="0" borderId="71" numFmtId="0" xfId="0" applyFont="1" applyBorder="1" applyAlignment="1">
      <alignment horizontal="center" vertical="center"/>
    </xf>
    <xf fontId="3" fillId="0" borderId="4" numFmtId="0" xfId="0" applyFont="1" applyBorder="1" applyAlignment="1">
      <alignment vertical="center"/>
    </xf>
    <xf fontId="3" fillId="0" borderId="4" numFmtId="0" xfId="0" applyFont="1" applyBorder="1" applyAlignment="1">
      <alignment horizontal="center" vertical="center"/>
    </xf>
    <xf fontId="3" fillId="0" borderId="4" numFmtId="1" xfId="0" applyNumberFormat="1" applyFont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5" fillId="13" borderId="2" numFmtId="0" xfId="0" applyFont="1" applyFill="1" applyBorder="1" applyAlignment="1">
      <alignment horizontal="center"/>
    </xf>
    <xf fontId="11" fillId="14" borderId="2" numFmtId="0" xfId="0" applyFont="1" applyFill="1" applyBorder="1" applyAlignment="1">
      <alignment horizontal="center"/>
    </xf>
    <xf fontId="5" fillId="34" borderId="18" numFmtId="49" xfId="0" applyNumberFormat="1" applyFont="1" applyFill="1" applyBorder="1" applyAlignment="1">
      <alignment horizontal="center"/>
    </xf>
    <xf fontId="1" fillId="34" borderId="18" numFmtId="0" xfId="0" applyFont="1" applyFill="1" applyBorder="1" applyAlignment="1">
      <alignment horizontal="center" vertical="center"/>
    </xf>
    <xf fontId="15" fillId="34" borderId="18" numFmtId="49" xfId="0" applyNumberFormat="1" applyFont="1" applyFill="1" applyBorder="1" applyAlignment="1">
      <alignment horizontal="center"/>
    </xf>
    <xf fontId="16" fillId="34" borderId="18" numFmtId="0" xfId="0" applyFont="1" applyFill="1" applyBorder="1" applyAlignment="1">
      <alignment horizontal="center" vertical="center"/>
    </xf>
    <xf fontId="19" fillId="34" borderId="18" numFmtId="49" xfId="0" applyNumberFormat="1" applyFont="1" applyFill="1" applyBorder="1" applyAlignment="1">
      <alignment horizontal="center"/>
    </xf>
    <xf fontId="12" fillId="5" borderId="31" numFmtId="165" xfId="0" applyNumberFormat="1" applyFont="1" applyFill="1" applyBorder="1" applyAlignment="1">
      <alignment horizontal="center"/>
    </xf>
    <xf fontId="12" fillId="5" borderId="29" numFmtId="165" xfId="0" applyNumberFormat="1" applyFont="1" applyFill="1" applyBorder="1" applyAlignment="1">
      <alignment horizontal="center"/>
    </xf>
    <xf fontId="10" fillId="5" borderId="70" numFmtId="165" xfId="0" applyNumberFormat="1" applyFont="1" applyFill="1" applyBorder="1"/>
    <xf fontId="3" fillId="0" borderId="58" numFmtId="49" xfId="0" applyNumberFormat="1" applyFont="1" applyBorder="1" applyAlignment="1">
      <alignment horizontal="center"/>
    </xf>
    <xf fontId="3" fillId="0" borderId="60" numFmtId="49" xfId="0" applyNumberFormat="1" applyFont="1" applyBorder="1" applyAlignment="1">
      <alignment horizontal="center"/>
    </xf>
    <xf fontId="11" fillId="17" borderId="0" numFmtId="49" xfId="0" applyNumberFormat="1" applyFont="1" applyFill="1" applyAlignment="1">
      <alignment horizontal="center"/>
    </xf>
    <xf fontId="0" fillId="0" borderId="54" numFmtId="0" xfId="0" applyBorder="1">
      <protection hidden="0" locked="1"/>
    </xf>
    <xf fontId="0" fillId="0" borderId="72" numFmtId="0" xfId="0" applyBorder="1">
      <protection hidden="0" locked="1"/>
    </xf>
    <xf fontId="0" fillId="0" borderId="51" numFmtId="0" xfId="0" applyBorder="1">
      <protection hidden="0" locked="1"/>
    </xf>
    <xf fontId="0" fillId="0" borderId="50" numFmtId="0" xfId="0" applyBorder="1">
      <protection hidden="0" locked="1"/>
    </xf>
    <xf fontId="3" fillId="0" borderId="53" numFmtId="49" xfId="0" applyNumberFormat="1" applyFont="1" applyBorder="1" applyAlignment="1">
      <alignment horizontal="center"/>
    </xf>
    <xf fontId="3" fillId="22" borderId="73" numFmtId="49" xfId="0" applyNumberFormat="1" applyFont="1" applyFill="1" applyBorder="1" applyAlignment="1">
      <alignment horizontal="center"/>
    </xf>
    <xf fontId="3" fillId="22" borderId="35" numFmtId="49" xfId="0" applyNumberFormat="1" applyFont="1" applyFill="1" applyBorder="1" applyAlignment="1">
      <alignment horizontal="center"/>
    </xf>
    <xf fontId="5" fillId="21" borderId="14" numFmtId="49" xfId="0" applyNumberFormat="1" applyFont="1" applyFill="1" applyBorder="1" applyAlignment="1">
      <alignment horizontal="center"/>
    </xf>
    <xf fontId="3" fillId="29" borderId="35" numFmtId="49" xfId="0" applyNumberFormat="1" applyFont="1" applyFill="1" applyBorder="1" applyAlignment="1">
      <alignment horizontal="center"/>
    </xf>
    <xf fontId="5" fillId="21" borderId="35" numFmtId="49" xfId="0" applyNumberFormat="1" applyFont="1" applyFill="1" applyBorder="1" applyAlignment="1">
      <alignment horizontal="center"/>
    </xf>
    <xf fontId="3" fillId="35" borderId="35" numFmtId="49" xfId="0" applyNumberFormat="1" applyFont="1" applyFill="1" applyBorder="1" applyAlignment="1">
      <alignment horizontal="center" vertical="center"/>
    </xf>
    <xf fontId="5" fillId="35" borderId="35" numFmtId="0" xfId="0" applyFont="1" applyFill="1" applyBorder="1" applyAlignment="1">
      <alignment horizontal="right"/>
    </xf>
    <xf fontId="10" fillId="5" borderId="72" numFmtId="165" xfId="0" applyNumberFormat="1" applyFont="1" applyFill="1" applyBorder="1"/>
    <xf fontId="3" fillId="0" borderId="32" numFmtId="0" xfId="0" applyFont="1" applyBorder="1" applyAlignment="1">
      <alignment horizontal="center" vertical="center"/>
    </xf>
    <xf fontId="3" fillId="0" borderId="42" numFmtId="49" xfId="0" applyNumberFormat="1" applyFont="1" applyBorder="1" applyAlignment="1">
      <alignment horizontal="center"/>
    </xf>
    <xf fontId="3" fillId="29" borderId="14" numFmtId="49" xfId="0" applyNumberFormat="1" applyFont="1" applyFill="1" applyBorder="1" applyAlignment="1">
      <alignment horizontal="center"/>
    </xf>
    <xf fontId="3" fillId="35" borderId="14" numFmtId="49" xfId="0" applyNumberFormat="1" applyFont="1" applyFill="1" applyBorder="1" applyAlignment="1">
      <alignment horizontal="center" vertical="center"/>
    </xf>
    <xf fontId="5" fillId="35" borderId="50" numFmtId="0" xfId="0" applyFont="1" applyFill="1" applyBorder="1" applyAlignment="1">
      <alignment horizontal="right"/>
    </xf>
    <xf fontId="5" fillId="0" borderId="51" numFmtId="49" xfId="0" applyNumberFormat="1" applyFont="1" applyBorder="1" applyAlignment="1">
      <alignment horizontal="center"/>
    </xf>
    <xf fontId="5" fillId="5" borderId="47" numFmtId="49" xfId="0" applyNumberFormat="1" applyFont="1" applyFill="1" applyBorder="1" applyAlignment="1">
      <alignment horizontal="center"/>
    </xf>
    <xf fontId="3" fillId="0" borderId="31" numFmtId="49" xfId="0" applyNumberFormat="1" applyFont="1" applyBorder="1" applyAlignment="1">
      <alignment horizontal="center" vertical="center"/>
    </xf>
    <xf fontId="12" fillId="5" borderId="2" numFmtId="165" xfId="0" applyNumberFormat="1" applyFont="1" applyFill="1" applyBorder="1" applyAlignment="1">
      <alignment horizontal="center"/>
    </xf>
    <xf fontId="12" fillId="25" borderId="29" numFmtId="165" xfId="0" applyNumberFormat="1" applyFont="1" applyFill="1" applyBorder="1" applyAlignment="1">
      <alignment horizontal="center"/>
    </xf>
    <xf fontId="10" fillId="5" borderId="2" numFmtId="165" xfId="0" applyNumberFormat="1" applyFont="1" applyFill="1" applyBorder="1"/>
    <xf fontId="3" fillId="0" borderId="48" numFmtId="0" xfId="0" applyFont="1" applyBorder="1" applyAlignment="1">
      <alignment vertical="center"/>
    </xf>
    <xf fontId="3" fillId="0" borderId="48" numFmtId="0" xfId="0" applyFont="1" applyBorder="1" applyAlignment="1">
      <alignment horizontal="center" vertical="center"/>
    </xf>
    <xf fontId="1" fillId="0" borderId="0" numFmtId="0" xfId="0" applyFont="1"/>
    <xf fontId="5" fillId="9" borderId="48" numFmtId="49" xfId="0" applyNumberFormat="1" applyFont="1" applyFill="1" applyBorder="1" applyAlignment="1">
      <alignment horizontal="center" vertical="center"/>
    </xf>
    <xf fontId="3" fillId="0" borderId="74" numFmtId="0" xfId="0" applyFont="1" applyBorder="1" applyAlignment="1">
      <alignment vertical="center"/>
    </xf>
    <xf fontId="3" fillId="36" borderId="75" numFmtId="0" xfId="0" applyFont="1" applyFill="1" applyBorder="1" applyAlignment="1">
      <alignment horizontal="center" vertical="center"/>
    </xf>
    <xf fontId="0" fillId="0" borderId="76" numFmtId="0" xfId="0" applyBorder="1"/>
    <xf fontId="3" fillId="4" borderId="5" numFmtId="0" xfId="0" applyFont="1" applyFill="1" applyBorder="1" applyAlignment="1">
      <alignment vertical="center"/>
    </xf>
    <xf fontId="5" fillId="0" borderId="2" numFmtId="166" xfId="0" applyNumberFormat="1" applyFont="1" applyBorder="1" applyAlignment="1">
      <alignment horizontal="center"/>
    </xf>
    <xf fontId="11" fillId="18" borderId="2" numFmtId="49" xfId="0" applyNumberFormat="1" applyFont="1" applyFill="1" applyBorder="1" applyAlignment="1">
      <alignment horizontal="center"/>
    </xf>
    <xf fontId="3" fillId="31" borderId="2" numFmtId="49" xfId="0" applyNumberFormat="1" applyFont="1" applyFill="1" applyBorder="1" applyAlignment="1">
      <alignment horizontal="center"/>
    </xf>
    <xf fontId="3" fillId="16" borderId="2" numFmtId="49" xfId="0" applyNumberFormat="1" applyFont="1" applyFill="1" applyBorder="1" applyAlignment="1">
      <alignment horizontal="center"/>
    </xf>
    <xf fontId="3" fillId="0" borderId="2" numFmtId="49" xfId="0" applyNumberFormat="1" applyFont="1" applyBorder="1" applyAlignment="1">
      <alignment horizontal="center"/>
    </xf>
    <xf fontId="3" fillId="31" borderId="13" numFmtId="49" xfId="0" applyNumberFormat="1" applyFont="1" applyFill="1" applyBorder="1" applyAlignment="1">
      <alignment horizontal="center"/>
    </xf>
    <xf fontId="3" fillId="16" borderId="13" numFmtId="49" xfId="0" applyNumberFormat="1" applyFont="1" applyFill="1" applyBorder="1" applyAlignment="1">
      <alignment horizontal="center"/>
    </xf>
    <xf fontId="3" fillId="0" borderId="13" numFmtId="49" xfId="0" applyNumberFormat="1" applyFont="1" applyBorder="1" applyAlignment="1">
      <alignment horizontal="center"/>
    </xf>
    <xf fontId="5" fillId="6" borderId="44" numFmtId="49" xfId="0" applyNumberFormat="1" applyFont="1" applyFill="1" applyBorder="1" applyAlignment="1">
      <alignment horizontal="center"/>
    </xf>
    <xf fontId="3" fillId="37" borderId="77" numFmtId="49" xfId="0" applyNumberFormat="1" applyFont="1" applyFill="1" applyBorder="1" applyAlignment="1">
      <alignment horizontal="center"/>
    </xf>
    <xf fontId="5" fillId="0" borderId="41" numFmtId="49" xfId="0" applyNumberFormat="1" applyFont="1" applyBorder="1" applyAlignment="1">
      <alignment horizontal="center"/>
    </xf>
    <xf fontId="3" fillId="38" borderId="14" numFmtId="49" xfId="0" applyNumberFormat="1" applyFont="1" applyFill="1" applyBorder="1" applyAlignment="1">
      <alignment horizontal="center" vertical="center"/>
    </xf>
    <xf fontId="5" fillId="38" borderId="78" numFmtId="0" xfId="0" applyFont="1" applyFill="1" applyBorder="1" applyAlignment="1">
      <alignment horizontal="right"/>
    </xf>
    <xf fontId="0" fillId="0" borderId="43" numFmtId="0" xfId="0" applyBorder="1"/>
    <xf fontId="3" fillId="6" borderId="77" numFmtId="49" xfId="0" applyNumberFormat="1" applyFont="1" applyFill="1" applyBorder="1" applyAlignment="1">
      <alignment horizontal="center"/>
    </xf>
    <xf fontId="5" fillId="6" borderId="77" numFmtId="49" xfId="0" applyNumberFormat="1" applyFont="1" applyFill="1" applyBorder="1" applyAlignment="1">
      <alignment horizontal="center"/>
    </xf>
    <xf fontId="10" fillId="6" borderId="43" numFmtId="49" xfId="0" applyNumberFormat="1" applyFont="1" applyFill="1" applyBorder="1" applyAlignment="1">
      <alignment horizontal="center"/>
    </xf>
    <xf fontId="1" fillId="5" borderId="63" numFmtId="0" xfId="0" applyFont="1" applyFill="1" applyBorder="1" applyAlignment="1">
      <alignment horizontal="center" vertical="center"/>
    </xf>
    <xf fontId="1" fillId="39" borderId="55" numFmtId="0" xfId="0" applyFont="1" applyFill="1" applyBorder="1" applyAlignment="1">
      <alignment horizontal="center" vertical="center"/>
    </xf>
    <xf fontId="1" fillId="5" borderId="53" numFmtId="0" xfId="0" applyFont="1" applyFill="1" applyBorder="1" applyAlignment="1">
      <alignment horizontal="center" vertical="center"/>
    </xf>
    <xf fontId="1" fillId="5" borderId="21" numFmtId="0" xfId="0" applyFont="1" applyFill="1" applyBorder="1" applyAlignment="1">
      <alignment horizontal="center" vertical="center"/>
    </xf>
    <xf fontId="1" fillId="0" borderId="31" numFmtId="49" xfId="0" applyNumberFormat="1" applyFont="1" applyBorder="1" applyAlignment="1">
      <alignment horizontal="center" vertical="center"/>
    </xf>
    <xf fontId="1" fillId="0" borderId="2" numFmtId="0" xfId="0" applyFont="1" applyBorder="1" applyAlignment="1">
      <alignment horizontal="center" vertical="center"/>
    </xf>
    <xf fontId="0" fillId="0" borderId="33" numFmtId="49" xfId="0" applyNumberFormat="1" applyBorder="1" applyAlignment="1">
      <alignment horizontal="center" vertical="center"/>
    </xf>
    <xf fontId="0" fillId="0" borderId="33" numFmtId="0" xfId="0" applyBorder="1" applyAlignment="1">
      <alignment horizontal="center" vertical="center"/>
    </xf>
    <xf fontId="1" fillId="0" borderId="18" numFmtId="49" xfId="0" applyNumberFormat="1" applyFont="1" applyBorder="1" applyAlignment="1">
      <alignment horizontal="center" vertical="center"/>
    </xf>
    <xf fontId="1" fillId="0" borderId="63" numFmtId="0" xfId="0" applyFont="1" applyBorder="1" applyAlignment="1">
      <alignment horizontal="center" vertical="center"/>
    </xf>
    <xf fontId="1" fillId="6" borderId="53" numFmtId="0" xfId="0" applyFont="1" applyFill="1" applyBorder="1" applyAlignment="1">
      <alignment horizontal="center" vertical="center"/>
    </xf>
    <xf fontId="1" fillId="6" borderId="51" numFmtId="0" xfId="0" applyFont="1" applyFill="1" applyBorder="1" applyAlignment="1">
      <alignment horizontal="center" vertical="center"/>
    </xf>
    <xf fontId="1" fillId="0" borderId="14" numFmtId="49" xfId="0" applyNumberFormat="1" applyFont="1" applyBorder="1" applyAlignment="1">
      <alignment horizontal="center" vertical="center"/>
    </xf>
    <xf fontId="1" fillId="0" borderId="37" numFmtId="0" xfId="0" applyFont="1" applyBorder="1" applyAlignment="1">
      <alignment horizontal="center" vertical="center"/>
    </xf>
    <xf fontId="1" fillId="5" borderId="55" numFmtId="0" xfId="0" applyFont="1" applyFill="1" applyBorder="1" applyAlignment="1">
      <alignment horizontal="center" vertical="center"/>
    </xf>
    <xf fontId="1" fillId="0" borderId="51" numFmtId="49" xfId="0" applyNumberFormat="1" applyFont="1" applyBorder="1" applyAlignment="1">
      <alignment horizontal="center" vertical="center"/>
    </xf>
    <xf fontId="1" fillId="0" borderId="54" numFmtId="49" xfId="0" applyNumberFormat="1" applyFont="1" applyBorder="1" applyAlignment="1">
      <alignment horizontal="center" vertical="center"/>
    </xf>
    <xf fontId="1" fillId="0" borderId="70" numFmtId="0" xfId="0" applyFont="1" applyBorder="1" applyAlignment="1">
      <alignment horizontal="center" vertical="center"/>
    </xf>
    <xf fontId="1" fillId="0" borderId="55" numFmtId="0" xfId="0" applyFont="1" applyBorder="1" applyAlignment="1">
      <alignment horizontal="center" vertical="center"/>
    </xf>
    <xf fontId="1" fillId="6" borderId="55" numFmtId="0" xfId="0" applyFont="1" applyFill="1" applyBorder="1" applyAlignment="1">
      <alignment horizontal="center" vertical="center"/>
    </xf>
    <xf fontId="1" fillId="6" borderId="21" numFmtId="0" xfId="0" applyFont="1" applyFill="1" applyBorder="1" applyAlignment="1">
      <alignment horizontal="center" vertical="center"/>
    </xf>
    <xf fontId="0" fillId="0" borderId="14" numFmtId="0" xfId="0" applyBorder="1" applyAlignment="1">
      <alignment horizontal="center" vertical="center"/>
    </xf>
    <xf fontId="9" fillId="19" borderId="2" numFmtId="49" xfId="0" applyNumberFormat="1" applyFont="1" applyFill="1" applyBorder="1" applyAlignment="1">
      <alignment horizontal="center" vertical="center"/>
    </xf>
    <xf fontId="20" fillId="0" borderId="0" numFmtId="0" xfId="0" applyFont="1"/>
    <xf fontId="9" fillId="14" borderId="2" numFmtId="0" xfId="0" applyFont="1" applyFill="1" applyBorder="1" applyAlignment="1">
      <alignment horizontal="center" vertical="center"/>
    </xf>
    <xf fontId="3" fillId="0" borderId="2" numFmtId="166" xfId="0" applyNumberFormat="1" applyFont="1" applyBorder="1" applyAlignment="1">
      <alignment horizontal="center" vertical="center"/>
    </xf>
    <xf fontId="3" fillId="16" borderId="44" numFmtId="49" xfId="0" applyNumberFormat="1" applyFont="1" applyFill="1" applyBorder="1" applyAlignment="1">
      <alignment horizontal="center"/>
    </xf>
    <xf fontId="3" fillId="0" borderId="44" numFmtId="49" xfId="0" applyNumberFormat="1" applyFont="1" applyBorder="1" applyAlignment="1">
      <alignment horizontal="center"/>
    </xf>
    <xf fontId="3" fillId="16" borderId="43" numFmtId="49" xfId="0" applyNumberFormat="1" applyFont="1" applyFill="1" applyBorder="1" applyAlignment="1">
      <alignment horizontal="center"/>
    </xf>
    <xf fontId="3" fillId="0" borderId="43" numFmtId="49" xfId="0" applyNumberFormat="1" applyFont="1" applyBorder="1" applyAlignment="1">
      <alignment horizontal="center"/>
    </xf>
    <xf fontId="1" fillId="0" borderId="53" numFmtId="0" xfId="0" applyFont="1" applyBorder="1" applyAlignment="1">
      <alignment horizontal="center" vertical="center"/>
    </xf>
    <xf fontId="1" fillId="6" borderId="63" numFmtId="0" xfId="0" applyFont="1" applyFill="1" applyBorder="1" applyAlignment="1">
      <alignment horizontal="center" vertical="center"/>
    </xf>
    <xf fontId="3" fillId="0" borderId="63" numFmtId="49" xfId="0" applyNumberFormat="1" applyFont="1" applyBorder="1" applyAlignment="1">
      <alignment horizontal="center"/>
    </xf>
    <xf fontId="0" fillId="0" borderId="63" numFmtId="0" xfId="0" applyBorder="1"/>
    <xf fontId="10" fillId="5" borderId="44" numFmtId="49" xfId="0" applyNumberFormat="1" applyFont="1" applyFill="1" applyBorder="1" applyAlignment="1">
      <alignment horizontal="center"/>
    </xf>
    <xf fontId="3" fillId="0" borderId="29" numFmtId="0" xfId="0" applyFont="1" applyBorder="1" applyAlignment="1">
      <alignment horizontal="center" vertical="center"/>
    </xf>
    <xf fontId="3" fillId="0" borderId="29" numFmtId="1" xfId="0" applyNumberFormat="1" applyFont="1" applyBorder="1" applyAlignment="1">
      <alignment horizontal="center" vertical="center"/>
    </xf>
    <xf fontId="5" fillId="16" borderId="18" numFmtId="49" xfId="0" applyNumberFormat="1" applyFont="1" applyFill="1" applyBorder="1" applyAlignment="1">
      <alignment horizontal="center"/>
    </xf>
    <xf fontId="5" fillId="16" borderId="44" numFmtId="49" xfId="0" applyNumberFormat="1" applyFont="1" applyFill="1" applyBorder="1" applyAlignment="1">
      <alignment horizontal="center"/>
    </xf>
    <xf fontId="5" fillId="40" borderId="44" numFmtId="49" xfId="0" applyNumberFormat="1" applyFont="1" applyFill="1" applyBorder="1" applyAlignment="1">
      <alignment horizontal="center"/>
    </xf>
    <xf fontId="5" fillId="16" borderId="43" numFmtId="49" xfId="0" applyNumberFormat="1" applyFont="1" applyFill="1" applyBorder="1" applyAlignment="1">
      <alignment horizontal="center"/>
    </xf>
    <xf fontId="5" fillId="40" borderId="43" numFmtId="49" xfId="0" applyNumberFormat="1" applyFont="1" applyFill="1" applyBorder="1" applyAlignment="1">
      <alignment horizontal="center"/>
    </xf>
    <xf fontId="5" fillId="40" borderId="18" numFmtId="49" xfId="0" applyNumberFormat="1" applyFont="1" applyFill="1" applyBorder="1" applyAlignment="1">
      <alignment horizontal="center"/>
    </xf>
    <xf fontId="5" fillId="16" borderId="0" numFmtId="49" xfId="0" applyNumberFormat="1" applyFont="1" applyFill="1" applyAlignment="1">
      <alignment horizontal="center"/>
    </xf>
    <xf fontId="5" fillId="2" borderId="53" numFmtId="49" xfId="0" applyNumberFormat="1" applyFont="1" applyFill="1" applyBorder="1" applyAlignment="1">
      <alignment horizontal="center"/>
    </xf>
    <xf fontId="3" fillId="2" borderId="53" numFmtId="49" xfId="0" applyNumberFormat="1" applyFont="1" applyFill="1" applyBorder="1" applyAlignment="1">
      <alignment horizontal="center"/>
    </xf>
    <xf fontId="5" fillId="0" borderId="4" numFmtId="0" xfId="0" applyFont="1" applyBorder="1"/>
    <xf fontId="5" fillId="5" borderId="50" numFmtId="49" xfId="0" applyNumberFormat="1" applyFont="1" applyFill="1" applyBorder="1" applyAlignment="1">
      <alignment horizontal="center"/>
    </xf>
    <xf fontId="5" fillId="0" borderId="50" numFmtId="49" xfId="0" applyNumberFormat="1" applyFont="1" applyBorder="1" applyAlignment="1">
      <alignment horizontal="center"/>
    </xf>
    <xf fontId="5" fillId="6" borderId="53" numFmtId="49" xfId="0" applyNumberFormat="1" applyFont="1" applyFill="1" applyBorder="1" applyAlignment="1">
      <alignment horizontal="center"/>
    </xf>
    <xf fontId="5" fillId="0" borderId="40" numFmtId="49" xfId="0" applyNumberFormat="1" applyFont="1" applyBorder="1" applyAlignment="1">
      <alignment horizontal="center"/>
    </xf>
    <xf fontId="5" fillId="5" borderId="63" numFmtId="49" xfId="0" applyNumberFormat="1" applyFont="1" applyFill="1" applyBorder="1" applyAlignment="1">
      <alignment horizontal="center"/>
    </xf>
    <xf fontId="3" fillId="20" borderId="18" numFmtId="49" xfId="0" applyNumberFormat="1" applyFont="1" applyFill="1" applyBorder="1" applyAlignment="1">
      <alignment horizontal="center" vertical="center"/>
    </xf>
    <xf fontId="5" fillId="16" borderId="53" numFmtId="49" xfId="0" applyNumberFormat="1" applyFont="1" applyFill="1" applyBorder="1" applyAlignment="1">
      <alignment horizontal="center"/>
    </xf>
    <xf fontId="3" fillId="0" borderId="51" numFmtId="49" xfId="0" applyNumberFormat="1" applyFont="1" applyBorder="1" applyAlignment="1">
      <alignment horizontal="center" vertical="center"/>
    </xf>
    <xf fontId="5" fillId="0" borderId="50" numFmtId="0" xfId="0" applyFont="1" applyBorder="1" applyAlignment="1">
      <alignment horizontal="right"/>
    </xf>
    <xf fontId="5" fillId="0" borderId="54" numFmtId="49" xfId="0" applyNumberFormat="1" applyFont="1" applyBorder="1" applyAlignment="1">
      <alignment horizontal="center"/>
    </xf>
    <xf fontId="5" fillId="0" borderId="53" numFmtId="49" xfId="0" applyNumberFormat="1" applyFont="1" applyBorder="1" applyAlignment="1">
      <alignment horizontal="center"/>
    </xf>
    <xf fontId="0" fillId="0" borderId="53" numFmtId="0" xfId="0" applyBorder="1"/>
    <xf fontId="3" fillId="16" borderId="53" numFmtId="49" xfId="0" applyNumberFormat="1" applyFont="1" applyFill="1" applyBorder="1" applyAlignment="1">
      <alignment horizontal="center"/>
    </xf>
    <xf fontId="5" fillId="0" borderId="37" numFmtId="49" xfId="0" applyNumberFormat="1" applyFont="1" applyBorder="1" applyAlignment="1">
      <alignment horizontal="center"/>
    </xf>
    <xf fontId="1" fillId="0" borderId="54" numFmtId="0" xfId="0" applyFont="1" applyBorder="1" applyAlignment="1">
      <alignment horizontal="center" vertical="center"/>
    </xf>
    <xf fontId="5" fillId="5" borderId="37" numFmtId="49" xfId="0" applyNumberFormat="1" applyFont="1" applyFill="1" applyBorder="1" applyAlignment="1">
      <alignment horizontal="center"/>
    </xf>
    <xf fontId="3" fillId="41" borderId="51" numFmtId="49" xfId="0" applyNumberFormat="1" applyFont="1" applyFill="1" applyBorder="1" applyAlignment="1">
      <alignment horizontal="center" vertical="center"/>
    </xf>
    <xf fontId="5" fillId="41" borderId="14" numFmtId="0" xfId="0" applyFont="1" applyFill="1" applyBorder="1" applyAlignment="1">
      <alignment horizontal="center"/>
    </xf>
    <xf fontId="3" fillId="5" borderId="14" numFmtId="49" xfId="0" applyNumberFormat="1" applyFont="1" applyFill="1" applyBorder="1" applyAlignment="1">
      <alignment horizontal="center"/>
    </xf>
    <xf fontId="5" fillId="42" borderId="14" numFmtId="49" xfId="0" applyNumberFormat="1" applyFont="1" applyFill="1" applyBorder="1" applyAlignment="1">
      <alignment horizontal="center"/>
    </xf>
    <xf fontId="3" fillId="42" borderId="18" numFmtId="49" xfId="0" applyNumberFormat="1" applyFont="1" applyFill="1" applyBorder="1" applyAlignment="1">
      <alignment horizontal="center"/>
    </xf>
    <xf fontId="3" fillId="43" borderId="18" numFmtId="49" xfId="0" applyNumberFormat="1" applyFont="1" applyFill="1" applyBorder="1" applyAlignment="1">
      <alignment horizontal="center"/>
    </xf>
    <xf fontId="0" fillId="43" borderId="18" numFmtId="0" xfId="0" applyFill="1" applyBorder="1"/>
    <xf fontId="5" fillId="42" borderId="18" numFmtId="49" xfId="0" applyNumberFormat="1" applyFont="1" applyFill="1" applyBorder="1" applyAlignment="1">
      <alignment horizontal="center"/>
    </xf>
    <xf fontId="3" fillId="42" borderId="18" numFmtId="49" xfId="0" applyNumberFormat="1" applyFont="1" applyFill="1" applyBorder="1" applyAlignment="1">
      <alignment horizontal="center" vertical="center"/>
    </xf>
    <xf fontId="5" fillId="43" borderId="18" numFmtId="49" xfId="0" applyNumberFormat="1" applyFont="1" applyFill="1" applyBorder="1" applyAlignment="1">
      <alignment horizontal="center"/>
    </xf>
    <xf fontId="12" fillId="5" borderId="13" numFmtId="165" xfId="0" applyNumberFormat="1" applyFont="1" applyFill="1" applyBorder="1" applyAlignment="1">
      <alignment horizontal="center"/>
    </xf>
    <xf fontId="10" fillId="5" borderId="79" numFmtId="165" xfId="0" applyNumberFormat="1" applyFont="1" applyFill="1" applyBorder="1"/>
    <xf fontId="11" fillId="0" borderId="13" numFmtId="0" xfId="0" applyFont="1" applyBorder="1" applyAlignment="1">
      <alignment horizontal="center"/>
    </xf>
    <xf fontId="5" fillId="0" borderId="38" numFmtId="0" xfId="0" applyFont="1" applyBorder="1" applyAlignment="1">
      <alignment horizontal="center"/>
    </xf>
    <xf fontId="5" fillId="15" borderId="13" numFmtId="49" xfId="0" applyNumberFormat="1" applyFont="1" applyFill="1" applyBorder="1" applyAlignment="1">
      <alignment horizontal="center"/>
    </xf>
    <xf fontId="3" fillId="44" borderId="2" numFmtId="49" xfId="0" applyNumberFormat="1" applyFont="1" applyFill="1" applyBorder="1" applyAlignment="1">
      <alignment horizontal="center"/>
    </xf>
    <xf fontId="3" fillId="6" borderId="20" numFmtId="49" xfId="0" applyNumberFormat="1" applyFont="1" applyFill="1" applyBorder="1" applyAlignment="1">
      <alignment horizontal="center"/>
    </xf>
    <xf fontId="3" fillId="6" borderId="25" numFmtId="49" xfId="0" applyNumberFormat="1" applyFont="1" applyFill="1" applyBorder="1" applyAlignment="1">
      <alignment horizontal="center"/>
    </xf>
    <xf fontId="5" fillId="45" borderId="2" numFmtId="49" xfId="0" applyNumberFormat="1" applyFont="1" applyFill="1" applyBorder="1" applyAlignment="1">
      <alignment horizontal="center"/>
    </xf>
    <xf fontId="0" fillId="43" borderId="2" numFmtId="0" xfId="0" applyFill="1" applyBorder="1"/>
    <xf fontId="3" fillId="30" borderId="2" numFmtId="49" xfId="0" applyNumberFormat="1" applyFont="1" applyFill="1" applyBorder="1" applyAlignment="1">
      <alignment horizontal="center"/>
    </xf>
    <xf fontId="3" fillId="5" borderId="20" numFmtId="49" xfId="0" applyNumberFormat="1" applyFont="1" applyFill="1" applyBorder="1" applyAlignment="1">
      <alignment horizontal="center" vertical="center"/>
    </xf>
    <xf fontId="5" fillId="5" borderId="25" numFmtId="0" xfId="0" applyFont="1" applyFill="1" applyBorder="1" applyAlignment="1">
      <alignment horizontal="center"/>
    </xf>
    <xf fontId="3" fillId="46" borderId="2" numFmtId="49" xfId="0" applyNumberFormat="1" applyFont="1" applyFill="1" applyBorder="1" applyAlignment="1">
      <alignment horizontal="center"/>
    </xf>
    <xf fontId="3" fillId="0" borderId="24" numFmtId="49" xfId="0" applyNumberFormat="1" applyFont="1" applyBorder="1" applyAlignment="1">
      <alignment horizontal="center"/>
    </xf>
    <xf fontId="3" fillId="45" borderId="2" numFmtId="49" xfId="0" applyNumberFormat="1" applyFont="1" applyFill="1" applyBorder="1" applyAlignment="1">
      <alignment horizontal="center"/>
    </xf>
    <xf fontId="3" fillId="0" borderId="20" numFmtId="49" xfId="0" applyNumberFormat="1" applyFont="1" applyBorder="1" applyAlignment="1">
      <alignment horizontal="center"/>
    </xf>
    <xf fontId="3" fillId="37" borderId="2" numFmtId="49" xfId="0" applyNumberFormat="1" applyFont="1" applyFill="1" applyBorder="1" applyAlignment="1">
      <alignment horizontal="center"/>
    </xf>
    <xf fontId="3" fillId="0" borderId="24" numFmtId="49" xfId="0" applyNumberFormat="1" applyFont="1" applyBorder="1" applyAlignment="1">
      <alignment horizontal="center" vertical="center"/>
    </xf>
    <xf fontId="5" fillId="43" borderId="2" numFmtId="49" xfId="0" applyNumberFormat="1" applyFont="1" applyFill="1" applyBorder="1" applyAlignment="1">
      <alignment horizontal="center"/>
    </xf>
    <xf fontId="0" fillId="43" borderId="0" numFmtId="0" xfId="0" applyFill="1"/>
    <xf fontId="5" fillId="44" borderId="2" numFmtId="49" xfId="0" applyNumberFormat="1" applyFont="1" applyFill="1" applyBorder="1" applyAlignment="1">
      <alignment horizontal="center"/>
    </xf>
    <xf fontId="3" fillId="0" borderId="20" numFmtId="49" xfId="0" applyNumberFormat="1" applyFont="1" applyBorder="1" applyAlignment="1">
      <alignment horizontal="center" vertical="center"/>
    </xf>
    <xf fontId="5" fillId="42" borderId="2" numFmtId="49" xfId="0" applyNumberFormat="1" applyFont="1" applyFill="1" applyBorder="1" applyAlignment="1">
      <alignment horizontal="center"/>
    </xf>
    <xf fontId="3" fillId="38" borderId="2" numFmtId="49" xfId="0" applyNumberFormat="1" applyFont="1" applyFill="1" applyBorder="1" applyAlignment="1">
      <alignment horizontal="center" vertical="center"/>
    </xf>
    <xf fontId="5" fillId="38" borderId="2" numFmtId="0" xfId="0" applyFont="1" applyFill="1" applyBorder="1" applyAlignment="1">
      <alignment horizontal="right"/>
    </xf>
    <xf fontId="3" fillId="5" borderId="2" numFmtId="49" xfId="0" applyNumberFormat="1" applyFont="1" applyFill="1" applyBorder="1" applyAlignment="1">
      <alignment horizontal="center"/>
    </xf>
    <xf fontId="3" fillId="0" borderId="25" numFmtId="14" xfId="0" applyNumberFormat="1" applyFont="1" applyBorder="1" applyAlignment="1">
      <alignment horizontal="center" vertical="center"/>
    </xf>
    <xf fontId="3" fillId="9" borderId="2" numFmtId="49" xfId="0" applyNumberFormat="1" applyFont="1" applyFill="1" applyBorder="1" applyAlignment="1">
      <alignment horizontal="center"/>
    </xf>
    <xf fontId="3" fillId="37" borderId="27" numFmtId="49" xfId="0" applyNumberFormat="1" applyFont="1" applyFill="1" applyBorder="1" applyAlignment="1">
      <alignment horizontal="center"/>
    </xf>
    <xf fontId="5" fillId="42" borderId="25" numFmtId="49" xfId="0" applyNumberFormat="1" applyFont="1" applyFill="1" applyBorder="1" applyAlignment="1">
      <alignment horizontal="center"/>
    </xf>
    <xf fontId="3" fillId="38" borderId="13" numFmtId="49" xfId="0" applyNumberFormat="1" applyFont="1" applyFill="1" applyBorder="1" applyAlignment="1">
      <alignment horizontal="center" vertical="center"/>
    </xf>
    <xf fontId="3" fillId="44" borderId="13" numFmtId="49" xfId="0" applyNumberFormat="1" applyFont="1" applyFill="1" applyBorder="1" applyAlignment="1">
      <alignment horizontal="center"/>
    </xf>
    <xf fontId="3" fillId="44" borderId="20" numFmtId="49" xfId="0" applyNumberFormat="1" applyFont="1" applyFill="1" applyBorder="1" applyAlignment="1">
      <alignment horizontal="center"/>
    </xf>
    <xf fontId="3" fillId="5" borderId="27" numFmtId="49" xfId="0" applyNumberFormat="1" applyFont="1" applyFill="1" applyBorder="1" applyAlignment="1">
      <alignment horizontal="center"/>
    </xf>
    <xf fontId="5" fillId="42" borderId="27" numFmtId="49" xfId="0" applyNumberFormat="1" applyFont="1" applyFill="1" applyBorder="1" applyAlignment="1">
      <alignment horizontal="center"/>
    </xf>
    <xf fontId="1" fillId="0" borderId="29" numFmtId="49" xfId="0" applyNumberFormat="1" applyFont="1" applyBorder="1" applyAlignment="1">
      <alignment horizontal="center" vertical="center"/>
    </xf>
    <xf fontId="1" fillId="0" borderId="20" numFmtId="0" xfId="0" applyFont="1" applyBorder="1" applyAlignment="1">
      <alignment horizontal="center" vertical="center"/>
    </xf>
    <xf fontId="1" fillId="6" borderId="27" numFmtId="0" xfId="0" applyFont="1" applyFill="1" applyBorder="1" applyAlignment="1">
      <alignment horizontal="center" vertical="center"/>
    </xf>
    <xf fontId="1" fillId="6" borderId="25" numFmtId="0" xfId="0" applyFont="1" applyFill="1" applyBorder="1" applyAlignment="1">
      <alignment horizontal="center" vertical="center"/>
    </xf>
    <xf fontId="1" fillId="0" borderId="2" numFmtId="49" xfId="0" applyNumberFormat="1" applyFont="1" applyBorder="1" applyAlignment="1">
      <alignment horizontal="center" vertical="center"/>
    </xf>
    <xf fontId="1" fillId="0" borderId="13" numFmtId="49" xfId="0" applyNumberFormat="1" applyFont="1" applyBorder="1" applyAlignment="1">
      <alignment horizontal="center" vertical="center"/>
    </xf>
    <xf fontId="1" fillId="5" borderId="27" numFmtId="0" xfId="0" applyFont="1" applyFill="1" applyBorder="1" applyAlignment="1">
      <alignment horizontal="center" vertical="center"/>
    </xf>
    <xf fontId="1" fillId="5" borderId="16" numFmtId="0" xfId="0" applyFont="1" applyFill="1" applyBorder="1" applyAlignment="1">
      <alignment horizontal="center" vertical="center"/>
    </xf>
    <xf fontId="1" fillId="0" borderId="16" numFmtId="49" xfId="0" applyNumberFormat="1" applyFont="1" applyBorder="1" applyAlignment="1">
      <alignment horizontal="center" vertical="center"/>
    </xf>
    <xf fontId="1" fillId="5" borderId="29" numFmtId="49" xfId="0" applyNumberFormat="1" applyFont="1" applyFill="1" applyBorder="1" applyAlignment="1">
      <alignment horizontal="center" vertical="center"/>
    </xf>
    <xf fontId="1" fillId="5" borderId="2" numFmtId="0" xfId="0" applyFont="1" applyFill="1" applyBorder="1" applyAlignment="1">
      <alignment horizontal="center" vertical="center"/>
    </xf>
    <xf fontId="1" fillId="0" borderId="30" numFmtId="49" xfId="0" applyNumberFormat="1" applyFont="1" applyBorder="1" applyAlignment="1">
      <alignment horizontal="center" vertical="center"/>
    </xf>
    <xf fontId="1" fillId="47" borderId="27" numFmtId="0" xfId="0" applyFont="1" applyFill="1" applyBorder="1" applyAlignment="1">
      <alignment horizontal="center" vertical="center"/>
    </xf>
    <xf fontId="1" fillId="47" borderId="25" numFmtId="0" xfId="0" applyFont="1" applyFill="1" applyBorder="1" applyAlignment="1">
      <alignment horizontal="center" vertical="center"/>
    </xf>
    <xf fontId="1" fillId="6" borderId="4" numFmtId="0" xfId="0" applyFont="1" applyFill="1" applyBorder="1" applyAlignment="1">
      <alignment horizontal="center" vertical="center"/>
    </xf>
    <xf fontId="1" fillId="6" borderId="1" numFmtId="0" xfId="0" applyFont="1" applyFill="1" applyBorder="1" applyAlignment="1">
      <alignment horizontal="center" vertical="center"/>
    </xf>
    <xf fontId="1" fillId="0" borderId="24" numFmtId="49" xfId="0" applyNumberFormat="1" applyFont="1" applyBorder="1" applyAlignment="1">
      <alignment horizontal="center" vertical="center"/>
    </xf>
    <xf fontId="1" fillId="43" borderId="27" numFmtId="0" xfId="0" applyFont="1" applyFill="1" applyBorder="1" applyAlignment="1">
      <alignment horizontal="center" vertical="center"/>
    </xf>
    <xf fontId="1" fillId="46" borderId="16" numFmtId="0" xfId="0" applyFont="1" applyFill="1" applyBorder="1" applyAlignment="1">
      <alignment horizontal="center" vertical="center"/>
    </xf>
    <xf fontId="1" fillId="0" borderId="13" numFmtId="0" xfId="0" applyFont="1" applyBorder="1" applyAlignment="1">
      <alignment horizontal="center" vertical="center"/>
    </xf>
    <xf fontId="9" fillId="19" borderId="20" numFmtId="49" xfId="0" applyNumberFormat="1" applyFont="1" applyFill="1" applyBorder="1" applyAlignment="1">
      <alignment horizontal="center" vertical="center"/>
    </xf>
    <xf fontId="1" fillId="44" borderId="25" numFmtId="49" xfId="0" applyNumberFormat="1" applyFont="1" applyFill="1" applyBorder="1" applyAlignment="1">
      <alignment horizontal="center" vertical="center"/>
    </xf>
    <xf fontId="1" fillId="44" borderId="20" numFmtId="0" xfId="0" applyFont="1" applyFill="1" applyBorder="1" applyAlignment="1">
      <alignment horizontal="center" vertical="center"/>
    </xf>
    <xf fontId="10" fillId="5" borderId="29" numFmtId="165" xfId="0" applyNumberFormat="1" applyFont="1" applyFill="1" applyBorder="1"/>
    <xf fontId="4" fillId="3" borderId="0" numFmtId="49" xfId="0" applyNumberFormat="1" applyFont="1" applyFill="1" applyAlignment="1">
      <alignment horizontal="center" vertical="center"/>
    </xf>
    <xf fontId="11" fillId="48" borderId="2" numFmtId="49" xfId="0" applyNumberFormat="1" applyFont="1" applyFill="1" applyBorder="1" applyAlignment="1">
      <alignment horizontal="center"/>
    </xf>
    <xf fontId="3" fillId="30" borderId="2" numFmtId="49" xfId="0" applyNumberFormat="1" applyFont="1" applyFill="1" applyBorder="1" applyAlignment="1">
      <alignment horizontal="center" vertical="center"/>
    </xf>
    <xf fontId="3" fillId="0" borderId="13" numFmtId="49" xfId="0" applyNumberFormat="1" applyFont="1" applyBorder="1" applyAlignment="1">
      <alignment horizontal="center" vertical="center"/>
    </xf>
    <xf fontId="5" fillId="0" borderId="13" numFmtId="49" xfId="0" applyNumberFormat="1" applyFont="1" applyBorder="1" applyAlignment="1">
      <alignment horizontal="center"/>
    </xf>
    <xf fontId="3" fillId="30" borderId="13" numFmtId="49" xfId="0" applyNumberFormat="1" applyFont="1" applyFill="1" applyBorder="1" applyAlignment="1">
      <alignment horizontal="center"/>
    </xf>
    <xf fontId="5" fillId="0" borderId="15" numFmtId="49" xfId="0" applyNumberFormat="1" applyFont="1" applyBorder="1" applyAlignment="1">
      <alignment horizontal="center"/>
    </xf>
    <xf fontId="5" fillId="6" borderId="27" numFmtId="0" xfId="0" applyFont="1" applyFill="1" applyBorder="1" applyAlignment="1">
      <alignment horizontal="right"/>
    </xf>
    <xf fontId="1" fillId="6" borderId="48" numFmtId="0" xfId="0" applyFont="1" applyFill="1" applyBorder="1" applyAlignment="1">
      <alignment horizontal="center" vertical="center"/>
    </xf>
    <xf fontId="1" fillId="45" borderId="24" numFmtId="49" xfId="0" applyNumberFormat="1" applyFont="1" applyFill="1" applyBorder="1" applyAlignment="1">
      <alignment horizontal="center" vertical="center"/>
    </xf>
    <xf fontId="1" fillId="45" borderId="2" numFmtId="0" xfId="0" applyFont="1" applyFill="1" applyBorder="1" applyAlignment="1">
      <alignment horizontal="center" vertical="center"/>
    </xf>
    <xf fontId="1" fillId="0" borderId="29" numFmtId="0" xfId="0" applyFont="1" applyBorder="1" applyAlignment="1">
      <alignment horizontal="center" vertical="center"/>
    </xf>
    <xf fontId="1" fillId="5" borderId="25" numFmtId="0" xfId="0" applyFont="1" applyFill="1" applyBorder="1" applyAlignment="1">
      <alignment horizontal="center" vertical="center"/>
    </xf>
    <xf fontId="1" fillId="44" borderId="24" numFmtId="49" xfId="0" applyNumberFormat="1" applyFont="1" applyFill="1" applyBorder="1" applyAlignment="1">
      <alignment horizontal="center" vertical="center"/>
    </xf>
    <xf fontId="1" fillId="42" borderId="16" numFmtId="0" xfId="0" applyFont="1" applyFill="1" applyBorder="1" applyAlignment="1">
      <alignment horizontal="center" vertical="center"/>
    </xf>
    <xf fontId="1" fillId="45" borderId="29" numFmtId="49" xfId="0" applyNumberFormat="1" applyFont="1" applyFill="1" applyBorder="1" applyAlignment="1">
      <alignment horizontal="center" vertical="center"/>
    </xf>
    <xf fontId="1" fillId="45" borderId="20" numFmtId="0" xfId="0" applyFont="1" applyFill="1" applyBorder="1" applyAlignment="1">
      <alignment horizontal="center" vertical="center"/>
    </xf>
    <xf fontId="1" fillId="5" borderId="4" numFmtId="0" xfId="0" applyFont="1" applyFill="1" applyBorder="1" applyAlignment="1">
      <alignment horizontal="center" vertical="center"/>
    </xf>
    <xf fontId="3" fillId="3" borderId="0" numFmtId="0" xfId="0" applyFont="1" applyFill="1" applyAlignment="1">
      <alignment horizontal="center" vertical="center" wrapText="1"/>
    </xf>
    <xf fontId="5" fillId="38" borderId="15" numFmtId="0" xfId="0" applyFont="1" applyFill="1" applyBorder="1" applyAlignment="1">
      <alignment horizontal="right"/>
    </xf>
    <xf fontId="5" fillId="0" borderId="16" numFmtId="49" xfId="0" applyNumberFormat="1" applyFont="1" applyBorder="1" applyAlignment="1">
      <alignment horizontal="center"/>
    </xf>
    <xf fontId="1" fillId="39" borderId="0" numFmtId="0" xfId="0" applyFont="1" applyFill="1" applyAlignment="1">
      <alignment horizontal="center" vertical="center"/>
    </xf>
    <xf fontId="1" fillId="0" borderId="27" numFmtId="0" xfId="0" applyFont="1" applyBorder="1" applyAlignment="1">
      <alignment horizontal="center" vertical="center"/>
    </xf>
    <xf fontId="1" fillId="23" borderId="30" numFmtId="49" xfId="0" applyNumberFormat="1" applyFont="1" applyFill="1" applyBorder="1" applyAlignment="1">
      <alignment horizontal="center" vertical="center"/>
    </xf>
    <xf fontId="1" fillId="23" borderId="20" numFmtId="0" xfId="0" applyFont="1" applyFill="1" applyBorder="1" applyAlignment="1">
      <alignment horizontal="center" vertical="center"/>
    </xf>
    <xf fontId="1" fillId="6" borderId="30" numFmtId="0" xfId="0" applyFont="1" applyFill="1" applyBorder="1" applyAlignment="1">
      <alignment horizontal="center" vertical="center"/>
    </xf>
    <xf fontId="1" fillId="0" borderId="15" numFmtId="0" xfId="0" applyFont="1" applyBorder="1" applyAlignment="1">
      <alignment horizontal="center" vertical="center"/>
    </xf>
    <xf fontId="1" fillId="5" borderId="30" numFmtId="0" xfId="0" applyFont="1" applyFill="1" applyBorder="1"/>
    <xf fontId="1" fillId="42" borderId="27" numFmtId="0" xfId="0" applyFont="1" applyFill="1" applyBorder="1" applyAlignment="1">
      <alignment horizontal="center" vertical="center"/>
    </xf>
    <xf fontId="1" fillId="42" borderId="25" numFmtId="0" xfId="0" applyFont="1" applyFill="1" applyBorder="1" applyAlignment="1">
      <alignment horizontal="center" vertical="center"/>
    </xf>
    <xf fontId="1" fillId="6" borderId="16" numFmtId="0" xfId="0" applyFont="1" applyFill="1" applyBorder="1" applyAlignment="1">
      <alignment horizontal="center" vertical="center"/>
    </xf>
    <xf fontId="1" fillId="0" borderId="2" numFmtId="0" xfId="0" applyFont="1" applyBorder="1"/>
    <xf fontId="1" fillId="45" borderId="13" numFmtId="49" xfId="0" applyNumberFormat="1" applyFont="1" applyFill="1" applyBorder="1" applyAlignment="1">
      <alignment horizontal="center" vertical="center"/>
    </xf>
    <xf fontId="1" fillId="0" borderId="17" numFmtId="0" xfId="0" applyFont="1" applyBorder="1" applyAlignment="1">
      <alignment horizontal="center" vertical="center"/>
    </xf>
    <xf fontId="1" fillId="6" borderId="25" numFmtId="0" xfId="0" applyFont="1" applyFill="1" applyBorder="1"/>
    <xf fontId="12" fillId="26" borderId="2" numFmtId="165" xfId="0" applyNumberFormat="1" applyFont="1" applyFill="1" applyBorder="1" applyAlignment="1">
      <alignment horizontal="center"/>
    </xf>
    <xf fontId="10" fillId="26" borderId="2" numFmtId="165" xfId="0" applyNumberFormat="1" applyFont="1" applyFill="1" applyBorder="1"/>
    <xf fontId="5" fillId="0" borderId="25" numFmtId="49" xfId="0" applyNumberFormat="1" applyFont="1" applyBorder="1" applyAlignment="1">
      <alignment horizontal="center"/>
    </xf>
    <xf fontId="3" fillId="6" borderId="27" numFmtId="49" xfId="0" applyNumberFormat="1" applyFont="1" applyFill="1" applyBorder="1" applyAlignment="1">
      <alignment horizontal="center"/>
    </xf>
    <xf fontId="5" fillId="6" borderId="25" numFmtId="49" xfId="0" applyNumberFormat="1" applyFont="1" applyFill="1" applyBorder="1" applyAlignment="1">
      <alignment horizontal="center"/>
    </xf>
    <xf fontId="1" fillId="39" borderId="80" numFmtId="0" xfId="0" applyFont="1" applyFill="1" applyBorder="1" applyAlignment="1">
      <alignment horizontal="center" vertical="center"/>
    </xf>
    <xf fontId="1" fillId="5" borderId="48" numFmtId="0" xfId="0" applyFont="1" applyFill="1" applyBorder="1" applyAlignment="1">
      <alignment horizontal="center" vertical="center"/>
    </xf>
    <xf fontId="0" fillId="6" borderId="2" numFmtId="49" xfId="0" applyNumberFormat="1" applyFill="1" applyBorder="1" applyAlignment="1">
      <alignment horizontal="center" vertical="center"/>
    </xf>
    <xf fontId="0" fillId="6" borderId="2" numFmtId="0" xfId="0" applyFill="1" applyBorder="1" applyAlignment="1">
      <alignment horizontal="center" vertical="center"/>
    </xf>
    <xf fontId="1" fillId="0" borderId="43" numFmtId="0" xfId="0" applyFont="1" applyBorder="1" applyAlignment="1">
      <alignment horizontal="center" vertical="center"/>
    </xf>
    <xf fontId="0" fillId="5" borderId="2" numFmtId="49" xfId="0" applyNumberFormat="1" applyFill="1" applyBorder="1" applyAlignment="1">
      <alignment horizontal="center" vertical="center"/>
    </xf>
    <xf fontId="0" fillId="5" borderId="2" numFmtId="0" xfId="0" applyFill="1" applyBorder="1" applyAlignment="1">
      <alignment horizontal="center" vertical="center"/>
    </xf>
    <xf fontId="0" fillId="49" borderId="2" numFmtId="49" xfId="0" applyNumberFormat="1" applyFill="1" applyBorder="1" applyAlignment="1">
      <alignment horizontal="center" vertical="center"/>
    </xf>
    <xf fontId="0" fillId="49" borderId="2" numFmtId="0" xfId="0" applyFill="1" applyBorder="1" applyAlignment="1">
      <alignment horizontal="center" vertical="center"/>
    </xf>
    <xf fontId="1" fillId="0" borderId="1" numFmtId="49" xfId="0" applyNumberFormat="1" applyFont="1" applyBorder="1" applyAlignment="1">
      <alignment horizontal="center" vertical="center"/>
    </xf>
    <xf fontId="0" fillId="0" borderId="2" numFmtId="49" xfId="0" applyNumberFormat="1" applyBorder="1" applyAlignment="1">
      <alignment horizontal="center" vertical="center"/>
    </xf>
    <xf fontId="1" fillId="6" borderId="77" numFmtId="0" xfId="0" applyFont="1" applyFill="1" applyBorder="1" applyAlignment="1">
      <alignment horizontal="center" vertical="center"/>
    </xf>
    <xf fontId="1" fillId="6" borderId="39" numFmtId="0" xfId="0" applyFont="1" applyFill="1" applyBorder="1" applyAlignment="1">
      <alignment horizontal="center" vertical="center"/>
    </xf>
    <xf fontId="10" fillId="13" borderId="2" numFmtId="0" xfId="0" applyFont="1" applyFill="1" applyBorder="1"/>
    <xf fontId="10" fillId="14" borderId="2" numFmtId="0" xfId="0" applyFont="1" applyFill="1" applyBorder="1"/>
    <xf fontId="10" fillId="0" borderId="25" numFmtId="0" xfId="0" applyFont="1" applyBorder="1"/>
    <xf fontId="12" fillId="25" borderId="2" numFmtId="165" xfId="0" applyNumberFormat="1" applyFont="1" applyFill="1" applyBorder="1" applyAlignment="1">
      <alignment horizontal="center"/>
    </xf>
    <xf fontId="10" fillId="0" borderId="25" numFmtId="14" xfId="0" applyNumberFormat="1" applyFont="1" applyBorder="1"/>
    <xf fontId="0" fillId="0" borderId="2" numFmtId="0" xfId="0" applyBorder="1"/>
    <xf fontId="3" fillId="5" borderId="20" numFmtId="49" xfId="0" applyNumberFormat="1" applyFont="1" applyFill="1" applyBorder="1" applyAlignment="1">
      <alignment horizontal="center"/>
    </xf>
    <xf fontId="3" fillId="0" borderId="25" numFmtId="49" xfId="0" applyNumberFormat="1" applyFont="1" applyBorder="1" applyAlignment="1">
      <alignment horizontal="center"/>
    </xf>
    <xf fontId="3" fillId="43" borderId="2" numFmtId="49" xfId="0" applyNumberFormat="1" applyFont="1" applyFill="1" applyBorder="1" applyAlignment="1">
      <alignment horizontal="center"/>
    </xf>
    <xf fontId="3" fillId="43" borderId="2" numFmtId="49" xfId="0" applyNumberFormat="1" applyFont="1" applyFill="1" applyBorder="1" applyAlignment="1">
      <alignment horizontal="center" vertical="center"/>
    </xf>
    <xf fontId="3" fillId="0" borderId="29" numFmtId="49" xfId="0" applyNumberFormat="1" applyFont="1" applyBorder="1" applyAlignment="1">
      <alignment horizontal="center"/>
    </xf>
    <xf fontId="5" fillId="2" borderId="2" numFmtId="49" xfId="0" applyNumberFormat="1" applyFont="1" applyFill="1" applyBorder="1" applyAlignment="1">
      <alignment horizontal="center"/>
    </xf>
    <xf fontId="3" fillId="2" borderId="2" numFmtId="49" xfId="0" applyNumberFormat="1" applyFont="1" applyFill="1" applyBorder="1" applyAlignment="1">
      <alignment horizontal="center"/>
    </xf>
    <xf fontId="3" fillId="2" borderId="2" numFmtId="49" xfId="0" applyNumberFormat="1" applyFont="1" applyFill="1" applyBorder="1" applyAlignment="1">
      <alignment horizontal="center" vertical="center"/>
    </xf>
    <xf fontId="3" fillId="42" borderId="2" numFmtId="49" xfId="0" applyNumberFormat="1" applyFont="1" applyFill="1" applyBorder="1" applyAlignment="1">
      <alignment horizontal="center"/>
    </xf>
    <xf fontId="3" fillId="5" borderId="13" numFmtId="49" xfId="0" applyNumberFormat="1" applyFont="1" applyFill="1" applyBorder="1" applyAlignment="1">
      <alignment horizontal="center"/>
    </xf>
    <xf fontId="3" fillId="5" borderId="25" numFmtId="49" xfId="0" applyNumberFormat="1" applyFont="1" applyFill="1" applyBorder="1" applyAlignment="1">
      <alignment horizontal="center"/>
    </xf>
    <xf fontId="12" fillId="26" borderId="29" numFmtId="165" xfId="0" applyNumberFormat="1" applyFont="1" applyFill="1" applyBorder="1" applyAlignment="1">
      <alignment horizontal="center"/>
    </xf>
    <xf fontId="10" fillId="45" borderId="18" numFmtId="49" xfId="0" applyNumberFormat="1" applyFont="1" applyFill="1" applyBorder="1" applyAlignment="1">
      <alignment horizontal="center"/>
    </xf>
    <xf fontId="10" fillId="44" borderId="18" numFmtId="49" xfId="0" applyNumberFormat="1" applyFont="1" applyFill="1" applyBorder="1" applyAlignment="1">
      <alignment horizontal="center"/>
    </xf>
    <xf fontId="10" fillId="25" borderId="2" numFmtId="165" xfId="0" applyNumberFormat="1" applyFont="1" applyFill="1" applyBorder="1"/>
    <xf fontId="11" fillId="50" borderId="2" numFmtId="49" xfId="0" applyNumberFormat="1" applyFont="1" applyFill="1" applyBorder="1" applyAlignment="1">
      <alignment horizontal="center"/>
    </xf>
    <xf fontId="11" fillId="0" borderId="2" numFmtId="49" xfId="0" applyNumberFormat="1" applyFont="1" applyBorder="1" applyAlignment="1">
      <alignment horizontal="center"/>
    </xf>
    <xf fontId="0" fillId="42" borderId="2" numFmtId="0" xfId="0" applyFill="1" applyBorder="1"/>
    <xf fontId="3" fillId="42" borderId="2" numFmtId="49" xfId="0" applyNumberFormat="1" applyFont="1" applyFill="1" applyBorder="1" applyAlignment="1">
      <alignment horizontal="center" vertical="center"/>
    </xf>
    <xf fontId="3" fillId="46" borderId="13" numFmtId="49" xfId="0" applyNumberFormat="1" applyFont="1" applyFill="1" applyBorder="1" applyAlignment="1">
      <alignment horizontal="center" vertical="center"/>
    </xf>
    <xf fontId="3" fillId="47" borderId="13" numFmtId="49" xfId="0" applyNumberFormat="1" applyFont="1" applyFill="1" applyBorder="1" applyAlignment="1">
      <alignment horizontal="center"/>
    </xf>
    <xf fontId="0" fillId="0" borderId="45" numFmtId="0" xfId="0" applyBorder="1"/>
    <xf fontId="3" fillId="45" borderId="29" numFmtId="49" xfId="0" applyNumberFormat="1" applyFont="1" applyFill="1" applyBorder="1" applyAlignment="1">
      <alignment horizontal="center"/>
    </xf>
    <xf fontId="3" fillId="5" borderId="29" numFmtId="49" xfId="0" applyNumberFormat="1" applyFont="1" applyFill="1" applyBorder="1" applyAlignment="1">
      <alignment horizontal="center"/>
    </xf>
    <xf fontId="3" fillId="42" borderId="29" numFmtId="49" xfId="0" applyNumberFormat="1" applyFont="1" applyFill="1" applyBorder="1" applyAlignment="1">
      <alignment horizontal="center" vertical="center"/>
    </xf>
    <xf fontId="3" fillId="42" borderId="17" numFmtId="49" xfId="0" applyNumberFormat="1" applyFont="1" applyFill="1" applyBorder="1" applyAlignment="1">
      <alignment horizontal="center" vertical="center"/>
    </xf>
    <xf fontId="3" fillId="44" borderId="30" numFmtId="49" xfId="0" applyNumberFormat="1" applyFont="1" applyFill="1" applyBorder="1" applyAlignment="1">
      <alignment horizontal="center"/>
    </xf>
    <xf fontId="3" fillId="44" borderId="29" numFmtId="49" xfId="0" applyNumberFormat="1" applyFont="1" applyFill="1" applyBorder="1" applyAlignment="1">
      <alignment horizontal="center"/>
    </xf>
    <xf fontId="10" fillId="26" borderId="29" numFmtId="165" xfId="0" applyNumberFormat="1" applyFont="1" applyFill="1" applyBorder="1"/>
    <xf fontId="3" fillId="4" borderId="2" numFmtId="49" xfId="0" applyNumberFormat="1" applyFont="1" applyFill="1" applyBorder="1" applyAlignment="1">
      <alignment horizontal="center"/>
    </xf>
    <xf fontId="5" fillId="30" borderId="2" numFmtId="49" xfId="0" applyNumberFormat="1" applyFont="1" applyFill="1" applyBorder="1" applyAlignment="1">
      <alignment horizontal="center"/>
    </xf>
    <xf fontId="3" fillId="51" borderId="2" numFmtId="49" xfId="0" applyNumberFormat="1" applyFont="1" applyFill="1" applyBorder="1" applyAlignment="1">
      <alignment horizontal="center"/>
    </xf>
    <xf fontId="3" fillId="23" borderId="2" numFmtId="49" xfId="0" applyNumberFormat="1" applyFont="1" applyFill="1" applyBorder="1" applyAlignment="1">
      <alignment horizontal="center" vertical="center"/>
    </xf>
    <xf fontId="3" fillId="39" borderId="2" numFmtId="49" xfId="0" applyNumberFormat="1" applyFont="1" applyFill="1" applyBorder="1" applyAlignment="1">
      <alignment horizontal="center"/>
    </xf>
    <xf fontId="3" fillId="39" borderId="2" numFmtId="49" xfId="0" applyNumberFormat="1" applyFont="1" applyFill="1" applyBorder="1" applyAlignment="1">
      <alignment horizontal="center" vertical="center"/>
    </xf>
    <xf fontId="5" fillId="52" borderId="13" numFmtId="49" xfId="0" applyNumberFormat="1" applyFont="1" applyFill="1" applyBorder="1" applyAlignment="1">
      <alignment horizontal="center"/>
    </xf>
    <xf fontId="3" fillId="42" borderId="20" numFmtId="49" xfId="0" applyNumberFormat="1" applyFont="1" applyFill="1" applyBorder="1" applyAlignment="1">
      <alignment horizontal="center"/>
    </xf>
    <xf fontId="5" fillId="45" borderId="25" numFmtId="49" xfId="0" applyNumberFormat="1" applyFont="1" applyFill="1" applyBorder="1" applyAlignment="1">
      <alignment horizontal="center"/>
    </xf>
    <xf fontId="3" fillId="4" borderId="2" numFmtId="49" xfId="0" applyNumberFormat="1" applyFont="1" applyFill="1" applyBorder="1" applyAlignment="1">
      <alignment horizontal="center" vertical="center"/>
    </xf>
    <xf fontId="5" fillId="30" borderId="13" numFmtId="49" xfId="0" applyNumberFormat="1" applyFont="1" applyFill="1" applyBorder="1" applyAlignment="1">
      <alignment horizontal="center"/>
    </xf>
    <xf fontId="3" fillId="30" borderId="20" numFmtId="49" xfId="0" applyNumberFormat="1" applyFont="1" applyFill="1" applyBorder="1" applyAlignment="1">
      <alignment horizontal="center" vertical="center"/>
    </xf>
    <xf fontId="3" fillId="0" borderId="25" numFmtId="49" xfId="0" applyNumberFormat="1" applyFont="1" applyBorder="1" applyAlignment="1">
      <alignment horizontal="center" vertical="center"/>
    </xf>
    <xf fontId="3" fillId="6" borderId="13" numFmtId="49" xfId="0" applyNumberFormat="1" applyFont="1" applyFill="1" applyBorder="1" applyAlignment="1">
      <alignment horizontal="center"/>
    </xf>
    <xf fontId="5" fillId="45" borderId="29" numFmtId="49" xfId="0" applyNumberFormat="1" applyFont="1" applyFill="1" applyBorder="1" applyAlignment="1">
      <alignment horizontal="center"/>
    </xf>
    <xf fontId="5" fillId="45" borderId="17" numFmtId="49" xfId="0" applyNumberFormat="1" applyFont="1" applyFill="1" applyBorder="1" applyAlignment="1">
      <alignment horizontal="center"/>
    </xf>
    <xf fontId="5" fillId="49" borderId="13" numFmtId="49" xfId="0" applyNumberFormat="1" applyFont="1" applyFill="1" applyBorder="1" applyAlignment="1">
      <alignment horizontal="center"/>
    </xf>
    <xf fontId="3" fillId="49" borderId="13" numFmtId="49" xfId="0" applyNumberFormat="1" applyFont="1" applyFill="1" applyBorder="1" applyAlignment="1">
      <alignment horizontal="center"/>
    </xf>
    <xf fontId="5" fillId="53" borderId="2" numFmtId="49" xfId="0" applyNumberFormat="1" applyFont="1" applyFill="1" applyBorder="1" applyAlignment="1">
      <alignment horizontal="center"/>
    </xf>
    <xf fontId="3" fillId="53" borderId="20" numFmtId="49" xfId="0" applyNumberFormat="1" applyFont="1" applyFill="1" applyBorder="1" applyAlignment="1">
      <alignment horizontal="center"/>
    </xf>
    <xf fontId="3" fillId="53" borderId="18" numFmtId="49" xfId="0" applyNumberFormat="1" applyFont="1" applyFill="1" applyBorder="1" applyAlignment="1">
      <alignment horizontal="center"/>
    </xf>
    <xf fontId="5" fillId="30" borderId="25" numFmtId="49" xfId="0" applyNumberFormat="1" applyFont="1" applyFill="1" applyBorder="1" applyAlignment="1">
      <alignment horizontal="center"/>
    </xf>
    <xf fontId="5" fillId="47" borderId="29" numFmtId="49" xfId="0" applyNumberFormat="1" applyFont="1" applyFill="1" applyBorder="1" applyAlignment="1">
      <alignment horizontal="center"/>
    </xf>
    <xf fontId="3" fillId="6" borderId="13" numFmtId="49" xfId="0" applyNumberFormat="1" applyFont="1" applyFill="1" applyBorder="1" applyAlignment="1">
      <alignment horizontal="center" vertical="center"/>
    </xf>
    <xf fontId="3" fillId="0" borderId="15" numFmtId="49" xfId="0" applyNumberFormat="1" applyFont="1" applyBorder="1" applyAlignment="1">
      <alignment horizontal="center"/>
    </xf>
    <xf fontId="5" fillId="44" borderId="25" numFmtId="49" xfId="0" applyNumberFormat="1" applyFont="1" applyFill="1" applyBorder="1" applyAlignment="1">
      <alignment horizontal="center"/>
    </xf>
    <xf fontId="3" fillId="30" borderId="20" numFmtId="49" xfId="0" applyNumberFormat="1" applyFont="1" applyFill="1" applyBorder="1" applyAlignment="1">
      <alignment horizontal="center"/>
    </xf>
    <xf fontId="3" fillId="38" borderId="30" numFmtId="49" xfId="0" applyNumberFormat="1" applyFont="1" applyFill="1" applyBorder="1" applyAlignment="1">
      <alignment horizontal="center" vertical="center"/>
    </xf>
    <xf fontId="5" fillId="38" borderId="29" numFmtId="0" xfId="0" applyFont="1" applyFill="1" applyBorder="1" applyAlignment="1">
      <alignment horizontal="right"/>
    </xf>
    <xf fontId="1" fillId="0" borderId="0" numFmtId="0" xfId="1" applyFont="1"/>
    <xf fontId="1" fillId="0" borderId="0" numFmtId="49" xfId="1" applyNumberFormat="1" applyFont="1"/>
    <xf fontId="21" fillId="0" borderId="81" numFmtId="0" xfId="1" applyFont="1" applyBorder="1"/>
    <xf fontId="22" fillId="21" borderId="82" numFmtId="49" xfId="1" applyNumberFormat="1" applyFont="1" applyFill="1" applyBorder="1" applyAlignment="1">
      <alignment horizontal="center" vertical="center"/>
    </xf>
    <xf fontId="18" fillId="21" borderId="82" numFmtId="49" xfId="1" applyNumberFormat="1" applyFont="1" applyFill="1" applyBorder="1" applyAlignment="1">
      <alignment horizontal="center" vertical="center" wrapText="1"/>
    </xf>
    <xf fontId="23" fillId="54" borderId="82" numFmtId="49" xfId="1" applyNumberFormat="1" applyFont="1" applyFill="1" applyBorder="1" applyAlignment="1">
      <alignment horizontal="center" vertical="center"/>
    </xf>
    <xf fontId="18" fillId="54" borderId="82" numFmtId="49" xfId="1" applyNumberFormat="1" applyFont="1" applyFill="1" applyBorder="1" applyAlignment="1">
      <alignment horizontal="center" vertical="center" wrapText="1"/>
    </xf>
    <xf fontId="18" fillId="0" borderId="83" numFmtId="49" xfId="1" applyNumberFormat="1" applyFont="1" applyBorder="1" applyAlignment="1">
      <alignment horizontal="left" vertical="center"/>
    </xf>
    <xf fontId="18" fillId="0" borderId="0" numFmtId="49" xfId="1" applyNumberFormat="1" applyFont="1" applyAlignment="1">
      <alignment horizontal="left" vertical="center"/>
    </xf>
    <xf fontId="18" fillId="0" borderId="81" numFmtId="49" xfId="1" applyNumberFormat="1" applyFont="1" applyBorder="1" applyAlignment="1">
      <alignment vertical="center"/>
    </xf>
    <xf fontId="21" fillId="0" borderId="0" numFmtId="49" xfId="1" applyNumberFormat="1" applyFont="1" applyAlignment="1">
      <alignment vertical="center" wrapText="1"/>
    </xf>
    <xf fontId="21" fillId="0" borderId="0" numFmtId="0" xfId="1" applyFont="1" applyAlignment="1">
      <alignment vertical="center" wrapText="1"/>
    </xf>
    <xf fontId="18" fillId="0" borderId="0" numFmtId="0" xfId="1" applyFont="1" applyAlignment="1">
      <alignment vertical="center"/>
    </xf>
    <xf fontId="18" fillId="0" borderId="81" numFmtId="0" xfId="1" applyFont="1" applyBorder="1" applyAlignment="1">
      <alignment horizontal="left" vertical="center"/>
    </xf>
    <xf fontId="18" fillId="42" borderId="82" numFmtId="49" xfId="1" applyNumberFormat="1" applyFont="1" applyFill="1" applyBorder="1" applyAlignment="1">
      <alignment horizontal="center" vertical="center"/>
    </xf>
    <xf fontId="18" fillId="43" borderId="82" numFmtId="49" xfId="1" applyNumberFormat="1" applyFont="1" applyFill="1" applyBorder="1" applyAlignment="1">
      <alignment horizontal="center" vertical="center"/>
    </xf>
    <xf fontId="18" fillId="0" borderId="81" numFmtId="49" xfId="1" applyNumberFormat="1" applyFont="1" applyBorder="1" applyAlignment="1">
      <alignment horizontal="left" vertical="center"/>
    </xf>
    <xf fontId="18" fillId="0" borderId="0" numFmtId="0" xfId="1" applyFont="1" applyAlignment="1">
      <alignment horizontal="left" vertical="center"/>
    </xf>
    <xf fontId="21" fillId="0" borderId="84" numFmtId="49" xfId="1" applyNumberFormat="1" applyFont="1" applyBorder="1"/>
    <xf fontId="21" fillId="0" borderId="85" numFmtId="49" xfId="1" applyNumberFormat="1" applyFont="1" applyBorder="1"/>
    <xf fontId="18" fillId="0" borderId="0" numFmtId="49" xfId="1" applyNumberFormat="1" applyFont="1" applyAlignment="1">
      <alignment vertical="center"/>
    </xf>
    <xf fontId="18" fillId="0" borderId="5" numFmtId="0" xfId="1" applyFont="1" applyBorder="1" applyAlignment="1">
      <alignment vertical="center"/>
    </xf>
    <xf fontId="18" fillId="0" borderId="5" numFmtId="49" xfId="1" applyNumberFormat="1" applyFont="1" applyBorder="1" applyAlignment="1">
      <alignment vertical="center"/>
    </xf>
    <xf fontId="18" fillId="0" borderId="85" numFmtId="49" xfId="1" applyNumberFormat="1" applyFont="1" applyBorder="1" applyAlignment="1">
      <alignment vertical="center"/>
    </xf>
    <xf fontId="24" fillId="54" borderId="5" numFmtId="49" xfId="1" applyNumberFormat="1" applyFont="1" applyFill="1" applyBorder="1" applyAlignment="1">
      <alignment vertical="center"/>
    </xf>
    <xf fontId="18" fillId="0" borderId="5" numFmtId="0" xfId="1" applyFont="1" applyBorder="1" applyAlignment="1">
      <alignment horizontal="center" vertical="center"/>
    </xf>
    <xf fontId="21" fillId="0" borderId="5" numFmtId="0" xfId="1" applyFont="1" applyBorder="1"/>
    <xf fontId="18" fillId="0" borderId="0" numFmtId="0" xfId="1" applyFont="1" applyAlignment="1">
      <alignment horizontal="center" vertical="center"/>
    </xf>
    <xf fontId="25" fillId="0" borderId="86" numFmtId="0" xfId="1" applyFont="1" applyBorder="1" applyAlignment="1">
      <alignment horizontal="center" vertical="center"/>
    </xf>
    <xf fontId="25" fillId="0" borderId="85" numFmtId="0" xfId="1" applyFont="1" applyBorder="1" applyAlignment="1">
      <alignment horizontal="center" vertical="center"/>
    </xf>
    <xf fontId="25" fillId="0" borderId="87" numFmtId="0" xfId="1" applyFont="1" applyBorder="1" applyAlignment="1">
      <alignment horizontal="center" vertical="center"/>
    </xf>
    <xf fontId="26" fillId="55" borderId="82" numFmtId="0" xfId="1" applyFont="1" applyFill="1" applyBorder="1" applyAlignment="1">
      <alignment horizontal="center" vertical="center"/>
    </xf>
    <xf fontId="18" fillId="0" borderId="82" numFmtId="49" xfId="1" applyNumberFormat="1" applyFont="1" applyBorder="1" applyAlignment="1">
      <alignment horizontal="center" vertical="center"/>
    </xf>
    <xf fontId="26" fillId="56" borderId="86" numFmtId="0" xfId="1" applyFont="1" applyFill="1" applyBorder="1" applyAlignment="1">
      <alignment horizontal="center" vertical="center"/>
    </xf>
    <xf fontId="26" fillId="56" borderId="87" numFmtId="0" xfId="1" applyFont="1" applyFill="1" applyBorder="1" applyAlignment="1">
      <alignment horizontal="center" vertical="center"/>
    </xf>
    <xf fontId="18" fillId="0" borderId="88" numFmtId="0" xfId="1" applyFont="1" applyBorder="1" applyAlignment="1">
      <alignment horizontal="center" vertical="center"/>
    </xf>
    <xf fontId="27" fillId="0" borderId="82" numFmtId="0" xfId="1" applyFont="1" applyBorder="1"/>
    <xf fontId="26" fillId="57" borderId="82" numFmtId="49" xfId="1" applyNumberFormat="1" applyFont="1" applyFill="1" applyBorder="1" applyAlignment="1">
      <alignment horizontal="center"/>
    </xf>
    <xf fontId="27" fillId="57" borderId="82" numFmtId="49" xfId="1" applyNumberFormat="1" applyFont="1" applyFill="1" applyBorder="1"/>
    <xf fontId="26" fillId="58" borderId="82" numFmtId="49" xfId="1" applyNumberFormat="1" applyFont="1" applyFill="1" applyBorder="1" applyAlignment="1">
      <alignment horizontal="center"/>
    </xf>
    <xf fontId="27" fillId="58" borderId="82" numFmtId="49" xfId="1" applyNumberFormat="1" applyFont="1" applyFill="1" applyBorder="1"/>
    <xf fontId="26" fillId="57" borderId="86" numFmtId="0" xfId="1" applyFont="1" applyFill="1" applyBorder="1" applyAlignment="1">
      <alignment horizontal="center"/>
    </xf>
    <xf fontId="26" fillId="57" borderId="87" numFmtId="0" xfId="1" applyFont="1" applyFill="1" applyBorder="1" applyAlignment="1">
      <alignment horizontal="center"/>
    </xf>
    <xf fontId="27" fillId="0" borderId="82" numFmtId="49" xfId="1" applyNumberFormat="1" applyFont="1" applyBorder="1"/>
    <xf fontId="18" fillId="0" borderId="88" numFmtId="0" xfId="1" applyFont="1" applyBorder="1"/>
    <xf fontId="18" fillId="0" borderId="82" numFmtId="0" xfId="1" applyFont="1" applyBorder="1" applyAlignment="1">
      <alignment horizontal="center"/>
    </xf>
    <xf fontId="28" fillId="42" borderId="82" numFmtId="49" xfId="1" applyNumberFormat="1" applyFont="1" applyFill="1" applyBorder="1" applyAlignment="1">
      <alignment horizontal="center"/>
    </xf>
    <xf fontId="27" fillId="42" borderId="82" numFmtId="49" xfId="1" applyNumberFormat="1" applyFont="1" applyFill="1" applyBorder="1"/>
    <xf fontId="26" fillId="57" borderId="82" numFmtId="0" xfId="1" applyFont="1" applyFill="1" applyBorder="1" applyAlignment="1">
      <alignment horizontal="center"/>
    </xf>
    <xf fontId="18" fillId="42" borderId="82" numFmtId="0" xfId="1" applyFont="1" applyFill="1" applyBorder="1" applyAlignment="1">
      <alignment horizontal="center"/>
    </xf>
    <xf fontId="18" fillId="59" borderId="82" numFmtId="0" xfId="1" applyFont="1" applyFill="1" applyBorder="1" applyAlignment="1">
      <alignment horizontal="center"/>
    </xf>
    <xf fontId="18" fillId="0" borderId="86" numFmtId="0" xfId="1" applyFont="1" applyBorder="1"/>
    <xf fontId="26" fillId="60" borderId="82" numFmtId="0" xfId="1" applyFont="1" applyFill="1" applyBorder="1" applyAlignment="1">
      <alignment horizontal="center"/>
    </xf>
    <xf fontId="18" fillId="60" borderId="82" numFmtId="49" xfId="1" applyNumberFormat="1" applyFont="1" applyFill="1" applyBorder="1" applyAlignment="1">
      <alignment horizontal="center"/>
    </xf>
    <xf fontId="18" fillId="0" borderId="82" numFmtId="49" xfId="1" applyNumberFormat="1" applyFont="1" applyBorder="1" applyAlignment="1">
      <alignment horizontal="center"/>
    </xf>
    <xf fontId="26" fillId="17" borderId="82" numFmtId="49" xfId="1" applyNumberFormat="1" applyFont="1" applyFill="1" applyBorder="1" applyAlignment="1">
      <alignment horizontal="center"/>
    </xf>
    <xf fontId="26" fillId="0" borderId="82" numFmtId="0" xfId="1" applyFont="1" applyBorder="1" applyAlignment="1">
      <alignment horizontal="center"/>
    </xf>
    <xf fontId="27" fillId="43" borderId="82" numFmtId="49" xfId="1" applyNumberFormat="1" applyFont="1" applyFill="1" applyBorder="1" applyAlignment="1">
      <alignment horizontal="center"/>
    </xf>
    <xf fontId="27" fillId="42" borderId="82" numFmtId="49" xfId="1" applyNumberFormat="1" applyFont="1" applyFill="1" applyBorder="1" applyAlignment="1">
      <alignment horizontal="center"/>
    </xf>
    <xf fontId="18" fillId="0" borderId="82" numFmtId="0" xfId="1" applyFont="1" applyBorder="1"/>
    <xf fontId="18" fillId="0" borderId="83" numFmtId="0" xfId="1" applyFont="1" applyBorder="1" applyAlignment="1">
      <alignment vertical="center"/>
    </xf>
    <xf fontId="26" fillId="61" borderId="82" numFmtId="0" xfId="1" applyFont="1" applyFill="1" applyBorder="1" applyAlignment="1">
      <alignment horizontal="center"/>
    </xf>
    <xf fontId="18" fillId="43" borderId="82" numFmtId="49" xfId="1" applyNumberFormat="1" applyFont="1" applyFill="1" applyBorder="1" applyAlignment="1">
      <alignment horizontal="center"/>
    </xf>
    <xf fontId="18" fillId="42" borderId="82" numFmtId="49" xfId="1" applyNumberFormat="1" applyFont="1" applyFill="1" applyBorder="1" applyAlignment="1">
      <alignment horizontal="center"/>
    </xf>
    <xf fontId="29" fillId="17" borderId="82" numFmtId="0" xfId="1" applyFont="1" applyFill="1" applyBorder="1"/>
    <xf fontId="21" fillId="0" borderId="83" numFmtId="0" xfId="1" applyFont="1" applyBorder="1"/>
    <xf fontId="26" fillId="62" borderId="82" numFmtId="0" xfId="1" applyFont="1" applyFill="1" applyBorder="1" applyAlignment="1">
      <alignment horizontal="center"/>
    </xf>
    <xf fontId="21" fillId="0" borderId="82" numFmtId="49" xfId="1" applyNumberFormat="1" applyFont="1" applyBorder="1"/>
    <xf fontId="26" fillId="62" borderId="82" numFmtId="0" xfId="1" applyFont="1" applyFill="1" applyBorder="1" applyAlignment="1">
      <alignment horizontal="center" vertical="center"/>
    </xf>
    <xf fontId="21" fillId="42" borderId="82" numFmtId="49" xfId="1" applyNumberFormat="1" applyFont="1" applyFill="1" applyBorder="1"/>
    <xf fontId="21" fillId="63" borderId="82" numFmtId="49" xfId="1" applyNumberFormat="1" applyFont="1" applyFill="1" applyBorder="1"/>
    <xf fontId="18" fillId="63" borderId="82" numFmtId="49" xfId="1" applyNumberFormat="1" applyFont="1" applyFill="1" applyBorder="1" applyAlignment="1">
      <alignment horizontal="center"/>
    </xf>
    <xf fontId="27" fillId="17" borderId="82" numFmtId="0" xfId="1" applyFont="1" applyFill="1" applyBorder="1"/>
    <xf fontId="27" fillId="0" borderId="89" numFmtId="0" xfId="1" applyFont="1" applyBorder="1"/>
    <xf fontId="26" fillId="0" borderId="86" numFmtId="0" xfId="1" applyFont="1" applyBorder="1" applyAlignment="1">
      <alignment horizontal="center" vertical="center"/>
    </xf>
    <xf fontId="26" fillId="0" borderId="85" numFmtId="0" xfId="1" applyFont="1" applyBorder="1" applyAlignment="1">
      <alignment horizontal="center" vertical="center"/>
    </xf>
    <xf fontId="26" fillId="0" borderId="87" numFmtId="0" xfId="1" applyFont="1" applyBorder="1" applyAlignment="1">
      <alignment horizontal="center" vertical="center"/>
    </xf>
    <xf fontId="18" fillId="0" borderId="82" numFmtId="0" xfId="1" applyFont="1" applyBorder="1" applyAlignment="1">
      <alignment horizontal="center" vertical="center"/>
    </xf>
    <xf fontId="26" fillId="57" borderId="82" numFmtId="49" xfId="1" applyNumberFormat="1" applyFont="1" applyFill="1" applyBorder="1" applyAlignment="1">
      <alignment horizontal="center" vertical="center"/>
    </xf>
    <xf fontId="26" fillId="58" borderId="82" numFmtId="49" xfId="1" applyNumberFormat="1" applyFont="1" applyFill="1" applyBorder="1" applyAlignment="1">
      <alignment horizontal="center" vertical="center"/>
    </xf>
    <xf fontId="26" fillId="57" borderId="86" numFmtId="0" xfId="1" applyFont="1" applyFill="1" applyBorder="1" applyAlignment="1">
      <alignment horizontal="center" vertical="center"/>
    </xf>
    <xf fontId="26" fillId="57" borderId="87" numFmtId="0" xfId="1" applyFont="1" applyFill="1" applyBorder="1" applyAlignment="1">
      <alignment horizontal="center" vertical="center"/>
    </xf>
    <xf fontId="26" fillId="57" borderId="82" numFmtId="0" xfId="1" applyFont="1" applyFill="1" applyBorder="1" applyAlignment="1">
      <alignment horizontal="center" vertical="center"/>
    </xf>
    <xf fontId="18" fillId="42" borderId="82" numFmtId="0" xfId="1" applyFont="1" applyFill="1" applyBorder="1" applyAlignment="1">
      <alignment horizontal="center" vertical="center"/>
    </xf>
    <xf fontId="18" fillId="59" borderId="82" numFmtId="0" xfId="1" applyFont="1" applyFill="1" applyBorder="1" applyAlignment="1">
      <alignment horizontal="center" vertical="center"/>
    </xf>
    <xf fontId="21" fillId="43" borderId="82" numFmtId="49" xfId="1" applyNumberFormat="1" applyFont="1" applyFill="1" applyBorder="1"/>
    <xf fontId="21" fillId="43" borderId="82" numFmtId="49" xfId="1" applyNumberFormat="1" applyFont="1" applyFill="1" applyBorder="1" applyAlignment="1">
      <alignment horizontal="center"/>
    </xf>
    <xf fontId="18" fillId="17" borderId="82" numFmtId="49" xfId="1" applyNumberFormat="1" applyFont="1" applyFill="1" applyBorder="1" applyAlignment="1">
      <alignment horizontal="center"/>
    </xf>
    <xf fontId="21" fillId="17" borderId="82" numFmtId="49" xfId="1" applyNumberFormat="1" applyFont="1" applyFill="1" applyBorder="1"/>
    <xf fontId="18" fillId="63" borderId="82" numFmtId="49" xfId="1" applyNumberFormat="1" applyFont="1" applyFill="1" applyBorder="1" applyAlignment="1">
      <alignment horizontal="center" vertical="center"/>
    </xf>
    <xf fontId="26" fillId="0" borderId="82" numFmtId="0" xfId="1" applyFont="1" applyBorder="1" applyAlignment="1">
      <alignment horizontal="center" vertical="center"/>
    </xf>
    <xf fontId="18" fillId="0" borderId="89" numFmtId="0" xfId="1" applyFont="1" applyBorder="1" applyAlignment="1">
      <alignment vertical="center"/>
    </xf>
    <xf fontId="18" fillId="57" borderId="82" numFmtId="49" xfId="1" applyNumberFormat="1" applyFont="1" applyFill="1" applyBorder="1" applyAlignment="1">
      <alignment horizontal="center"/>
    </xf>
    <xf fontId="30" fillId="25" borderId="82" numFmtId="49" xfId="1" applyNumberFormat="1" applyFont="1" applyFill="1" applyBorder="1" applyAlignment="1">
      <alignment horizontal="center"/>
    </xf>
    <xf fontId="18" fillId="21" borderId="82" numFmtId="49" xfId="1" applyNumberFormat="1" applyFont="1" applyFill="1" applyBorder="1" applyAlignment="1">
      <alignment horizontal="center"/>
    </xf>
    <xf fontId="21" fillId="21" borderId="82" numFmtId="49" xfId="1" applyNumberFormat="1" applyFont="1" applyFill="1" applyBorder="1"/>
    <xf fontId="26" fillId="17" borderId="82" numFmtId="0" xfId="1" applyFont="1" applyFill="1" applyBorder="1" applyAlignment="1">
      <alignment horizontal="center"/>
    </xf>
    <xf fontId="18" fillId="0" borderId="86" numFmtId="49" xfId="1" applyNumberFormat="1" applyFont="1" applyBorder="1" applyAlignment="1">
      <alignment horizontal="center" vertical="center"/>
    </xf>
    <xf fontId="18" fillId="0" borderId="85" numFmtId="0" xfId="1" applyFont="1" applyBorder="1" applyAlignment="1">
      <alignment horizontal="center" vertical="center"/>
    </xf>
    <xf fontId="18" fillId="25" borderId="82" numFmtId="49" xfId="1" applyNumberFormat="1" applyFont="1" applyFill="1" applyBorder="1" applyAlignment="1">
      <alignment horizontal="center"/>
    </xf>
    <xf fontId="18" fillId="49" borderId="82" numFmtId="49" xfId="1" applyNumberFormat="1" applyFont="1" applyFill="1" applyBorder="1" applyAlignment="1">
      <alignment horizontal="center"/>
    </xf>
    <xf fontId="18" fillId="21" borderId="82" numFmtId="49" xfId="1" applyNumberFormat="1" applyFont="1" applyFill="1" applyBorder="1" applyAlignment="1">
      <alignment horizontal="center" vertical="center"/>
    </xf>
    <xf fontId="18" fillId="4" borderId="82" numFmtId="49" xfId="1" applyNumberFormat="1" applyFont="1" applyFill="1" applyBorder="1" applyAlignment="1">
      <alignment horizontal="center"/>
    </xf>
    <xf fontId="16" fillId="4" borderId="82" numFmtId="49" xfId="1" applyNumberFormat="1" applyFont="1" applyFill="1" applyBorder="1" applyAlignment="1">
      <alignment horizontal="center"/>
    </xf>
    <xf fontId="31" fillId="4" borderId="82" numFmtId="49" xfId="1" applyNumberFormat="1" applyFont="1" applyFill="1" applyBorder="1"/>
    <xf fontId="18" fillId="0" borderId="85" numFmtId="0" xfId="1" applyFont="1" applyBorder="1" applyAlignment="1">
      <alignment vertical="center"/>
    </xf>
    <xf fontId="28" fillId="63" borderId="82" numFmtId="49" xfId="1" applyNumberFormat="1" applyFont="1" applyFill="1" applyBorder="1" applyAlignment="1">
      <alignment horizontal="center"/>
    </xf>
    <xf fontId="18" fillId="0" borderId="90" numFmtId="49" xfId="1" applyNumberFormat="1" applyFont="1" applyBorder="1" applyAlignment="1">
      <alignment horizontal="center"/>
    </xf>
    <xf fontId="18" fillId="0" borderId="86" numFmtId="49" xfId="1" applyNumberFormat="1" applyFont="1" applyBorder="1" applyAlignment="1">
      <alignment horizontal="center"/>
    </xf>
    <xf fontId="0" fillId="0" borderId="90" numFmtId="0" xfId="0" applyBorder="1"/>
    <xf fontId="3" fillId="49" borderId="90" numFmtId="49" xfId="0" applyNumberFormat="1" applyFont="1" applyFill="1" applyBorder="1" applyAlignment="1">
      <alignment horizontal="center"/>
    </xf>
    <xf fontId="3" fillId="0" borderId="90" numFmtId="49" xfId="0" applyNumberFormat="1" applyFont="1" applyBorder="1" applyAlignment="1">
      <alignment horizontal="center"/>
    </xf>
    <xf fontId="3" fillId="5" borderId="90" numFmtId="49" xfId="0" applyNumberFormat="1" applyFont="1" applyFill="1" applyBorder="1" applyAlignment="1">
      <alignment horizontal="center"/>
    </xf>
    <xf fontId="26" fillId="17" borderId="87" numFmtId="49" xfId="1" applyNumberFormat="1" applyFont="1" applyFill="1" applyBorder="1" applyAlignment="1">
      <alignment horizontal="center"/>
    </xf>
    <xf fontId="21" fillId="0" borderId="86" numFmtId="49" xfId="1" applyNumberFormat="1" applyFont="1" applyBorder="1"/>
    <xf fontId="3" fillId="6" borderId="90" numFmtId="49" xfId="0" applyNumberFormat="1" applyFont="1" applyFill="1" applyBorder="1" applyAlignment="1">
      <alignment horizontal="center"/>
    </xf>
    <xf fontId="3" fillId="43" borderId="0" numFmtId="49" xfId="0" applyNumberFormat="1" applyFont="1" applyFill="1" applyAlignment="1">
      <alignment horizontal="center" vertical="center"/>
    </xf>
    <xf fontId="3" fillId="43" borderId="90" numFmtId="49" xfId="0" applyNumberFormat="1" applyFont="1" applyFill="1" applyBorder="1" applyAlignment="1">
      <alignment horizontal="center" vertical="center"/>
    </xf>
    <xf fontId="18" fillId="21" borderId="86" numFmtId="49" xfId="1" applyNumberFormat="1" applyFont="1" applyFill="1" applyBorder="1" applyAlignment="1">
      <alignment horizontal="center"/>
    </xf>
    <xf fontId="3" fillId="44" borderId="90" numFmtId="49" xfId="0" applyNumberFormat="1" applyFont="1" applyFill="1" applyBorder="1" applyAlignment="1">
      <alignment horizontal="center"/>
    </xf>
    <xf fontId="18" fillId="42" borderId="86" numFmtId="49" xfId="1" applyNumberFormat="1" applyFont="1" applyFill="1" applyBorder="1" applyAlignment="1">
      <alignment horizontal="center"/>
    </xf>
    <xf fontId="3" fillId="0" borderId="90" numFmtId="49" xfId="0" applyNumberFormat="1" applyFont="1" applyBorder="1" applyAlignment="1">
      <alignment horizontal="center" vertical="center"/>
    </xf>
    <xf fontId="18" fillId="21" borderId="86" numFmtId="49" xfId="1" applyNumberFormat="1" applyFont="1" applyFill="1" applyBorder="1" applyAlignment="1">
      <alignment horizontal="center" vertical="center"/>
    </xf>
    <xf fontId="3" fillId="42" borderId="90" numFmtId="49" xfId="0" applyNumberFormat="1" applyFont="1" applyFill="1" applyBorder="1" applyAlignment="1">
      <alignment horizontal="center"/>
    </xf>
    <xf fontId="32" fillId="43" borderId="82" numFmtId="49" xfId="1" applyNumberFormat="1" applyFont="1" applyFill="1" applyBorder="1" applyAlignment="1">
      <alignment horizontal="center" vertical="center"/>
    </xf>
    <xf fontId="1" fillId="43" borderId="86" numFmtId="49" xfId="1" applyNumberFormat="1" applyFont="1" applyFill="1" applyBorder="1" applyAlignment="1">
      <alignment horizontal="center"/>
    </xf>
    <xf fontId="3" fillId="42" borderId="90" numFmtId="49" xfId="0" applyNumberFormat="1" applyFont="1" applyFill="1" applyBorder="1" applyAlignment="1">
      <alignment horizontal="center" vertical="center"/>
    </xf>
    <xf fontId="28" fillId="42" borderId="91" numFmtId="49" xfId="1" applyNumberFormat="1" applyFont="1" applyFill="1" applyBorder="1" applyAlignment="1">
      <alignment horizontal="center"/>
    </xf>
    <xf fontId="27" fillId="42" borderId="91" numFmtId="49" xfId="1" applyNumberFormat="1" applyFont="1" applyFill="1" applyBorder="1"/>
    <xf fontId="5" fillId="9" borderId="48" numFmtId="0" xfId="0" applyFont="1" applyFill="1" applyBorder="1" applyAlignment="1">
      <alignment horizontal="center" vertical="center"/>
    </xf>
    <xf fontId="0" fillId="0" borderId="67" numFmtId="0" xfId="0" applyBorder="1"/>
    <xf fontId="0" fillId="0" borderId="92" numFmtId="0" xfId="0" applyBorder="1"/>
    <xf fontId="0" fillId="0" borderId="58" numFmtId="0" xfId="0" applyBorder="1"/>
    <xf fontId="3" fillId="64" borderId="2" numFmtId="49" xfId="0" applyNumberFormat="1" applyFont="1" applyFill="1" applyBorder="1" applyAlignment="1">
      <alignment horizontal="center"/>
    </xf>
    <xf fontId="0" fillId="0" borderId="60" numFmtId="0" xfId="0" applyBorder="1"/>
    <xf fontId="3" fillId="65" borderId="2" numFmtId="49" xfId="0" applyNumberFormat="1" applyFont="1" applyFill="1" applyBorder="1" applyAlignment="1">
      <alignment horizontal="center"/>
    </xf>
    <xf fontId="0" fillId="0" borderId="93" numFmtId="0" xfId="0" applyBorder="1"/>
    <xf fontId="0" fillId="0" borderId="22" numFmtId="0" xfId="0" applyBorder="1"/>
    <xf fontId="0" fillId="0" borderId="42" numFmtId="0" xfId="0" applyBorder="1"/>
    <xf fontId="3" fillId="65" borderId="2" numFmtId="49" xfId="0" applyNumberFormat="1" applyFont="1" applyFill="1" applyBorder="1" applyAlignment="1">
      <alignment horizontal="center" vertical="center"/>
    </xf>
    <xf fontId="3" fillId="0" borderId="20" numFmtId="0" xfId="0" applyFont="1" applyBorder="1" applyAlignment="1">
      <alignment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worksheet" Target="worksheets/sheet14.xml"/><Relationship  Id="rId16" Type="http://schemas.openxmlformats.org/officeDocument/2006/relationships/theme" Target="theme/theme1.xml"/><Relationship  Id="rId17" Type="http://schemas.openxmlformats.org/officeDocument/2006/relationships/sharedStrings" Target="sharedStrings.xml"/><Relationship  Id="rId18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Александр Нетронин" id="{50F83F91-D849-6882-F17E-8C73BF97390E}" userId="oc8bb3pfv3o9_22168A6C-0657-46BA-940B-C52E0629A8FA" providerId="Teamlab"/>
  <person displayName="Кирилл Качаев" id="{07CF4D67-6EE4-0367-4791-F64ED07504AA}" userId="oc8bb3pfv3o9_4B11154E-EF58-460E-A612-43C79A85C820" providerId="Teamlab"/>
  <person displayName="Пётр Пулиший" id="{C9718914-B96C-A6FC-22EE-38189394C0C1}" userId="oc8bb3pfv3o9_CEC32FE7-21A0-47C4-A0AB-16AFB465127D" providerId="Teamlab"/>
  <person displayName="Артем Рычков" id="{3180B88D-FA32-D33B-5594-72DBB6EEAA5E}" userId="oc8bb3pfv3o9_C16A97AE-72DE-4EFD-A689-E89235F09FBE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6" dT="2026-06-16T10:51:21.67Z" personId="{50F83F91-D849-6882-F17E-8C73BF97390E}" id="{60803086-2F69-0A3E-C9BC-4233364A6E7B}" done="0">
    <text xml:space="preserve">Разбирали задачу 2872159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08" dT="2026-05-26T10:02:13.96Z" personId="{07CF4D67-6EE4-0367-4791-F64ED07504AA}" id="{475E7BDE-FAD9-5D8A-BC2E-257431067E7C}" done="0">
    <text xml:space="preserve">Помощь по задаче БАТ t0350579
</text>
  </threadedComment>
  <threadedComment ref="I108" dT="2026-05-28T15:06:18.88Z" personId="{07CF4D67-6EE4-0367-4791-F64ED07504AA}" id="{3963C6CD-4325-F865-0998-E24A44CC1F64}" done="0">
    <text xml:space="preserve">+1ч, без обеда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3" dT="2026-03-26T11:13:03.63Z" personId="{C9718914-B96C-A6FC-22EE-38189394C0C1}" id="{2439F724-3FE9-F023-FBEF-1175AC9C5AB2}" done="0">
    <text xml:space="preserve">1-я неделя закрытия в 1-ой линии
</text>
  </threadedComment>
  <threadedComment ref="K72" dT="2026-04-26T16:03:35.71Z" personId="{3180B88D-FA32-D33B-5594-72DBB6EEAA5E}" id="{4810C791-D9BF-2EA9-E1A8-CFB1750571E7}" done="0">
    <text xml:space="preserve">Помощь с критом по Часцам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0" dT="2026-03-19T15:29:42.09Z" personId="{3180B88D-FA32-D33B-5594-72DBB6EEAA5E}" id="{175CC56F-FE24-AEEE-C231-9D5DB13BD641}" done="0">
    <text xml:space="preserve">Проблема с каширой
</text>
  </threadedComment>
  <threadedComment ref="I60" dT="2026-03-19T15:28:50.83Z" personId="{3180B88D-FA32-D33B-5594-72DBB6EEAA5E}" id="{DB09666D-143E-1267-86E7-0311343E2BCD}" done="0">
    <text xml:space="preserve">Проблема с ответ хранением в клевере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47" dT="2026-02-15T22:29:10.31Z" personId="{3180B88D-FA32-D33B-5594-72DBB6EEAA5E}" id="{DBD721D0-E8F6-174C-94CB-6C3366CD331C}" done="0">
    <text xml:space="preserve">Проблема с приемкой перемещением в Константиново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66" dT="2026-01-22T16:19:36.67Z" personId="{3180B88D-FA32-D33B-5594-72DBB6EEAA5E}" id="{6C710758-1F03-F4EF-4FB7-8E698AA0DCA4}" done="0">
    <text xml:space="preserve">Проблмы с РЗ в Константиново
</text>
  </threadedComment>
</ThreadedComment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4.xml"/><Relationship  Id="rId2" Type="http://schemas.openxmlformats.org/officeDocument/2006/relationships/comments" Target="../comments4.xml"/><Relationship  Id="rId3" Type="http://schemas.openxmlformats.org/officeDocument/2006/relationships/vmlDrawing" Target="../drawings/vmlDrawing4.v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" zoomScale="100" workbookViewId="0">
      <selection activeCell="N16" activeCellId="0" sqref="N16"/>
    </sheetView>
  </sheetViews>
  <sheetFormatPr defaultRowHeight="13.5"/>
  <cols>
    <col customWidth="1" min="1" max="1" width="14.109375"/>
    <col customWidth="1" min="2" max="2" width="11.109375"/>
    <col customWidth="1" min="3" max="3" width="5.5546875"/>
    <col customWidth="1" min="4" max="4" width="10.44140625"/>
    <col customWidth="1" min="5" max="5" width="5.5546875"/>
    <col customWidth="1" min="6" max="6" width="10.88671875"/>
    <col customWidth="1" min="7" max="7" width="5.5546875"/>
    <col customWidth="1" min="8" max="8" width="11.33203125"/>
    <col customWidth="1" min="9" max="9" width="5.5546875"/>
    <col customWidth="1" min="10" max="10" width="12.33203125"/>
    <col customWidth="1" min="11" max="11" width="5.5546875"/>
    <col customWidth="1" min="12" max="12" width="11"/>
    <col customWidth="1" min="13" max="13" width="5.5546875"/>
    <col customWidth="1" min="14" max="14" width="11.109375"/>
    <col customWidth="1" min="15" max="16" width="5.5546875"/>
    <col customWidth="1" min="17" max="17" width="7.109375"/>
    <col customWidth="1" min="18" max="18" width="13"/>
  </cols>
  <sheetData>
    <row r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ht="14.25">
      <c r="A6" s="6"/>
      <c r="B6" s="21"/>
      <c r="C6" s="21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30"/>
      <c r="E8" s="30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25">
      <c r="A10" s="42"/>
      <c r="B10" s="43" t="s">
        <v>17</v>
      </c>
      <c r="C10" s="44"/>
      <c r="D10" s="43" t="s">
        <v>18</v>
      </c>
      <c r="E10" s="44"/>
      <c r="F10" s="43" t="s">
        <v>19</v>
      </c>
      <c r="G10" s="44"/>
      <c r="H10" s="43" t="s">
        <v>20</v>
      </c>
      <c r="I10" s="44"/>
      <c r="J10" s="45" t="s">
        <v>21</v>
      </c>
      <c r="K10" s="46"/>
      <c r="L10" s="43" t="s">
        <v>22</v>
      </c>
      <c r="M10" s="44"/>
      <c r="N10" s="43" t="s">
        <v>23</v>
      </c>
      <c r="O10" s="44"/>
      <c r="P10" s="47" t="s">
        <v>24</v>
      </c>
      <c r="Q10" s="48"/>
      <c r="R10" s="42">
        <v>176</v>
      </c>
      <c r="S10" s="42"/>
      <c r="T10" s="49"/>
      <c r="U10" s="50">
        <v>176</v>
      </c>
      <c r="V10" s="50"/>
      <c r="W10" s="50"/>
      <c r="X10" s="51"/>
      <c r="Y10" s="7"/>
      <c r="Z10" s="7"/>
      <c r="AA10" s="7"/>
      <c r="AB10" s="13"/>
      <c r="AC10" s="13"/>
      <c r="AD10" s="13"/>
    </row>
    <row r="11" ht="14.25">
      <c r="A11" s="52"/>
      <c r="B11" s="53">
        <v>46356</v>
      </c>
      <c r="C11" s="53"/>
      <c r="D11" s="53">
        <v>46357</v>
      </c>
      <c r="E11" s="53"/>
      <c r="F11" s="53">
        <v>46358</v>
      </c>
      <c r="G11" s="53"/>
      <c r="H11" s="53">
        <v>46359</v>
      </c>
      <c r="I11" s="53"/>
      <c r="J11" s="53">
        <v>46360</v>
      </c>
      <c r="K11" s="53"/>
      <c r="L11" s="53">
        <v>46361</v>
      </c>
      <c r="M11" s="53"/>
      <c r="N11" s="53">
        <v>46362</v>
      </c>
      <c r="O11" s="54"/>
      <c r="P11" s="55" t="s">
        <v>25</v>
      </c>
      <c r="Q11" s="56" t="s">
        <v>26</v>
      </c>
      <c r="R11" s="57"/>
      <c r="S11" s="58"/>
      <c r="T11" s="59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25">
      <c r="A12" s="64" t="s">
        <v>31</v>
      </c>
      <c r="B12" s="65"/>
      <c r="C12" s="65"/>
      <c r="D12" s="65" t="s">
        <v>32</v>
      </c>
      <c r="E12" s="65" t="s">
        <v>33</v>
      </c>
      <c r="F12" s="65" t="s">
        <v>32</v>
      </c>
      <c r="G12" s="65" t="s">
        <v>33</v>
      </c>
      <c r="H12" s="65" t="s">
        <v>32</v>
      </c>
      <c r="I12" s="65" t="s">
        <v>33</v>
      </c>
      <c r="J12" s="65" t="s">
        <v>32</v>
      </c>
      <c r="K12" s="65" t="s">
        <v>33</v>
      </c>
      <c r="L12" s="66"/>
      <c r="M12" s="66"/>
      <c r="N12" s="67"/>
      <c r="O12" s="67"/>
      <c r="P12" s="68">
        <f t="shared" ref="P12:P75" si="0">C12+E12+G12+I12+K12+M12+O12</f>
        <v>32</v>
      </c>
      <c r="Q12" s="69">
        <f>R10-P12</f>
        <v>144</v>
      </c>
      <c r="R12" s="70" t="str">
        <f t="shared" ref="R12:R75" si="1">A12</f>
        <v>Нетронин</v>
      </c>
      <c r="S12" s="71" t="s">
        <v>10</v>
      </c>
      <c r="T12" s="72" t="s">
        <v>9</v>
      </c>
      <c r="U12" s="73">
        <v>0</v>
      </c>
      <c r="V12" s="62"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25">
      <c r="A13" s="75" t="s">
        <v>35</v>
      </c>
      <c r="B13" s="65"/>
      <c r="C13" s="65"/>
      <c r="D13" s="65" t="s">
        <v>32</v>
      </c>
      <c r="E13" s="65" t="s">
        <v>33</v>
      </c>
      <c r="F13" s="65" t="s">
        <v>32</v>
      </c>
      <c r="G13" s="65" t="s">
        <v>33</v>
      </c>
      <c r="H13" s="65" t="s">
        <v>32</v>
      </c>
      <c r="I13" s="65" t="s">
        <v>33</v>
      </c>
      <c r="J13" s="65" t="s">
        <v>32</v>
      </c>
      <c r="K13" s="65" t="s">
        <v>33</v>
      </c>
      <c r="L13" s="66"/>
      <c r="M13" s="66"/>
      <c r="N13" s="66"/>
      <c r="O13" s="66"/>
      <c r="P13" s="68">
        <f t="shared" si="0"/>
        <v>32</v>
      </c>
      <c r="Q13" s="69">
        <f>R10-P13</f>
        <v>144</v>
      </c>
      <c r="R13" s="70" t="str">
        <f t="shared" si="1"/>
        <v>Рычков</v>
      </c>
      <c r="S13" s="76" t="s">
        <v>10</v>
      </c>
      <c r="T13" s="77" t="s">
        <v>9</v>
      </c>
      <c r="U13" s="73">
        <f t="shared" ref="U13:U32" si="2">COUNTIF(T13,B13)+COUNTIF(T13,D13)+COUNTIF(T13,F13)+COUNTIF(T13,H13)+COUNTIF(T13,J13)+COUNTIF(T13,L13)+COUNTIF(T13,N13)</f>
        <v>0</v>
      </c>
      <c r="V13" s="62">
        <f t="shared" ref="V13:V32" si="3">COUNTIF(S13,B13)+COUNTIF(S13,D13)+COUNTIF(S13,F13)+COUNTIF(S13,H13)+COUNTIF(S13,J13)+COUNTIF(S13,L13)+COUNTIF(S13,N13)</f>
        <v>0</v>
      </c>
      <c r="W13" s="62"/>
      <c r="X13" s="74" t="s">
        <v>34</v>
      </c>
      <c r="Y13" s="7"/>
      <c r="Z13" s="7"/>
      <c r="AA13" s="7"/>
      <c r="AB13" s="13"/>
      <c r="AC13" s="13"/>
      <c r="AD13" s="13"/>
    </row>
    <row r="14" ht="14.25">
      <c r="A14" s="64" t="s">
        <v>36</v>
      </c>
      <c r="B14" s="78"/>
      <c r="C14" s="78"/>
      <c r="D14" s="78" t="s">
        <v>37</v>
      </c>
      <c r="E14" s="78">
        <v>8</v>
      </c>
      <c r="F14" s="78" t="s">
        <v>37</v>
      </c>
      <c r="G14" s="78">
        <v>8</v>
      </c>
      <c r="H14" s="78" t="s">
        <v>37</v>
      </c>
      <c r="I14" s="78">
        <v>8</v>
      </c>
      <c r="J14" s="78" t="s">
        <v>37</v>
      </c>
      <c r="K14" s="78">
        <v>8</v>
      </c>
      <c r="L14" s="66"/>
      <c r="M14" s="66"/>
      <c r="N14" s="66"/>
      <c r="O14" s="66"/>
      <c r="P14" s="68">
        <f t="shared" si="0"/>
        <v>32</v>
      </c>
      <c r="Q14" s="69">
        <f>R10-P14</f>
        <v>144</v>
      </c>
      <c r="R14" s="70" t="str">
        <f t="shared" si="1"/>
        <v>Колобашкин</v>
      </c>
      <c r="S14" s="76" t="s">
        <v>10</v>
      </c>
      <c r="T14" s="77" t="s">
        <v>9</v>
      </c>
      <c r="U14" s="73">
        <f t="shared" si="2"/>
        <v>0</v>
      </c>
      <c r="V14" s="62">
        <f t="shared" si="3"/>
        <v>0</v>
      </c>
      <c r="W14" s="62"/>
      <c r="X14" s="74" t="s">
        <v>38</v>
      </c>
      <c r="Y14" s="7"/>
      <c r="Z14" s="7"/>
      <c r="AA14" s="7"/>
      <c r="AB14" s="13"/>
      <c r="AC14" s="13"/>
      <c r="AD14" s="13"/>
    </row>
    <row r="15" ht="14.25">
      <c r="A15" s="64" t="s">
        <v>39</v>
      </c>
      <c r="B15" s="65"/>
      <c r="C15" s="65"/>
      <c r="D15" s="65" t="s">
        <v>32</v>
      </c>
      <c r="E15" s="65" t="s">
        <v>33</v>
      </c>
      <c r="F15" s="65" t="s">
        <v>32</v>
      </c>
      <c r="G15" s="65" t="s">
        <v>33</v>
      </c>
      <c r="H15" s="65" t="s">
        <v>32</v>
      </c>
      <c r="I15" s="65" t="s">
        <v>33</v>
      </c>
      <c r="J15" s="65" t="s">
        <v>32</v>
      </c>
      <c r="K15" s="65" t="s">
        <v>33</v>
      </c>
      <c r="L15" s="66"/>
      <c r="M15" s="66"/>
      <c r="N15" s="66"/>
      <c r="O15" s="66"/>
      <c r="P15" s="68">
        <f t="shared" si="0"/>
        <v>32</v>
      </c>
      <c r="Q15" s="69">
        <f>R10-P15</f>
        <v>144</v>
      </c>
      <c r="R15" s="70" t="str">
        <f t="shared" si="1"/>
        <v>Игумнов</v>
      </c>
      <c r="S15" s="76" t="s">
        <v>10</v>
      </c>
      <c r="T15" s="77" t="s">
        <v>9</v>
      </c>
      <c r="U15" s="73">
        <f t="shared" si="2"/>
        <v>0</v>
      </c>
      <c r="V15" s="62">
        <f t="shared" si="3"/>
        <v>0</v>
      </c>
      <c r="W15" s="62"/>
      <c r="X15" s="79" t="s">
        <v>34</v>
      </c>
      <c r="Y15" s="7"/>
      <c r="Z15" s="80"/>
      <c r="AA15" s="80"/>
      <c r="AB15" s="13"/>
      <c r="AC15" s="13"/>
      <c r="AD15" s="13"/>
    </row>
    <row r="16" ht="14.25">
      <c r="A16" s="64" t="s">
        <v>40</v>
      </c>
      <c r="B16" s="65"/>
      <c r="C16" s="65"/>
      <c r="D16" s="65" t="s">
        <v>32</v>
      </c>
      <c r="E16" s="65" t="s">
        <v>33</v>
      </c>
      <c r="F16" s="65" t="s">
        <v>32</v>
      </c>
      <c r="G16" s="65" t="s">
        <v>33</v>
      </c>
      <c r="H16" s="65" t="s">
        <v>32</v>
      </c>
      <c r="I16" s="65" t="s">
        <v>33</v>
      </c>
      <c r="J16" s="65" t="s">
        <v>32</v>
      </c>
      <c r="K16" s="65" t="s">
        <v>33</v>
      </c>
      <c r="L16" s="66"/>
      <c r="M16" s="66"/>
      <c r="N16" s="66" t="s">
        <v>41</v>
      </c>
      <c r="O16" s="66"/>
      <c r="P16" s="68">
        <f t="shared" si="0"/>
        <v>32</v>
      </c>
      <c r="Q16" s="69">
        <f>R10-P16</f>
        <v>144</v>
      </c>
      <c r="R16" s="70" t="str">
        <f t="shared" si="1"/>
        <v>Душин</v>
      </c>
      <c r="S16" s="76" t="s">
        <v>10</v>
      </c>
      <c r="T16" s="77" t="s">
        <v>9</v>
      </c>
      <c r="U16" s="73">
        <f t="shared" si="2"/>
        <v>0</v>
      </c>
      <c r="V16" s="62">
        <f t="shared" si="3"/>
        <v>0</v>
      </c>
      <c r="W16" s="62"/>
      <c r="X16" s="74" t="s">
        <v>38</v>
      </c>
      <c r="Y16" s="80"/>
      <c r="Z16" s="80"/>
      <c r="AA16" s="80"/>
      <c r="AB16" s="13"/>
      <c r="AC16" s="13"/>
      <c r="AD16" s="13"/>
    </row>
    <row r="17" ht="14.25">
      <c r="A17" s="64" t="s">
        <v>42</v>
      </c>
      <c r="B17" s="65"/>
      <c r="C17" s="65"/>
      <c r="D17" s="65" t="s">
        <v>32</v>
      </c>
      <c r="E17" s="65" t="s">
        <v>33</v>
      </c>
      <c r="F17" s="65" t="s">
        <v>32</v>
      </c>
      <c r="G17" s="65" t="s">
        <v>33</v>
      </c>
      <c r="H17" s="65" t="s">
        <v>32</v>
      </c>
      <c r="I17" s="65" t="s">
        <v>33</v>
      </c>
      <c r="J17" s="65" t="s">
        <v>32</v>
      </c>
      <c r="K17" s="65" t="s">
        <v>33</v>
      </c>
      <c r="L17" s="66"/>
      <c r="M17" s="66"/>
      <c r="N17" s="66"/>
      <c r="O17" s="66"/>
      <c r="P17" s="68">
        <f t="shared" si="0"/>
        <v>32</v>
      </c>
      <c r="Q17" s="69">
        <f>R10-P17</f>
        <v>144</v>
      </c>
      <c r="R17" s="70" t="str">
        <f t="shared" si="1"/>
        <v>Юращик</v>
      </c>
      <c r="S17" s="76" t="s">
        <v>10</v>
      </c>
      <c r="T17" s="77" t="s">
        <v>9</v>
      </c>
      <c r="U17" s="73">
        <f t="shared" si="2"/>
        <v>0</v>
      </c>
      <c r="V17" s="62">
        <f t="shared" si="3"/>
        <v>0</v>
      </c>
      <c r="W17" s="62"/>
      <c r="X17" s="74" t="s">
        <v>38</v>
      </c>
      <c r="Y17" s="80"/>
      <c r="Z17" s="80"/>
      <c r="AA17" s="80"/>
      <c r="AB17" s="13"/>
      <c r="AC17" s="13"/>
      <c r="AD17" s="13"/>
    </row>
    <row r="18" ht="14.25">
      <c r="A18" s="81" t="s">
        <v>43</v>
      </c>
      <c r="B18" s="78"/>
      <c r="C18" s="78"/>
      <c r="D18" s="78"/>
      <c r="E18" s="78" t="s">
        <v>4</v>
      </c>
      <c r="F18" s="82"/>
      <c r="G18" s="82"/>
      <c r="H18" s="66"/>
      <c r="I18" s="66"/>
      <c r="J18" s="83"/>
      <c r="K18" s="83" t="s">
        <v>4</v>
      </c>
      <c r="L18" s="83"/>
      <c r="M18" s="83" t="s">
        <v>4</v>
      </c>
      <c r="N18" s="82"/>
      <c r="O18" s="82"/>
      <c r="P18" s="68">
        <f t="shared" si="0"/>
        <v>36</v>
      </c>
      <c r="Q18" s="69">
        <f>U10-P18</f>
        <v>140</v>
      </c>
      <c r="R18" s="70" t="s">
        <v>43</v>
      </c>
      <c r="S18" s="71" t="s">
        <v>12</v>
      </c>
      <c r="T18" s="84" t="s">
        <v>11</v>
      </c>
      <c r="U18" s="85">
        <f t="shared" si="2"/>
        <v>0</v>
      </c>
      <c r="V18" s="86">
        <f t="shared" si="3"/>
        <v>0</v>
      </c>
      <c r="W18" s="86"/>
      <c r="X18" s="74" t="s">
        <v>44</v>
      </c>
      <c r="Y18" s="80"/>
      <c r="Z18" s="80"/>
      <c r="AA18" s="80"/>
      <c r="AB18" s="13"/>
      <c r="AC18" s="13"/>
      <c r="AD18" s="13"/>
    </row>
    <row r="19" ht="14.25">
      <c r="A19" s="81" t="s">
        <v>45</v>
      </c>
      <c r="B19" s="66"/>
      <c r="C19" s="66"/>
      <c r="D19" s="66"/>
      <c r="E19" s="66"/>
      <c r="F19" s="83"/>
      <c r="G19" s="83" t="s">
        <v>4</v>
      </c>
      <c r="H19" s="83"/>
      <c r="I19" s="83" t="s">
        <v>4</v>
      </c>
      <c r="J19" s="82"/>
      <c r="K19" s="82"/>
      <c r="L19" s="66"/>
      <c r="M19" s="66"/>
      <c r="N19" s="78"/>
      <c r="O19" s="78" t="s">
        <v>4</v>
      </c>
      <c r="P19" s="68">
        <f t="shared" si="0"/>
        <v>36</v>
      </c>
      <c r="Q19" s="69">
        <f>U10-P19</f>
        <v>140</v>
      </c>
      <c r="R19" s="70" t="str">
        <f t="shared" si="1"/>
        <v>Пузырь</v>
      </c>
      <c r="S19" s="76" t="s">
        <v>10</v>
      </c>
      <c r="T19" s="77" t="s">
        <v>9</v>
      </c>
      <c r="U19" s="73">
        <f t="shared" si="2"/>
        <v>0</v>
      </c>
      <c r="V19" s="62">
        <f t="shared" si="3"/>
        <v>0</v>
      </c>
      <c r="W19" s="62"/>
      <c r="X19" s="74" t="s">
        <v>34</v>
      </c>
      <c r="Y19" s="80"/>
      <c r="Z19" s="80"/>
      <c r="AA19" s="80"/>
      <c r="AB19" s="13"/>
      <c r="AC19" s="13"/>
      <c r="AD19" s="13"/>
    </row>
    <row r="20" ht="14.25">
      <c r="A20" s="81" t="s">
        <v>46</v>
      </c>
      <c r="B20" s="83"/>
      <c r="C20" s="83"/>
      <c r="D20" s="83"/>
      <c r="E20" s="83" t="s">
        <v>4</v>
      </c>
      <c r="F20" s="67"/>
      <c r="G20" s="67"/>
      <c r="H20" s="87"/>
      <c r="I20" s="87"/>
      <c r="J20" s="78"/>
      <c r="K20" s="78" t="s">
        <v>4</v>
      </c>
      <c r="L20" s="78"/>
      <c r="M20" s="78" t="s">
        <v>4</v>
      </c>
      <c r="N20" s="66"/>
      <c r="O20" s="66"/>
      <c r="P20" s="68">
        <f t="shared" si="0"/>
        <v>36</v>
      </c>
      <c r="Q20" s="69">
        <f>U10-P20</f>
        <v>140</v>
      </c>
      <c r="R20" s="70" t="str">
        <f t="shared" si="1"/>
        <v>Голышев</v>
      </c>
      <c r="S20" s="76" t="s">
        <v>10</v>
      </c>
      <c r="T20" s="77" t="s">
        <v>9</v>
      </c>
      <c r="U20" s="73">
        <f t="shared" si="2"/>
        <v>0</v>
      </c>
      <c r="V20" s="62">
        <f t="shared" si="3"/>
        <v>0</v>
      </c>
      <c r="W20" s="62"/>
      <c r="X20" s="74" t="s">
        <v>34</v>
      </c>
      <c r="Y20" s="80"/>
      <c r="Z20" s="7"/>
      <c r="AA20" s="7"/>
      <c r="AB20" s="13"/>
      <c r="AC20" s="13"/>
      <c r="AD20" s="13"/>
    </row>
    <row r="21" ht="14.25">
      <c r="A21" s="81" t="s">
        <v>47</v>
      </c>
      <c r="B21" s="67"/>
      <c r="C21" s="67"/>
      <c r="D21" s="67"/>
      <c r="E21" s="67"/>
      <c r="F21" s="78"/>
      <c r="G21" s="78" t="s">
        <v>4</v>
      </c>
      <c r="H21" s="78"/>
      <c r="I21" s="78" t="s">
        <v>4</v>
      </c>
      <c r="J21" s="66"/>
      <c r="K21" s="66"/>
      <c r="L21" s="67"/>
      <c r="M21" s="67"/>
      <c r="N21" s="83"/>
      <c r="O21" s="83" t="s">
        <v>4</v>
      </c>
      <c r="P21" s="68">
        <f t="shared" si="0"/>
        <v>36</v>
      </c>
      <c r="Q21" s="69">
        <f>U10-P21</f>
        <v>140</v>
      </c>
      <c r="R21" s="70" t="str">
        <f t="shared" si="1"/>
        <v>Торубара</v>
      </c>
      <c r="S21" s="76" t="s">
        <v>10</v>
      </c>
      <c r="T21" s="77" t="s">
        <v>9</v>
      </c>
      <c r="U21" s="73">
        <f t="shared" si="2"/>
        <v>0</v>
      </c>
      <c r="V21" s="62">
        <f t="shared" si="3"/>
        <v>0</v>
      </c>
      <c r="W21" s="62"/>
      <c r="X21" s="74" t="s">
        <v>34</v>
      </c>
      <c r="Y21" s="7"/>
      <c r="Z21" s="7"/>
      <c r="AA21" s="7"/>
      <c r="AB21" s="13"/>
      <c r="AC21" s="13"/>
      <c r="AD21" s="13"/>
    </row>
    <row r="22" ht="14.25">
      <c r="A22" s="81" t="s">
        <v>48</v>
      </c>
      <c r="B22" s="66"/>
      <c r="C22" s="66"/>
      <c r="D22" s="66"/>
      <c r="E22" s="66"/>
      <c r="F22" s="78"/>
      <c r="G22" s="78" t="s">
        <v>4</v>
      </c>
      <c r="H22" s="78"/>
      <c r="I22" s="78" t="s">
        <v>4</v>
      </c>
      <c r="J22" s="82"/>
      <c r="K22" s="82"/>
      <c r="L22" s="66"/>
      <c r="M22" s="66"/>
      <c r="N22" s="83"/>
      <c r="O22" s="83" t="s">
        <v>4</v>
      </c>
      <c r="P22" s="68">
        <f t="shared" si="0"/>
        <v>36</v>
      </c>
      <c r="Q22" s="69">
        <f>U10-P22</f>
        <v>140</v>
      </c>
      <c r="R22" s="70" t="str">
        <f t="shared" si="1"/>
        <v>Стрыгин</v>
      </c>
      <c r="S22" s="71" t="s">
        <v>8</v>
      </c>
      <c r="T22" s="72" t="s">
        <v>7</v>
      </c>
      <c r="U22" s="73">
        <f t="shared" si="2"/>
        <v>0</v>
      </c>
      <c r="V22" s="62">
        <f t="shared" si="3"/>
        <v>0</v>
      </c>
      <c r="W22" s="62"/>
      <c r="X22" s="74" t="s">
        <v>49</v>
      </c>
      <c r="Y22" s="7"/>
      <c r="Z22" s="7"/>
      <c r="AA22" s="7"/>
      <c r="AB22" s="13"/>
      <c r="AC22" s="13"/>
      <c r="AD22" s="13"/>
    </row>
    <row r="23" ht="14.25">
      <c r="A23" s="81" t="s">
        <v>50</v>
      </c>
      <c r="B23" s="78"/>
      <c r="C23" s="78"/>
      <c r="D23" s="78"/>
      <c r="E23" s="78" t="s">
        <v>4</v>
      </c>
      <c r="F23" s="82"/>
      <c r="G23" s="82"/>
      <c r="H23" s="66"/>
      <c r="I23" s="66"/>
      <c r="J23" s="83"/>
      <c r="K23" s="83" t="s">
        <v>4</v>
      </c>
      <c r="L23" s="83"/>
      <c r="M23" s="83" t="s">
        <v>4</v>
      </c>
      <c r="N23" s="82"/>
      <c r="O23" s="82"/>
      <c r="P23" s="68">
        <f t="shared" si="0"/>
        <v>36</v>
      </c>
      <c r="Q23" s="69">
        <f>U10-P23</f>
        <v>140</v>
      </c>
      <c r="R23" s="70" t="str">
        <f t="shared" si="1"/>
        <v>Фрик</v>
      </c>
      <c r="S23" s="71" t="s">
        <v>12</v>
      </c>
      <c r="T23" s="72" t="s">
        <v>11</v>
      </c>
      <c r="U23" s="73">
        <v>2</v>
      </c>
      <c r="V23" s="62">
        <f t="shared" si="3"/>
        <v>0</v>
      </c>
      <c r="W23" s="62"/>
      <c r="X23" s="74" t="s">
        <v>44</v>
      </c>
      <c r="Y23" s="7"/>
      <c r="Z23" s="7"/>
      <c r="AA23" s="7"/>
      <c r="AB23" s="13"/>
      <c r="AC23" s="13"/>
      <c r="AD23" s="13"/>
    </row>
    <row r="24" ht="14.25">
      <c r="A24" s="88" t="s">
        <v>51</v>
      </c>
      <c r="B24" s="66"/>
      <c r="C24" s="66"/>
      <c r="D24" s="66"/>
      <c r="E24" s="66"/>
      <c r="F24" s="83"/>
      <c r="G24" s="83" t="s">
        <v>4</v>
      </c>
      <c r="H24" s="83"/>
      <c r="I24" s="83" t="s">
        <v>4</v>
      </c>
      <c r="J24" s="66"/>
      <c r="K24" s="66"/>
      <c r="L24" s="82"/>
      <c r="M24" s="82"/>
      <c r="N24" s="78"/>
      <c r="O24" s="78" t="s">
        <v>4</v>
      </c>
      <c r="P24" s="68">
        <f t="shared" si="0"/>
        <v>36</v>
      </c>
      <c r="Q24" s="69">
        <f>U10-P25</f>
        <v>140</v>
      </c>
      <c r="R24" s="70" t="str">
        <f t="shared" si="1"/>
        <v>Истрашкин</v>
      </c>
      <c r="S24" s="71" t="s">
        <v>10</v>
      </c>
      <c r="T24" s="72" t="s">
        <v>9</v>
      </c>
      <c r="U24" s="73">
        <f t="shared" si="2"/>
        <v>0</v>
      </c>
      <c r="V24" s="62">
        <f t="shared" si="3"/>
        <v>0</v>
      </c>
      <c r="W24" s="50"/>
      <c r="X24" s="74" t="s">
        <v>34</v>
      </c>
      <c r="Y24" s="7"/>
      <c r="Z24" s="7"/>
      <c r="AA24" s="7"/>
      <c r="AB24" s="13"/>
      <c r="AC24" s="13"/>
      <c r="AD24" s="13"/>
    </row>
    <row r="25" ht="14.25">
      <c r="A25" s="88" t="s">
        <v>52</v>
      </c>
      <c r="B25" s="78"/>
      <c r="C25" s="89"/>
      <c r="D25" s="78"/>
      <c r="E25" s="89" t="s">
        <v>4</v>
      </c>
      <c r="F25" s="87"/>
      <c r="G25" s="87"/>
      <c r="H25" s="87"/>
      <c r="I25" s="87"/>
      <c r="J25" s="89"/>
      <c r="K25" s="78" t="s">
        <v>4</v>
      </c>
      <c r="L25" s="89"/>
      <c r="M25" s="78" t="s">
        <v>4</v>
      </c>
      <c r="N25" s="87"/>
      <c r="O25" s="87"/>
      <c r="P25" s="68">
        <f t="shared" si="0"/>
        <v>36</v>
      </c>
      <c r="Q25" s="69">
        <f>U10-P25</f>
        <v>140</v>
      </c>
      <c r="R25" s="70" t="s">
        <v>52</v>
      </c>
      <c r="S25" s="71" t="s">
        <v>8</v>
      </c>
      <c r="T25" s="72" t="s">
        <v>7</v>
      </c>
      <c r="U25" s="90"/>
      <c r="V25" s="62"/>
      <c r="W25" s="50"/>
      <c r="X25" s="91"/>
      <c r="Y25" s="7"/>
      <c r="Z25" s="7"/>
      <c r="AA25" s="7"/>
      <c r="AB25" s="13"/>
      <c r="AC25" s="13"/>
      <c r="AD25" s="13"/>
    </row>
    <row r="26" ht="14.25">
      <c r="A26" s="92"/>
      <c r="B26" s="53">
        <v>46356</v>
      </c>
      <c r="C26" s="53"/>
      <c r="D26" s="53">
        <v>46357</v>
      </c>
      <c r="E26" s="53"/>
      <c r="F26" s="53">
        <v>46358</v>
      </c>
      <c r="G26" s="53"/>
      <c r="H26" s="53">
        <v>46359</v>
      </c>
      <c r="I26" s="53"/>
      <c r="J26" s="53">
        <v>46360</v>
      </c>
      <c r="K26" s="53"/>
      <c r="L26" s="53">
        <v>46361</v>
      </c>
      <c r="M26" s="53"/>
      <c r="N26" s="53">
        <v>46362</v>
      </c>
      <c r="O26" s="54"/>
      <c r="P26" s="93"/>
      <c r="Q26" s="94"/>
      <c r="R26" s="58"/>
      <c r="S26" s="58"/>
      <c r="T26" s="95"/>
      <c r="U26" s="60" t="s">
        <v>27</v>
      </c>
      <c r="V26" s="61" t="s">
        <v>28</v>
      </c>
      <c r="W26" s="62" t="s">
        <v>29</v>
      </c>
      <c r="X26" s="96"/>
      <c r="Y26" s="7"/>
      <c r="Z26" s="7"/>
      <c r="AA26" s="7"/>
      <c r="AB26" s="13"/>
      <c r="AC26" s="13"/>
      <c r="AD26" s="13"/>
    </row>
    <row r="27" ht="14.25">
      <c r="A27" s="97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8"/>
      <c r="S27" s="98"/>
      <c r="T27" s="99"/>
      <c r="U27" s="100"/>
      <c r="V27" s="100"/>
      <c r="W27" s="100"/>
      <c r="X27" s="7"/>
      <c r="Y27" s="7"/>
      <c r="Z27" s="7"/>
      <c r="AA27" s="7"/>
      <c r="AB27" s="13"/>
      <c r="AC27" s="13"/>
      <c r="AD27" s="13"/>
    </row>
    <row r="28" ht="14.25">
      <c r="A28" s="98"/>
      <c r="B28" s="101" t="s">
        <v>17</v>
      </c>
      <c r="C28" s="101"/>
      <c r="D28" s="101" t="s">
        <v>18</v>
      </c>
      <c r="E28" s="101"/>
      <c r="F28" s="101" t="s">
        <v>19</v>
      </c>
      <c r="G28" s="101"/>
      <c r="H28" s="101" t="s">
        <v>20</v>
      </c>
      <c r="I28" s="101"/>
      <c r="J28" s="102" t="s">
        <v>21</v>
      </c>
      <c r="K28" s="102"/>
      <c r="L28" s="101" t="s">
        <v>22</v>
      </c>
      <c r="M28" s="101"/>
      <c r="N28" s="101" t="s">
        <v>23</v>
      </c>
      <c r="O28" s="101"/>
      <c r="P28" s="101" t="s">
        <v>24</v>
      </c>
      <c r="Q28" s="101"/>
      <c r="R28" s="98"/>
      <c r="S28" s="98"/>
      <c r="T28" s="99"/>
      <c r="U28" s="100"/>
      <c r="V28" s="100"/>
      <c r="W28" s="100"/>
      <c r="X28" s="51"/>
      <c r="Y28" s="7"/>
      <c r="Z28" s="7"/>
      <c r="AA28" s="7"/>
      <c r="AB28" s="13"/>
      <c r="AC28" s="13"/>
      <c r="AD28" s="13"/>
    </row>
    <row r="29" ht="14.25">
      <c r="A29" s="98"/>
      <c r="B29" s="53">
        <v>46363</v>
      </c>
      <c r="C29" s="53"/>
      <c r="D29" s="53">
        <v>46364</v>
      </c>
      <c r="E29" s="53"/>
      <c r="F29" s="53">
        <v>46365</v>
      </c>
      <c r="G29" s="53"/>
      <c r="H29" s="53">
        <v>46366</v>
      </c>
      <c r="I29" s="53"/>
      <c r="J29" s="53">
        <v>46367</v>
      </c>
      <c r="K29" s="53"/>
      <c r="L29" s="53">
        <v>46368</v>
      </c>
      <c r="M29" s="53"/>
      <c r="N29" s="53">
        <v>46369</v>
      </c>
      <c r="O29" s="54"/>
      <c r="P29" s="103" t="s">
        <v>25</v>
      </c>
      <c r="Q29" s="101" t="s">
        <v>26</v>
      </c>
      <c r="R29" s="104"/>
      <c r="S29" s="98"/>
      <c r="T29" s="105"/>
      <c r="U29" s="15" t="s">
        <v>27</v>
      </c>
      <c r="V29" s="106" t="s">
        <v>28</v>
      </c>
      <c r="W29" s="100" t="s">
        <v>29</v>
      </c>
      <c r="X29" s="63" t="s">
        <v>30</v>
      </c>
      <c r="Y29" s="7"/>
      <c r="Z29" s="7"/>
      <c r="AA29" s="7"/>
      <c r="AB29" s="13"/>
      <c r="AC29" s="13"/>
      <c r="AD29" s="13"/>
    </row>
    <row r="30" ht="14.25">
      <c r="A30" s="64" t="s">
        <v>31</v>
      </c>
      <c r="B30" s="65" t="s">
        <v>32</v>
      </c>
      <c r="C30" s="65" t="s">
        <v>33</v>
      </c>
      <c r="D30" s="65" t="s">
        <v>32</v>
      </c>
      <c r="E30" s="65" t="s">
        <v>33</v>
      </c>
      <c r="F30" s="65" t="s">
        <v>32</v>
      </c>
      <c r="G30" s="65" t="s">
        <v>33</v>
      </c>
      <c r="H30" s="65" t="s">
        <v>32</v>
      </c>
      <c r="I30" s="65" t="s">
        <v>33</v>
      </c>
      <c r="J30" s="65" t="s">
        <v>32</v>
      </c>
      <c r="K30" s="65" t="s">
        <v>33</v>
      </c>
      <c r="L30" s="67"/>
      <c r="M30" s="67"/>
      <c r="N30" s="67"/>
      <c r="O30" s="67"/>
      <c r="P30" s="68">
        <f t="shared" si="0"/>
        <v>40</v>
      </c>
      <c r="Q30" s="69">
        <f t="shared" ref="Q30:Q93" si="4">Q12-P30</f>
        <v>104</v>
      </c>
      <c r="R30" s="70" t="str">
        <f t="shared" si="1"/>
        <v>Нетронин</v>
      </c>
      <c r="S30" s="71" t="s">
        <v>10</v>
      </c>
      <c r="T30" s="72" t="s">
        <v>9</v>
      </c>
      <c r="U30" s="73">
        <v>0</v>
      </c>
      <c r="V30" s="62">
        <v>0</v>
      </c>
      <c r="W30" s="62"/>
      <c r="X30" s="74" t="s">
        <v>34</v>
      </c>
      <c r="Y30" s="7"/>
      <c r="Z30" s="7"/>
      <c r="AA30" s="7"/>
      <c r="AB30" s="13"/>
      <c r="AC30" s="13"/>
      <c r="AD30" s="13"/>
    </row>
    <row r="31" ht="14.25">
      <c r="A31" s="64" t="s">
        <v>35</v>
      </c>
      <c r="B31" s="65" t="s">
        <v>32</v>
      </c>
      <c r="C31" s="65" t="s">
        <v>33</v>
      </c>
      <c r="D31" s="65" t="s">
        <v>32</v>
      </c>
      <c r="E31" s="65" t="s">
        <v>33</v>
      </c>
      <c r="F31" s="65" t="s">
        <v>32</v>
      </c>
      <c r="G31" s="65" t="s">
        <v>33</v>
      </c>
      <c r="H31" s="65" t="s">
        <v>32</v>
      </c>
      <c r="I31" s="65" t="s">
        <v>33</v>
      </c>
      <c r="J31" s="65" t="s">
        <v>32</v>
      </c>
      <c r="K31" s="65" t="s">
        <v>33</v>
      </c>
      <c r="L31" s="66"/>
      <c r="M31" s="66"/>
      <c r="N31" s="66"/>
      <c r="O31" s="66"/>
      <c r="P31" s="68">
        <f t="shared" si="0"/>
        <v>40</v>
      </c>
      <c r="Q31" s="69">
        <f t="shared" si="4"/>
        <v>104</v>
      </c>
      <c r="R31" s="70" t="str">
        <f t="shared" si="1"/>
        <v>Рычков</v>
      </c>
      <c r="S31" s="76" t="s">
        <v>10</v>
      </c>
      <c r="T31" s="77" t="s">
        <v>9</v>
      </c>
      <c r="U31" s="73">
        <f t="shared" si="2"/>
        <v>0</v>
      </c>
      <c r="V31" s="62">
        <f t="shared" si="3"/>
        <v>0</v>
      </c>
      <c r="W31" s="62"/>
      <c r="X31" s="74" t="s">
        <v>34</v>
      </c>
      <c r="Y31" s="7"/>
      <c r="Z31" s="7"/>
      <c r="AA31" s="7"/>
      <c r="AB31" s="13"/>
      <c r="AC31" s="13"/>
      <c r="AD31" s="13"/>
    </row>
    <row r="32" ht="14.25">
      <c r="A32" s="75" t="s">
        <v>36</v>
      </c>
      <c r="B32" s="78" t="s">
        <v>37</v>
      </c>
      <c r="C32" s="78">
        <v>8</v>
      </c>
      <c r="D32" s="78" t="s">
        <v>37</v>
      </c>
      <c r="E32" s="78">
        <v>8</v>
      </c>
      <c r="F32" s="78" t="s">
        <v>37</v>
      </c>
      <c r="G32" s="78">
        <v>8</v>
      </c>
      <c r="H32" s="78" t="s">
        <v>37</v>
      </c>
      <c r="I32" s="78">
        <v>8</v>
      </c>
      <c r="J32" s="78" t="s">
        <v>37</v>
      </c>
      <c r="K32" s="78">
        <v>8</v>
      </c>
      <c r="L32" s="66"/>
      <c r="M32" s="66"/>
      <c r="N32" s="66"/>
      <c r="O32" s="66"/>
      <c r="P32" s="68">
        <f t="shared" si="0"/>
        <v>40</v>
      </c>
      <c r="Q32" s="69">
        <f t="shared" si="4"/>
        <v>104</v>
      </c>
      <c r="R32" s="70" t="str">
        <f t="shared" si="1"/>
        <v>Колобашкин</v>
      </c>
      <c r="S32" s="76" t="s">
        <v>10</v>
      </c>
      <c r="T32" s="77" t="s">
        <v>9</v>
      </c>
      <c r="U32" s="73">
        <f t="shared" si="2"/>
        <v>0</v>
      </c>
      <c r="V32" s="62">
        <f t="shared" si="3"/>
        <v>0</v>
      </c>
      <c r="W32" s="62"/>
      <c r="X32" s="74" t="s">
        <v>38</v>
      </c>
      <c r="Y32" s="7"/>
      <c r="Z32" s="80"/>
      <c r="AA32" s="80"/>
      <c r="AB32" s="13"/>
      <c r="AC32" s="13"/>
      <c r="AD32" s="13"/>
    </row>
    <row r="33" ht="14.25">
      <c r="A33" s="64" t="s">
        <v>39</v>
      </c>
      <c r="B33" s="65" t="s">
        <v>32</v>
      </c>
      <c r="C33" s="65" t="s">
        <v>33</v>
      </c>
      <c r="D33" s="65" t="s">
        <v>32</v>
      </c>
      <c r="E33" s="65" t="s">
        <v>33</v>
      </c>
      <c r="F33" s="65" t="s">
        <v>32</v>
      </c>
      <c r="G33" s="65" t="s">
        <v>33</v>
      </c>
      <c r="H33" s="65" t="s">
        <v>32</v>
      </c>
      <c r="I33" s="65" t="s">
        <v>33</v>
      </c>
      <c r="J33" s="65" t="s">
        <v>32</v>
      </c>
      <c r="K33" s="65" t="s">
        <v>33</v>
      </c>
      <c r="L33" s="66"/>
      <c r="M33" s="66"/>
      <c r="N33" s="87"/>
      <c r="O33" s="66"/>
      <c r="P33" s="68">
        <f t="shared" si="0"/>
        <v>40</v>
      </c>
      <c r="Q33" s="69">
        <f t="shared" si="4"/>
        <v>104</v>
      </c>
      <c r="R33" s="70" t="str">
        <f t="shared" si="1"/>
        <v>Игумнов</v>
      </c>
      <c r="S33" s="76" t="s">
        <v>10</v>
      </c>
      <c r="T33" s="77" t="s">
        <v>9</v>
      </c>
      <c r="U33" s="73">
        <f>COUNTIF(T33,B33)+COUNTIF(T33,D33)+COUNTIF(T33,F33)+COUNTIF(T33,H33)+COUNTIF(T33,J33)+COUNTIF(T33,L33)+COUNTIF(T33,N34)</f>
        <v>0</v>
      </c>
      <c r="V33" s="62">
        <f>COUNTIF(S33,B33)+COUNTIF(S33,D33)+COUNTIF(S33,F33)+COUNTIF(S33,H33)+COUNTIF(S33,J33)+COUNTIF(S33,L33)+COUNTIF(S33,N34)</f>
        <v>0</v>
      </c>
      <c r="W33" s="62"/>
      <c r="X33" s="79" t="s">
        <v>34</v>
      </c>
      <c r="Y33" s="7"/>
      <c r="Z33" s="80"/>
      <c r="AA33" s="80"/>
      <c r="AB33" s="13"/>
      <c r="AC33" s="13"/>
      <c r="AD33" s="13"/>
    </row>
    <row r="34" ht="14.25">
      <c r="A34" s="64" t="s">
        <v>40</v>
      </c>
      <c r="B34" s="65" t="s">
        <v>32</v>
      </c>
      <c r="C34" s="65" t="s">
        <v>33</v>
      </c>
      <c r="D34" s="65" t="s">
        <v>32</v>
      </c>
      <c r="E34" s="65" t="s">
        <v>33</v>
      </c>
      <c r="F34" s="65" t="s">
        <v>32</v>
      </c>
      <c r="G34" s="65" t="s">
        <v>33</v>
      </c>
      <c r="H34" s="65" t="s">
        <v>32</v>
      </c>
      <c r="I34" s="65" t="s">
        <v>33</v>
      </c>
      <c r="J34" s="65" t="s">
        <v>32</v>
      </c>
      <c r="K34" s="65" t="s">
        <v>33</v>
      </c>
      <c r="L34" s="66"/>
      <c r="M34" s="66"/>
      <c r="N34" s="66"/>
      <c r="O34" s="66"/>
      <c r="P34" s="68">
        <f t="shared" si="0"/>
        <v>40</v>
      </c>
      <c r="Q34" s="69">
        <f t="shared" si="4"/>
        <v>104</v>
      </c>
      <c r="R34" s="70" t="str">
        <f t="shared" si="1"/>
        <v>Душин</v>
      </c>
      <c r="S34" s="76" t="s">
        <v>10</v>
      </c>
      <c r="T34" s="77" t="s">
        <v>9</v>
      </c>
      <c r="U34" s="73">
        <f>COUNTIF(T34,B34)+COUNTIF(T34,D34)+COUNTIF(T34,F34)+COUNTIF(T34,H34)+COUNTIF(T34,J34)+COUNTIF(T34,L34)+COUNTIF(T34,#REF!)</f>
        <v>0</v>
      </c>
      <c r="V34" s="62">
        <f>COUNTIF(S34,B34)+COUNTIF(S34,D34)+COUNTIF(S34,F34)+COUNTIF(S34,H34)+COUNTIF(S34,J34)+COUNTIF(S34,L34)+COUNTIF(S34,#REF!)</f>
        <v>0</v>
      </c>
      <c r="W34" s="62"/>
      <c r="X34" s="74" t="s">
        <v>38</v>
      </c>
      <c r="Y34" s="80"/>
      <c r="Z34" s="80"/>
      <c r="AA34" s="80"/>
      <c r="AB34" s="13"/>
      <c r="AC34" s="13"/>
      <c r="AD34" s="13"/>
    </row>
    <row r="35" ht="14.25">
      <c r="A35" s="64" t="s">
        <v>42</v>
      </c>
      <c r="B35" s="65" t="s">
        <v>32</v>
      </c>
      <c r="C35" s="65" t="s">
        <v>33</v>
      </c>
      <c r="D35" s="65" t="s">
        <v>32</v>
      </c>
      <c r="E35" s="65" t="s">
        <v>33</v>
      </c>
      <c r="F35" s="65" t="s">
        <v>32</v>
      </c>
      <c r="G35" s="65" t="s">
        <v>33</v>
      </c>
      <c r="H35" s="65" t="s">
        <v>32</v>
      </c>
      <c r="I35" s="65" t="s">
        <v>33</v>
      </c>
      <c r="J35" s="65" t="s">
        <v>32</v>
      </c>
      <c r="K35" s="65" t="s">
        <v>33</v>
      </c>
      <c r="L35" s="66"/>
      <c r="M35" s="66"/>
      <c r="N35" s="66"/>
      <c r="O35" s="66"/>
      <c r="P35" s="68">
        <f t="shared" si="0"/>
        <v>40</v>
      </c>
      <c r="Q35" s="69">
        <f t="shared" si="4"/>
        <v>104</v>
      </c>
      <c r="R35" s="70" t="str">
        <f t="shared" si="1"/>
        <v>Юращик</v>
      </c>
      <c r="S35" s="76" t="s">
        <v>10</v>
      </c>
      <c r="T35" s="77" t="s">
        <v>9</v>
      </c>
      <c r="U35" s="73">
        <f t="shared" ref="U35:U96" si="5">COUNTIF(T35,B35)+COUNTIF(T35,D35)+COUNTIF(T35,F35)+COUNTIF(T35,H35)+COUNTIF(T35,J35)+COUNTIF(T35,L35)+COUNTIF(T35,N35)</f>
        <v>0</v>
      </c>
      <c r="V35" s="62">
        <f t="shared" ref="V35:V69" si="6">COUNTIF(S35,B35)+COUNTIF(S35,D35)+COUNTIF(S35,F35)+COUNTIF(S35,H35)+COUNTIF(S35,J35)+COUNTIF(S35,L35)+COUNTIF(S35,N35)</f>
        <v>0</v>
      </c>
      <c r="W35" s="62"/>
      <c r="X35" s="74" t="s">
        <v>38</v>
      </c>
      <c r="Y35" s="80"/>
      <c r="Z35" s="80"/>
      <c r="AA35" s="80"/>
      <c r="AB35" s="13"/>
      <c r="AC35" s="13"/>
      <c r="AD35" s="13"/>
    </row>
    <row r="36" ht="14.25">
      <c r="A36" s="81" t="s">
        <v>43</v>
      </c>
      <c r="B36" s="67"/>
      <c r="C36" s="67"/>
      <c r="D36" s="78"/>
      <c r="E36" s="78" t="s">
        <v>33</v>
      </c>
      <c r="F36" s="78"/>
      <c r="G36" s="78" t="s">
        <v>4</v>
      </c>
      <c r="H36" s="66"/>
      <c r="I36" s="66"/>
      <c r="J36" s="66"/>
      <c r="K36" s="66"/>
      <c r="L36" s="87"/>
      <c r="M36" s="87"/>
      <c r="N36" s="83"/>
      <c r="O36" s="83" t="s">
        <v>4</v>
      </c>
      <c r="P36" s="68">
        <f t="shared" si="0"/>
        <v>32</v>
      </c>
      <c r="Q36" s="69">
        <f t="shared" si="4"/>
        <v>108</v>
      </c>
      <c r="R36" s="70" t="s">
        <v>43</v>
      </c>
      <c r="S36" s="71" t="s">
        <v>12</v>
      </c>
      <c r="T36" s="84" t="s">
        <v>11</v>
      </c>
      <c r="U36" s="85">
        <f t="shared" si="5"/>
        <v>0</v>
      </c>
      <c r="V36" s="86">
        <f t="shared" si="6"/>
        <v>0</v>
      </c>
      <c r="W36" s="86"/>
      <c r="X36" s="74" t="s">
        <v>44</v>
      </c>
      <c r="Y36" s="80"/>
      <c r="Z36" s="80"/>
      <c r="AA36" s="80"/>
      <c r="AB36" s="13"/>
      <c r="AC36" s="13"/>
      <c r="AD36" s="13"/>
    </row>
    <row r="37" ht="14.25">
      <c r="A37" s="81" t="s">
        <v>45</v>
      </c>
      <c r="B37" s="78"/>
      <c r="C37" s="78" t="s">
        <v>4</v>
      </c>
      <c r="D37" s="66"/>
      <c r="E37" s="66"/>
      <c r="F37" s="67"/>
      <c r="G37" s="67"/>
      <c r="H37" s="83"/>
      <c r="I37" s="83" t="s">
        <v>4</v>
      </c>
      <c r="J37" s="83"/>
      <c r="K37" s="83" t="s">
        <v>4</v>
      </c>
      <c r="L37" s="66"/>
      <c r="M37" s="66"/>
      <c r="N37" s="66"/>
      <c r="O37" s="66"/>
      <c r="P37" s="68">
        <f t="shared" si="0"/>
        <v>36</v>
      </c>
      <c r="Q37" s="69">
        <f t="shared" si="4"/>
        <v>104</v>
      </c>
      <c r="R37" s="70" t="str">
        <f t="shared" si="1"/>
        <v>Пузырь</v>
      </c>
      <c r="S37" s="76" t="s">
        <v>10</v>
      </c>
      <c r="T37" s="77" t="s">
        <v>9</v>
      </c>
      <c r="U37" s="73">
        <f t="shared" si="5"/>
        <v>0</v>
      </c>
      <c r="V37" s="62">
        <f t="shared" si="6"/>
        <v>0</v>
      </c>
      <c r="W37" s="62"/>
      <c r="X37" s="74" t="s">
        <v>34</v>
      </c>
      <c r="Y37" s="80"/>
      <c r="Z37" s="7"/>
      <c r="AA37" s="7"/>
      <c r="AB37" s="13"/>
      <c r="AC37" s="13"/>
      <c r="AD37" s="13"/>
    </row>
    <row r="38" ht="14.25">
      <c r="A38" s="81" t="s">
        <v>46</v>
      </c>
      <c r="B38" s="67"/>
      <c r="C38" s="67"/>
      <c r="D38" s="83"/>
      <c r="E38" s="83" t="s">
        <v>4</v>
      </c>
      <c r="F38" s="83"/>
      <c r="G38" s="83" t="s">
        <v>33</v>
      </c>
      <c r="H38" s="66"/>
      <c r="I38" s="66"/>
      <c r="J38" s="67"/>
      <c r="K38" s="67"/>
      <c r="L38" s="78"/>
      <c r="M38" s="78" t="s">
        <v>4</v>
      </c>
      <c r="N38" s="78"/>
      <c r="O38" s="78" t="s">
        <v>4</v>
      </c>
      <c r="P38" s="68">
        <f t="shared" si="0"/>
        <v>44</v>
      </c>
      <c r="Q38" s="69">
        <f t="shared" si="4"/>
        <v>96</v>
      </c>
      <c r="R38" s="70" t="str">
        <f t="shared" si="1"/>
        <v>Голышев</v>
      </c>
      <c r="S38" s="76" t="s">
        <v>10</v>
      </c>
      <c r="T38" s="77" t="s">
        <v>9</v>
      </c>
      <c r="U38" s="73">
        <f t="shared" si="5"/>
        <v>0</v>
      </c>
      <c r="V38" s="62">
        <f t="shared" si="6"/>
        <v>0</v>
      </c>
      <c r="W38" s="62"/>
      <c r="X38" s="74" t="s">
        <v>34</v>
      </c>
      <c r="Y38" s="80"/>
      <c r="Z38" s="7"/>
      <c r="AA38" s="7"/>
      <c r="AB38" s="13"/>
      <c r="AC38" s="13"/>
      <c r="AD38" s="13"/>
    </row>
    <row r="39" ht="14.25">
      <c r="A39" s="81" t="s">
        <v>47</v>
      </c>
      <c r="B39" s="83"/>
      <c r="C39" s="83" t="s">
        <v>4</v>
      </c>
      <c r="D39" s="66"/>
      <c r="E39" s="66"/>
      <c r="F39" s="66"/>
      <c r="G39" s="66"/>
      <c r="H39" s="78"/>
      <c r="I39" s="78" t="s">
        <v>4</v>
      </c>
      <c r="J39" s="78"/>
      <c r="K39" s="78" t="s">
        <v>4</v>
      </c>
      <c r="L39" s="66"/>
      <c r="M39" s="66"/>
      <c r="N39" s="66"/>
      <c r="O39" s="66"/>
      <c r="P39" s="68">
        <f t="shared" si="0"/>
        <v>36</v>
      </c>
      <c r="Q39" s="69">
        <f t="shared" si="4"/>
        <v>104</v>
      </c>
      <c r="R39" s="70" t="str">
        <f t="shared" si="1"/>
        <v>Торубара</v>
      </c>
      <c r="S39" s="76" t="s">
        <v>10</v>
      </c>
      <c r="T39" s="77" t="s">
        <v>9</v>
      </c>
      <c r="U39" s="73">
        <f t="shared" si="5"/>
        <v>0</v>
      </c>
      <c r="V39" s="62">
        <f t="shared" si="6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25">
      <c r="A40" s="81" t="s">
        <v>48</v>
      </c>
      <c r="B40" s="83"/>
      <c r="C40" s="83" t="s">
        <v>4</v>
      </c>
      <c r="D40" s="82"/>
      <c r="E40" s="82"/>
      <c r="F40" s="66"/>
      <c r="G40" s="66"/>
      <c r="H40" s="78"/>
      <c r="I40" s="78" t="s">
        <v>4</v>
      </c>
      <c r="J40" s="78"/>
      <c r="K40" s="78" t="s">
        <v>4</v>
      </c>
      <c r="L40" s="82"/>
      <c r="M40" s="82"/>
      <c r="N40" s="82"/>
      <c r="O40" s="82"/>
      <c r="P40" s="68">
        <f t="shared" si="0"/>
        <v>36</v>
      </c>
      <c r="Q40" s="69">
        <f t="shared" si="4"/>
        <v>104</v>
      </c>
      <c r="R40" s="70" t="str">
        <f t="shared" si="1"/>
        <v>Стрыгин</v>
      </c>
      <c r="S40" s="71" t="s">
        <v>8</v>
      </c>
      <c r="T40" s="72" t="s">
        <v>7</v>
      </c>
      <c r="U40" s="73">
        <f t="shared" si="5"/>
        <v>0</v>
      </c>
      <c r="V40" s="62">
        <f t="shared" si="6"/>
        <v>0</v>
      </c>
      <c r="W40" s="62"/>
      <c r="X40" s="74" t="s">
        <v>49</v>
      </c>
      <c r="Y40" s="7"/>
      <c r="Z40" s="7"/>
      <c r="AA40" s="7"/>
      <c r="AB40" s="13"/>
      <c r="AC40" s="13"/>
      <c r="AD40" s="13"/>
    </row>
    <row r="41" ht="14.25">
      <c r="A41" s="81" t="s">
        <v>50</v>
      </c>
      <c r="B41" s="67"/>
      <c r="C41" s="67"/>
      <c r="D41" s="78"/>
      <c r="E41" s="78" t="s">
        <v>4</v>
      </c>
      <c r="F41" s="78"/>
      <c r="G41" s="78" t="s">
        <v>4</v>
      </c>
      <c r="H41" s="66"/>
      <c r="I41" s="66"/>
      <c r="J41" s="66"/>
      <c r="K41" s="66"/>
      <c r="L41" s="83"/>
      <c r="M41" s="83" t="s">
        <v>4</v>
      </c>
      <c r="N41" s="83"/>
      <c r="O41" s="83" t="s">
        <v>4</v>
      </c>
      <c r="P41" s="68">
        <f t="shared" si="0"/>
        <v>48</v>
      </c>
      <c r="Q41" s="69">
        <f t="shared" si="4"/>
        <v>92</v>
      </c>
      <c r="R41" s="70" t="str">
        <f t="shared" si="1"/>
        <v>Фрик</v>
      </c>
      <c r="S41" s="71" t="s">
        <v>12</v>
      </c>
      <c r="T41" s="72" t="s">
        <v>11</v>
      </c>
      <c r="U41" s="73">
        <f t="shared" si="5"/>
        <v>0</v>
      </c>
      <c r="V41" s="62">
        <f t="shared" si="6"/>
        <v>0</v>
      </c>
      <c r="W41" s="62"/>
      <c r="X41" s="74" t="s">
        <v>44</v>
      </c>
      <c r="Y41" s="7"/>
      <c r="Z41" s="7"/>
      <c r="AA41" s="7"/>
      <c r="AB41" s="13"/>
      <c r="AC41" s="13"/>
      <c r="AD41" s="13"/>
    </row>
    <row r="42" ht="14.25">
      <c r="A42" s="88" t="s">
        <v>51</v>
      </c>
      <c r="B42" s="107"/>
      <c r="C42" s="107" t="s">
        <v>4</v>
      </c>
      <c r="D42" s="108"/>
      <c r="E42" s="108"/>
      <c r="F42" s="109"/>
      <c r="G42" s="109"/>
      <c r="H42" s="110"/>
      <c r="I42" s="110" t="s">
        <v>4</v>
      </c>
      <c r="J42" s="110"/>
      <c r="K42" s="110" t="s">
        <v>4</v>
      </c>
      <c r="L42" s="111"/>
      <c r="M42" s="111"/>
      <c r="N42" s="109"/>
      <c r="O42" s="109"/>
      <c r="P42" s="68">
        <f t="shared" si="0"/>
        <v>36</v>
      </c>
      <c r="Q42" s="69">
        <f t="shared" si="4"/>
        <v>104</v>
      </c>
      <c r="R42" s="70" t="str">
        <f t="shared" si="1"/>
        <v>Истрашкин</v>
      </c>
      <c r="S42" s="71" t="s">
        <v>10</v>
      </c>
      <c r="T42" s="72" t="s">
        <v>9</v>
      </c>
      <c r="U42" s="73">
        <f t="shared" si="5"/>
        <v>0</v>
      </c>
      <c r="V42" s="62">
        <f t="shared" si="6"/>
        <v>0</v>
      </c>
      <c r="W42" s="62"/>
      <c r="X42" s="74" t="s">
        <v>34</v>
      </c>
      <c r="Y42" s="7"/>
      <c r="Z42" s="7"/>
      <c r="AA42" s="7"/>
      <c r="AB42" s="13"/>
      <c r="AC42" s="13"/>
      <c r="AD42" s="13"/>
    </row>
    <row r="43" ht="14.25">
      <c r="A43" s="88" t="s">
        <v>52</v>
      </c>
      <c r="B43" s="87"/>
      <c r="C43" s="87"/>
      <c r="D43" s="112"/>
      <c r="E43" s="83" t="s">
        <v>4</v>
      </c>
      <c r="F43" s="112"/>
      <c r="G43" s="83" t="s">
        <v>4</v>
      </c>
      <c r="H43" s="87"/>
      <c r="I43" s="87"/>
      <c r="J43" s="87"/>
      <c r="K43" s="87"/>
      <c r="L43" s="112"/>
      <c r="M43" s="83" t="s">
        <v>4</v>
      </c>
      <c r="N43" s="112"/>
      <c r="O43" s="83" t="s">
        <v>4</v>
      </c>
      <c r="P43" s="68">
        <f t="shared" si="0"/>
        <v>48</v>
      </c>
      <c r="Q43" s="69">
        <f t="shared" si="4"/>
        <v>92</v>
      </c>
      <c r="R43" s="113" t="s">
        <v>52</v>
      </c>
      <c r="S43" s="71" t="s">
        <v>8</v>
      </c>
      <c r="T43" s="72" t="s">
        <v>7</v>
      </c>
      <c r="U43" s="90"/>
      <c r="V43" s="62"/>
      <c r="W43" s="62"/>
      <c r="X43" s="91"/>
      <c r="Y43" s="7"/>
      <c r="Z43" s="7"/>
      <c r="AA43" s="7"/>
      <c r="AB43" s="13"/>
      <c r="AC43" s="13"/>
      <c r="AD43" s="13"/>
    </row>
    <row r="44" ht="14.25">
      <c r="A44" s="97"/>
      <c r="B44" s="53">
        <v>46363</v>
      </c>
      <c r="C44" s="53"/>
      <c r="D44" s="53">
        <v>46364</v>
      </c>
      <c r="E44" s="53"/>
      <c r="F44" s="53">
        <v>46365</v>
      </c>
      <c r="G44" s="53"/>
      <c r="H44" s="53">
        <v>46366</v>
      </c>
      <c r="I44" s="53"/>
      <c r="J44" s="53">
        <v>46367</v>
      </c>
      <c r="K44" s="53"/>
      <c r="L44" s="53">
        <v>46368</v>
      </c>
      <c r="M44" s="53"/>
      <c r="N44" s="53">
        <v>46369</v>
      </c>
      <c r="O44" s="54"/>
      <c r="P44" s="114"/>
      <c r="Q44" s="82"/>
      <c r="R44" s="97"/>
      <c r="S44" s="98"/>
      <c r="T44" s="115"/>
      <c r="U44" s="100"/>
      <c r="V44" s="100"/>
      <c r="W44" s="100"/>
      <c r="X44" s="7"/>
      <c r="Y44" s="7"/>
      <c r="Z44" s="7"/>
      <c r="AA44" s="7"/>
      <c r="AB44" s="13"/>
      <c r="AC44" s="13"/>
      <c r="AD44" s="13"/>
    </row>
    <row r="45" ht="14.25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8"/>
      <c r="S45" s="98"/>
      <c r="T45" s="99"/>
      <c r="U45" s="100"/>
      <c r="V45" s="100"/>
      <c r="W45" s="100"/>
      <c r="X45" s="51"/>
      <c r="Y45" s="7"/>
      <c r="Z45" s="7"/>
      <c r="AA45" s="7"/>
      <c r="AB45" s="13"/>
      <c r="AC45" s="13"/>
      <c r="AD45" s="13"/>
    </row>
    <row r="46" ht="14.25">
      <c r="A46" s="52"/>
      <c r="B46" s="56" t="s">
        <v>17</v>
      </c>
      <c r="C46" s="116"/>
      <c r="D46" s="56" t="s">
        <v>18</v>
      </c>
      <c r="E46" s="116"/>
      <c r="F46" s="56" t="s">
        <v>19</v>
      </c>
      <c r="G46" s="56"/>
      <c r="H46" s="56" t="s">
        <v>20</v>
      </c>
      <c r="I46" s="116"/>
      <c r="J46" s="56" t="s">
        <v>21</v>
      </c>
      <c r="K46" s="56"/>
      <c r="L46" s="56" t="s">
        <v>22</v>
      </c>
      <c r="M46" s="56"/>
      <c r="N46" s="56" t="s">
        <v>23</v>
      </c>
      <c r="O46" s="56"/>
      <c r="P46" s="56" t="s">
        <v>24</v>
      </c>
      <c r="Q46" s="56"/>
      <c r="R46" s="52"/>
      <c r="S46" s="52"/>
      <c r="T46" s="117"/>
      <c r="U46" s="62"/>
      <c r="V46" s="62"/>
      <c r="W46" s="62"/>
      <c r="X46" s="63"/>
      <c r="Y46" s="7"/>
      <c r="Z46" s="7"/>
      <c r="AA46" s="7"/>
      <c r="AB46" s="13"/>
      <c r="AC46" s="13"/>
      <c r="AD46" s="13"/>
    </row>
    <row r="47" ht="14.25">
      <c r="A47" s="52"/>
      <c r="B47" s="53">
        <v>46370</v>
      </c>
      <c r="C47" s="53"/>
      <c r="D47" s="53">
        <v>46371</v>
      </c>
      <c r="E47" s="53"/>
      <c r="F47" s="53">
        <v>46372</v>
      </c>
      <c r="G47" s="53"/>
      <c r="H47" s="53">
        <v>46373</v>
      </c>
      <c r="I47" s="53"/>
      <c r="J47" s="53">
        <v>46374</v>
      </c>
      <c r="K47" s="53"/>
      <c r="L47" s="53">
        <v>46375</v>
      </c>
      <c r="M47" s="53"/>
      <c r="N47" s="53">
        <v>46376</v>
      </c>
      <c r="O47" s="54"/>
      <c r="P47" s="55" t="s">
        <v>25</v>
      </c>
      <c r="Q47" s="56" t="s">
        <v>26</v>
      </c>
      <c r="R47" s="118"/>
      <c r="S47" s="52"/>
      <c r="T47" s="119"/>
      <c r="U47" s="60" t="s">
        <v>27</v>
      </c>
      <c r="V47" s="61" t="s">
        <v>28</v>
      </c>
      <c r="W47" s="62" t="s">
        <v>29</v>
      </c>
      <c r="X47" s="63" t="s">
        <v>30</v>
      </c>
      <c r="Y47" s="7"/>
      <c r="Z47" s="7"/>
      <c r="AA47" s="7"/>
      <c r="AB47" s="13"/>
      <c r="AC47" s="13"/>
      <c r="AD47" s="13"/>
    </row>
    <row r="48" ht="14.25">
      <c r="A48" s="64" t="s">
        <v>31</v>
      </c>
      <c r="B48" s="65" t="s">
        <v>32</v>
      </c>
      <c r="C48" s="65" t="s">
        <v>33</v>
      </c>
      <c r="D48" s="65" t="s">
        <v>32</v>
      </c>
      <c r="E48" s="65" t="s">
        <v>33</v>
      </c>
      <c r="F48" s="65" t="s">
        <v>32</v>
      </c>
      <c r="G48" s="65" t="s">
        <v>33</v>
      </c>
      <c r="H48" s="65" t="s">
        <v>32</v>
      </c>
      <c r="I48" s="65" t="s">
        <v>33</v>
      </c>
      <c r="J48" s="65" t="s">
        <v>32</v>
      </c>
      <c r="K48" s="65" t="s">
        <v>33</v>
      </c>
      <c r="L48" s="67"/>
      <c r="M48" s="67"/>
      <c r="N48" s="67"/>
      <c r="O48" s="67"/>
      <c r="P48" s="68">
        <f t="shared" si="0"/>
        <v>40</v>
      </c>
      <c r="Q48" s="69">
        <f t="shared" si="4"/>
        <v>64</v>
      </c>
      <c r="R48" s="70" t="str">
        <f t="shared" si="1"/>
        <v>Нетронин</v>
      </c>
      <c r="S48" s="71" t="s">
        <v>10</v>
      </c>
      <c r="T48" s="72" t="s">
        <v>9</v>
      </c>
      <c r="U48" s="73">
        <f t="shared" si="5"/>
        <v>0</v>
      </c>
      <c r="V48" s="62">
        <f t="shared" si="6"/>
        <v>0</v>
      </c>
      <c r="W48" s="62"/>
      <c r="X48" s="74" t="s">
        <v>34</v>
      </c>
      <c r="Y48" s="7"/>
      <c r="Z48" s="7"/>
      <c r="AA48" s="7"/>
      <c r="AB48" s="13"/>
      <c r="AC48" s="13"/>
      <c r="AD48" s="13"/>
    </row>
    <row r="49" ht="14.25">
      <c r="A49" s="64" t="s">
        <v>35</v>
      </c>
      <c r="B49" s="120"/>
      <c r="C49" s="120" t="s">
        <v>33</v>
      </c>
      <c r="D49" s="120"/>
      <c r="E49" s="120" t="s">
        <v>33</v>
      </c>
      <c r="F49" s="120"/>
      <c r="G49" s="120" t="s">
        <v>33</v>
      </c>
      <c r="H49" s="120"/>
      <c r="I49" s="120" t="s">
        <v>33</v>
      </c>
      <c r="J49" s="120"/>
      <c r="K49" s="120" t="s">
        <v>33</v>
      </c>
      <c r="L49" s="120"/>
      <c r="M49" s="120"/>
      <c r="N49" s="120"/>
      <c r="O49" s="120"/>
      <c r="P49" s="68">
        <f t="shared" si="0"/>
        <v>40</v>
      </c>
      <c r="Q49" s="69">
        <f t="shared" si="4"/>
        <v>64</v>
      </c>
      <c r="R49" s="70" t="str">
        <f t="shared" si="1"/>
        <v>Рычков</v>
      </c>
      <c r="S49" s="76" t="s">
        <v>10</v>
      </c>
      <c r="T49" s="77" t="s">
        <v>9</v>
      </c>
      <c r="U49" s="73">
        <f t="shared" si="5"/>
        <v>0</v>
      </c>
      <c r="V49" s="62">
        <f t="shared" si="6"/>
        <v>0</v>
      </c>
      <c r="W49" s="62"/>
      <c r="X49" s="74" t="s">
        <v>34</v>
      </c>
      <c r="Y49" s="7"/>
      <c r="Z49" s="7"/>
      <c r="AA49" s="7"/>
      <c r="AB49" s="13"/>
      <c r="AC49" s="13"/>
      <c r="AD49" s="13"/>
    </row>
    <row r="50" ht="14.25">
      <c r="A50" s="75" t="s">
        <v>36</v>
      </c>
      <c r="B50" s="78" t="s">
        <v>37</v>
      </c>
      <c r="C50" s="78">
        <v>8</v>
      </c>
      <c r="D50" s="78" t="s">
        <v>37</v>
      </c>
      <c r="E50" s="78">
        <v>8</v>
      </c>
      <c r="F50" s="78" t="s">
        <v>37</v>
      </c>
      <c r="G50" s="78">
        <v>8</v>
      </c>
      <c r="H50" s="78" t="s">
        <v>37</v>
      </c>
      <c r="I50" s="78">
        <v>8</v>
      </c>
      <c r="J50" s="78" t="s">
        <v>37</v>
      </c>
      <c r="K50" s="78">
        <v>8</v>
      </c>
      <c r="L50" s="66"/>
      <c r="M50" s="66"/>
      <c r="N50" s="66"/>
      <c r="O50" s="66"/>
      <c r="P50" s="68">
        <f t="shared" si="0"/>
        <v>40</v>
      </c>
      <c r="Q50" s="69">
        <f t="shared" si="4"/>
        <v>64</v>
      </c>
      <c r="R50" s="70" t="str">
        <f t="shared" si="1"/>
        <v>Колобашкин</v>
      </c>
      <c r="S50" s="76" t="s">
        <v>10</v>
      </c>
      <c r="T50" s="77" t="s">
        <v>9</v>
      </c>
      <c r="U50" s="73">
        <f t="shared" si="5"/>
        <v>0</v>
      </c>
      <c r="V50" s="62">
        <f t="shared" si="6"/>
        <v>0</v>
      </c>
      <c r="W50" s="62"/>
      <c r="X50" s="74" t="s">
        <v>38</v>
      </c>
      <c r="Y50" s="7"/>
      <c r="Z50" s="7"/>
      <c r="AA50" s="7"/>
      <c r="AB50" s="13"/>
      <c r="AC50" s="13"/>
      <c r="AD50" s="13"/>
    </row>
    <row r="51" ht="14.25">
      <c r="A51" s="64" t="s">
        <v>39</v>
      </c>
      <c r="B51" s="65" t="s">
        <v>32</v>
      </c>
      <c r="C51" s="65" t="s">
        <v>33</v>
      </c>
      <c r="D51" s="65" t="s">
        <v>32</v>
      </c>
      <c r="E51" s="65" t="s">
        <v>33</v>
      </c>
      <c r="F51" s="65" t="s">
        <v>32</v>
      </c>
      <c r="G51" s="65" t="s">
        <v>33</v>
      </c>
      <c r="H51" s="65" t="s">
        <v>32</v>
      </c>
      <c r="I51" s="65" t="s">
        <v>33</v>
      </c>
      <c r="J51" s="65" t="s">
        <v>32</v>
      </c>
      <c r="K51" s="65" t="s">
        <v>33</v>
      </c>
      <c r="L51" s="66"/>
      <c r="M51" s="66"/>
      <c r="N51" s="66"/>
      <c r="O51" s="66"/>
      <c r="P51" s="68">
        <f t="shared" si="0"/>
        <v>40</v>
      </c>
      <c r="Q51" s="69">
        <f t="shared" si="4"/>
        <v>64</v>
      </c>
      <c r="R51" s="70" t="str">
        <f t="shared" si="1"/>
        <v>Игумнов</v>
      </c>
      <c r="S51" s="76" t="s">
        <v>10</v>
      </c>
      <c r="T51" s="77" t="s">
        <v>9</v>
      </c>
      <c r="U51" s="73">
        <f t="shared" si="5"/>
        <v>0</v>
      </c>
      <c r="V51" s="62">
        <f t="shared" si="6"/>
        <v>0</v>
      </c>
      <c r="W51" s="62"/>
      <c r="X51" s="79" t="s">
        <v>34</v>
      </c>
      <c r="Y51" s="7"/>
      <c r="Z51" s="7"/>
      <c r="AA51" s="7"/>
      <c r="AB51" s="13"/>
      <c r="AC51" s="13"/>
      <c r="AD51" s="13"/>
    </row>
    <row r="52" ht="14.25">
      <c r="A52" s="64" t="s">
        <v>40</v>
      </c>
      <c r="B52" s="65" t="s">
        <v>32</v>
      </c>
      <c r="C52" s="65" t="s">
        <v>33</v>
      </c>
      <c r="D52" s="65" t="s">
        <v>32</v>
      </c>
      <c r="E52" s="65" t="s">
        <v>33</v>
      </c>
      <c r="F52" s="65" t="s">
        <v>32</v>
      </c>
      <c r="G52" s="65" t="s">
        <v>33</v>
      </c>
      <c r="H52" s="65" t="s">
        <v>32</v>
      </c>
      <c r="I52" s="65" t="s">
        <v>33</v>
      </c>
      <c r="J52" s="65" t="s">
        <v>32</v>
      </c>
      <c r="K52" s="65" t="s">
        <v>33</v>
      </c>
      <c r="L52" s="66"/>
      <c r="M52" s="66"/>
      <c r="N52" s="66"/>
      <c r="O52" s="66"/>
      <c r="P52" s="68">
        <f t="shared" si="0"/>
        <v>40</v>
      </c>
      <c r="Q52" s="69">
        <f t="shared" si="4"/>
        <v>64</v>
      </c>
      <c r="R52" s="70" t="str">
        <f t="shared" si="1"/>
        <v>Душин</v>
      </c>
      <c r="S52" s="76" t="s">
        <v>10</v>
      </c>
      <c r="T52" s="77" t="s">
        <v>9</v>
      </c>
      <c r="U52" s="73">
        <f t="shared" si="5"/>
        <v>0</v>
      </c>
      <c r="V52" s="62">
        <f t="shared" si="6"/>
        <v>0</v>
      </c>
      <c r="W52" s="62"/>
      <c r="X52" s="74" t="s">
        <v>38</v>
      </c>
      <c r="Y52" s="7"/>
      <c r="Z52" s="7"/>
      <c r="AA52" s="7"/>
      <c r="AB52" s="13"/>
      <c r="AC52" s="13"/>
      <c r="AD52" s="13"/>
    </row>
    <row r="53" ht="14.25">
      <c r="A53" s="64" t="s">
        <v>42</v>
      </c>
      <c r="B53" s="65" t="s">
        <v>32</v>
      </c>
      <c r="C53" s="65" t="s">
        <v>33</v>
      </c>
      <c r="D53" s="65" t="s">
        <v>32</v>
      </c>
      <c r="E53" s="65" t="s">
        <v>33</v>
      </c>
      <c r="F53" s="65" t="s">
        <v>32</v>
      </c>
      <c r="G53" s="65" t="s">
        <v>33</v>
      </c>
      <c r="H53" s="65" t="s">
        <v>32</v>
      </c>
      <c r="I53" s="65" t="s">
        <v>33</v>
      </c>
      <c r="J53" s="65" t="s">
        <v>32</v>
      </c>
      <c r="K53" s="65" t="s">
        <v>33</v>
      </c>
      <c r="L53" s="66"/>
      <c r="M53" s="66"/>
      <c r="N53" s="66"/>
      <c r="O53" s="66"/>
      <c r="P53" s="68">
        <f t="shared" si="0"/>
        <v>40</v>
      </c>
      <c r="Q53" s="69">
        <f t="shared" si="4"/>
        <v>64</v>
      </c>
      <c r="R53" s="70" t="str">
        <f t="shared" si="1"/>
        <v>Юращик</v>
      </c>
      <c r="S53" s="76" t="s">
        <v>10</v>
      </c>
      <c r="T53" s="77" t="s">
        <v>9</v>
      </c>
      <c r="U53" s="73"/>
      <c r="V53" s="62"/>
      <c r="W53" s="62"/>
      <c r="X53" s="74" t="s">
        <v>38</v>
      </c>
      <c r="Y53" s="7"/>
      <c r="Z53" s="7"/>
      <c r="AA53" s="7"/>
      <c r="AB53" s="13"/>
      <c r="AC53" s="13"/>
      <c r="AD53" s="13"/>
    </row>
    <row r="54" ht="14.25">
      <c r="A54" s="81" t="s">
        <v>43</v>
      </c>
      <c r="B54" s="87"/>
      <c r="C54" s="87"/>
      <c r="D54" s="67"/>
      <c r="E54" s="67"/>
      <c r="F54" s="76"/>
      <c r="G54" s="76" t="s">
        <v>4</v>
      </c>
      <c r="H54" s="76"/>
      <c r="I54" s="76" t="s">
        <v>4</v>
      </c>
      <c r="J54" s="87"/>
      <c r="K54" s="87"/>
      <c r="L54" s="82"/>
      <c r="M54" s="82"/>
      <c r="N54" s="83"/>
      <c r="O54" s="83" t="s">
        <v>4</v>
      </c>
      <c r="P54" s="68">
        <f t="shared" si="0"/>
        <v>36</v>
      </c>
      <c r="Q54" s="69">
        <f t="shared" si="4"/>
        <v>72</v>
      </c>
      <c r="R54" s="70" t="s">
        <v>43</v>
      </c>
      <c r="S54" s="71" t="s">
        <v>12</v>
      </c>
      <c r="T54" s="84" t="s">
        <v>11</v>
      </c>
      <c r="U54" s="85">
        <f t="shared" si="5"/>
        <v>0</v>
      </c>
      <c r="V54" s="86">
        <f t="shared" si="6"/>
        <v>0</v>
      </c>
      <c r="W54" s="86"/>
      <c r="X54" s="74" t="s">
        <v>44</v>
      </c>
      <c r="Y54" s="80"/>
      <c r="Z54" s="80"/>
      <c r="AA54" s="80"/>
      <c r="AB54" s="13"/>
      <c r="AC54" s="13"/>
      <c r="AD54" s="13"/>
    </row>
    <row r="55" ht="14.25">
      <c r="A55" s="121" t="s">
        <v>45</v>
      </c>
      <c r="B55" s="78"/>
      <c r="C55" s="78" t="s">
        <v>4</v>
      </c>
      <c r="D55" s="78"/>
      <c r="E55" s="78" t="s">
        <v>4</v>
      </c>
      <c r="F55" s="66"/>
      <c r="G55" s="66"/>
      <c r="H55" s="67"/>
      <c r="I55" s="67"/>
      <c r="J55" s="83"/>
      <c r="K55" s="83" t="s">
        <v>33</v>
      </c>
      <c r="L55" s="83"/>
      <c r="M55" s="83" t="s">
        <v>4</v>
      </c>
      <c r="N55" s="87"/>
      <c r="O55" s="87"/>
      <c r="P55" s="68">
        <f t="shared" si="0"/>
        <v>44</v>
      </c>
      <c r="Q55" s="69">
        <f t="shared" si="4"/>
        <v>60</v>
      </c>
      <c r="R55" s="70" t="str">
        <f t="shared" si="1"/>
        <v>Пузырь</v>
      </c>
      <c r="S55" s="76" t="s">
        <v>10</v>
      </c>
      <c r="T55" s="77" t="s">
        <v>9</v>
      </c>
      <c r="U55" s="73">
        <f t="shared" si="5"/>
        <v>0</v>
      </c>
      <c r="V55" s="62">
        <f t="shared" si="6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121" t="s">
        <v>46</v>
      </c>
      <c r="B56" s="66"/>
      <c r="C56" s="66"/>
      <c r="D56" s="67"/>
      <c r="E56" s="67"/>
      <c r="F56" s="83"/>
      <c r="G56" s="83" t="s">
        <v>4</v>
      </c>
      <c r="H56" s="120"/>
      <c r="I56" s="120" t="s">
        <v>33</v>
      </c>
      <c r="J56" s="122"/>
      <c r="K56" s="122" t="s">
        <v>33</v>
      </c>
      <c r="L56" s="123"/>
      <c r="M56" s="123"/>
      <c r="N56" s="124"/>
      <c r="O56" s="124"/>
      <c r="P56" s="68">
        <f t="shared" si="0"/>
        <v>28</v>
      </c>
      <c r="Q56" s="69">
        <f t="shared" si="4"/>
        <v>68</v>
      </c>
      <c r="R56" s="70" t="str">
        <f t="shared" si="1"/>
        <v>Голышев</v>
      </c>
      <c r="S56" s="76" t="s">
        <v>10</v>
      </c>
      <c r="T56" s="77" t="s">
        <v>9</v>
      </c>
      <c r="U56" s="73">
        <f t="shared" si="5"/>
        <v>0</v>
      </c>
      <c r="V56" s="62">
        <f t="shared" si="6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25">
      <c r="A57" s="121" t="s">
        <v>47</v>
      </c>
      <c r="B57" s="83"/>
      <c r="C57" s="83" t="s">
        <v>4</v>
      </c>
      <c r="D57" s="83"/>
      <c r="E57" s="83" t="s">
        <v>4</v>
      </c>
      <c r="F57" s="66"/>
      <c r="G57" s="66"/>
      <c r="H57" s="66"/>
      <c r="I57" s="66"/>
      <c r="J57" s="78"/>
      <c r="K57" s="78" t="s">
        <v>4</v>
      </c>
      <c r="L57" s="78"/>
      <c r="M57" s="78" t="s">
        <v>4</v>
      </c>
      <c r="N57" s="87"/>
      <c r="O57" s="87"/>
      <c r="P57" s="68">
        <f t="shared" si="0"/>
        <v>48</v>
      </c>
      <c r="Q57" s="69">
        <f t="shared" si="4"/>
        <v>56</v>
      </c>
      <c r="R57" s="70" t="str">
        <f t="shared" si="1"/>
        <v>Торубара</v>
      </c>
      <c r="S57" s="76" t="s">
        <v>10</v>
      </c>
      <c r="T57" s="77" t="s">
        <v>9</v>
      </c>
      <c r="U57" s="73">
        <f t="shared" si="5"/>
        <v>0</v>
      </c>
      <c r="V57" s="62">
        <f t="shared" si="6"/>
        <v>0</v>
      </c>
      <c r="W57" s="62"/>
      <c r="X57" s="74" t="s">
        <v>34</v>
      </c>
      <c r="Y57" s="7"/>
      <c r="Z57" s="7"/>
      <c r="AA57" s="7"/>
      <c r="AB57" s="13"/>
      <c r="AC57" s="13"/>
      <c r="AD57" s="13"/>
    </row>
    <row r="58" ht="14.25">
      <c r="A58" s="121" t="s">
        <v>48</v>
      </c>
      <c r="B58" s="83"/>
      <c r="C58" s="83" t="s">
        <v>4</v>
      </c>
      <c r="D58" s="83"/>
      <c r="E58" s="83" t="s">
        <v>4</v>
      </c>
      <c r="F58" s="66"/>
      <c r="G58" s="66"/>
      <c r="H58" s="82"/>
      <c r="I58" s="82"/>
      <c r="J58" s="78"/>
      <c r="K58" s="78" t="s">
        <v>4</v>
      </c>
      <c r="L58" s="78"/>
      <c r="M58" s="78" t="s">
        <v>4</v>
      </c>
      <c r="N58" s="87"/>
      <c r="O58" s="87"/>
      <c r="P58" s="68">
        <f t="shared" si="0"/>
        <v>48</v>
      </c>
      <c r="Q58" s="69">
        <f t="shared" si="4"/>
        <v>56</v>
      </c>
      <c r="R58" s="70" t="str">
        <f t="shared" si="1"/>
        <v>Стрыгин</v>
      </c>
      <c r="S58" s="71" t="s">
        <v>8</v>
      </c>
      <c r="T58" s="72" t="s">
        <v>7</v>
      </c>
      <c r="U58" s="73">
        <f t="shared" si="5"/>
        <v>0</v>
      </c>
      <c r="V58" s="62">
        <f t="shared" si="6"/>
        <v>0</v>
      </c>
      <c r="W58" s="62"/>
      <c r="X58" s="74" t="s">
        <v>49</v>
      </c>
      <c r="Y58" s="7"/>
      <c r="Z58" s="7"/>
      <c r="AA58" s="7"/>
      <c r="AB58" s="13"/>
      <c r="AC58" s="13"/>
      <c r="AD58" s="13"/>
    </row>
    <row r="59" ht="14.25">
      <c r="A59" s="121" t="s">
        <v>50</v>
      </c>
      <c r="B59" s="66"/>
      <c r="C59" s="66"/>
      <c r="D59" s="67"/>
      <c r="E59" s="67"/>
      <c r="F59" s="83"/>
      <c r="G59" s="83" t="s">
        <v>33</v>
      </c>
      <c r="H59" s="120"/>
      <c r="I59" s="120"/>
      <c r="J59" s="122"/>
      <c r="K59" s="122" t="s">
        <v>33</v>
      </c>
      <c r="L59" s="122"/>
      <c r="M59" s="122"/>
      <c r="N59" s="122"/>
      <c r="O59" s="122"/>
      <c r="P59" s="68">
        <f t="shared" si="0"/>
        <v>16</v>
      </c>
      <c r="Q59" s="69">
        <f t="shared" si="4"/>
        <v>76</v>
      </c>
      <c r="R59" s="70" t="str">
        <f t="shared" si="1"/>
        <v>Фрик</v>
      </c>
      <c r="S59" s="71" t="s">
        <v>12</v>
      </c>
      <c r="T59" s="72" t="s">
        <v>11</v>
      </c>
      <c r="U59" s="73">
        <f t="shared" si="5"/>
        <v>0</v>
      </c>
      <c r="V59" s="62">
        <f t="shared" si="6"/>
        <v>0</v>
      </c>
      <c r="W59" s="62"/>
      <c r="X59" s="74" t="s">
        <v>44</v>
      </c>
      <c r="Y59" s="7"/>
      <c r="Z59" s="7"/>
      <c r="AA59" s="7"/>
      <c r="AB59" s="13"/>
      <c r="AC59" s="13"/>
      <c r="AD59" s="13"/>
    </row>
    <row r="60" ht="14.25">
      <c r="A60" s="125" t="s">
        <v>51</v>
      </c>
      <c r="B60" s="78"/>
      <c r="C60" s="78" t="s">
        <v>4</v>
      </c>
      <c r="D60" s="78"/>
      <c r="E60" s="78" t="s">
        <v>4</v>
      </c>
      <c r="F60" s="67"/>
      <c r="G60" s="67"/>
      <c r="H60" s="66"/>
      <c r="I60" s="66"/>
      <c r="J60" s="83"/>
      <c r="K60" s="83" t="s">
        <v>4</v>
      </c>
      <c r="L60" s="83"/>
      <c r="M60" s="83" t="s">
        <v>4</v>
      </c>
      <c r="N60" s="87"/>
      <c r="O60" s="87"/>
      <c r="P60" s="68">
        <f t="shared" si="0"/>
        <v>48</v>
      </c>
      <c r="Q60" s="69">
        <f t="shared" si="4"/>
        <v>56</v>
      </c>
      <c r="R60" s="70" t="str">
        <f t="shared" si="1"/>
        <v>Истрашкин</v>
      </c>
      <c r="S60" s="71" t="s">
        <v>10</v>
      </c>
      <c r="T60" s="72" t="s">
        <v>9</v>
      </c>
      <c r="U60" s="73">
        <f t="shared" si="5"/>
        <v>0</v>
      </c>
      <c r="V60" s="62">
        <f t="shared" si="6"/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88" t="s">
        <v>52</v>
      </c>
      <c r="B61" s="87"/>
      <c r="C61" s="87"/>
      <c r="D61" s="87"/>
      <c r="E61" s="87"/>
      <c r="F61" s="89"/>
      <c r="G61" s="78" t="s">
        <v>4</v>
      </c>
      <c r="H61" s="89"/>
      <c r="I61" s="78" t="s">
        <v>4</v>
      </c>
      <c r="J61" s="87"/>
      <c r="K61" s="87"/>
      <c r="L61" s="87"/>
      <c r="M61" s="87"/>
      <c r="N61" s="89"/>
      <c r="O61" s="78" t="s">
        <v>4</v>
      </c>
      <c r="P61" s="68">
        <f t="shared" si="0"/>
        <v>36</v>
      </c>
      <c r="Q61" s="69">
        <f t="shared" si="4"/>
        <v>56</v>
      </c>
      <c r="R61" s="113" t="s">
        <v>52</v>
      </c>
      <c r="S61" s="71" t="s">
        <v>8</v>
      </c>
      <c r="T61" s="72" t="s">
        <v>7</v>
      </c>
      <c r="U61" s="90"/>
      <c r="V61" s="62"/>
      <c r="W61" s="62"/>
      <c r="X61" s="91"/>
      <c r="Y61" s="7"/>
      <c r="Z61" s="7"/>
      <c r="AA61" s="7"/>
      <c r="AB61" s="13"/>
      <c r="AC61" s="13"/>
      <c r="AD61" s="13"/>
    </row>
    <row r="62" ht="14.25">
      <c r="A62" s="92"/>
      <c r="B62" s="53">
        <v>46370</v>
      </c>
      <c r="C62" s="53"/>
      <c r="D62" s="53">
        <v>46371</v>
      </c>
      <c r="E62" s="53"/>
      <c r="F62" s="53">
        <v>46372</v>
      </c>
      <c r="G62" s="53"/>
      <c r="H62" s="53">
        <v>46373</v>
      </c>
      <c r="I62" s="53"/>
      <c r="J62" s="53">
        <v>46374</v>
      </c>
      <c r="K62" s="53"/>
      <c r="L62" s="53">
        <v>46375</v>
      </c>
      <c r="M62" s="53"/>
      <c r="N62" s="53">
        <v>46376</v>
      </c>
      <c r="O62" s="54"/>
      <c r="P62" s="68"/>
      <c r="Q62" s="67"/>
      <c r="R62" s="92"/>
      <c r="S62" s="52"/>
      <c r="T62" s="126"/>
      <c r="U62" s="60" t="s">
        <v>27</v>
      </c>
      <c r="V62" s="61" t="s">
        <v>28</v>
      </c>
      <c r="W62" s="62" t="s">
        <v>29</v>
      </c>
      <c r="X62" s="7"/>
      <c r="Y62" s="7"/>
      <c r="Z62" s="7"/>
      <c r="AA62" s="7"/>
      <c r="AB62" s="13"/>
      <c r="AC62" s="13"/>
      <c r="AD62" s="13"/>
    </row>
    <row r="63" ht="14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127"/>
      <c r="U63" s="127"/>
      <c r="V63" s="127"/>
      <c r="W63" s="128"/>
      <c r="X63" s="7"/>
      <c r="Y63" s="7"/>
      <c r="Z63" s="7"/>
      <c r="AA63" s="7"/>
      <c r="AB63" s="13"/>
      <c r="AC63" s="13"/>
      <c r="AD63" s="13"/>
    </row>
    <row r="64" ht="14.25">
      <c r="A64" s="52"/>
      <c r="B64" s="56" t="s">
        <v>17</v>
      </c>
      <c r="C64" s="116"/>
      <c r="D64" s="56" t="s">
        <v>18</v>
      </c>
      <c r="E64" s="116"/>
      <c r="F64" s="56" t="s">
        <v>19</v>
      </c>
      <c r="G64" s="56"/>
      <c r="H64" s="56" t="s">
        <v>20</v>
      </c>
      <c r="I64" s="116"/>
      <c r="J64" s="129" t="s">
        <v>21</v>
      </c>
      <c r="K64" s="129"/>
      <c r="L64" s="56" t="s">
        <v>22</v>
      </c>
      <c r="M64" s="56"/>
      <c r="N64" s="56" t="s">
        <v>23</v>
      </c>
      <c r="O64" s="56"/>
      <c r="P64" s="56" t="s">
        <v>24</v>
      </c>
      <c r="Q64" s="56"/>
      <c r="R64" s="52"/>
      <c r="S64" s="52"/>
      <c r="T64" s="117"/>
      <c r="U64" s="62"/>
      <c r="V64" s="62"/>
      <c r="W64" s="62"/>
      <c r="X64" s="51"/>
      <c r="Y64" s="7"/>
      <c r="Z64" s="7"/>
      <c r="AA64" s="7"/>
      <c r="AB64" s="13"/>
      <c r="AC64" s="13"/>
      <c r="AD64" s="13"/>
    </row>
    <row r="65" ht="14.4">
      <c r="A65" s="52"/>
      <c r="B65" s="53">
        <v>46377</v>
      </c>
      <c r="C65" s="53"/>
      <c r="D65" s="53">
        <v>46378</v>
      </c>
      <c r="E65" s="53"/>
      <c r="F65" s="53">
        <v>46379</v>
      </c>
      <c r="G65" s="53"/>
      <c r="H65" s="53">
        <v>46380</v>
      </c>
      <c r="I65" s="53"/>
      <c r="J65" s="53">
        <v>46381</v>
      </c>
      <c r="K65" s="53"/>
      <c r="L65" s="53">
        <v>46382</v>
      </c>
      <c r="M65" s="53"/>
      <c r="N65" s="53">
        <v>46383</v>
      </c>
      <c r="O65" s="54"/>
      <c r="P65" s="55" t="s">
        <v>25</v>
      </c>
      <c r="Q65" s="56" t="s">
        <v>26</v>
      </c>
      <c r="R65" s="118"/>
      <c r="S65" s="52"/>
      <c r="T65" s="119"/>
      <c r="U65" s="60" t="s">
        <v>27</v>
      </c>
      <c r="V65" s="61" t="s">
        <v>28</v>
      </c>
      <c r="W65" s="62" t="s">
        <v>29</v>
      </c>
      <c r="X65" s="63" t="s">
        <v>30</v>
      </c>
      <c r="Y65" s="7"/>
      <c r="Z65" s="7"/>
      <c r="AA65" s="7"/>
      <c r="AB65" s="13"/>
      <c r="AC65" s="13"/>
      <c r="AD65" s="13"/>
    </row>
    <row r="66" ht="14.4">
      <c r="A66" s="64" t="s">
        <v>31</v>
      </c>
      <c r="B66" s="65" t="s">
        <v>32</v>
      </c>
      <c r="C66" s="65" t="s">
        <v>33</v>
      </c>
      <c r="D66" s="65" t="s">
        <v>32</v>
      </c>
      <c r="E66" s="65" t="s">
        <v>33</v>
      </c>
      <c r="F66" s="65" t="s">
        <v>32</v>
      </c>
      <c r="G66" s="65" t="s">
        <v>33</v>
      </c>
      <c r="H66" s="65" t="s">
        <v>32</v>
      </c>
      <c r="I66" s="65" t="s">
        <v>33</v>
      </c>
      <c r="J66" s="65" t="s">
        <v>32</v>
      </c>
      <c r="K66" s="65" t="s">
        <v>33</v>
      </c>
      <c r="L66" s="67"/>
      <c r="M66" s="67"/>
      <c r="N66" s="67"/>
      <c r="O66" s="67"/>
      <c r="P66" s="68">
        <f t="shared" si="0"/>
        <v>40</v>
      </c>
      <c r="Q66" s="69">
        <f t="shared" si="4"/>
        <v>24</v>
      </c>
      <c r="R66" s="70" t="str">
        <f t="shared" si="1"/>
        <v>Нетронин</v>
      </c>
      <c r="S66" s="71" t="s">
        <v>10</v>
      </c>
      <c r="T66" s="72" t="s">
        <v>9</v>
      </c>
      <c r="U66" s="73">
        <v>0</v>
      </c>
      <c r="V66" s="62">
        <v>0</v>
      </c>
      <c r="W66" s="62"/>
      <c r="X66" s="74" t="s">
        <v>34</v>
      </c>
      <c r="Y66" s="7"/>
      <c r="Z66" s="7"/>
      <c r="AA66" s="7"/>
      <c r="AB66" s="13"/>
      <c r="AC66" s="13"/>
      <c r="AD66" s="13"/>
    </row>
    <row r="67" ht="14.4">
      <c r="A67" s="75" t="s">
        <v>35</v>
      </c>
      <c r="B67" s="65" t="s">
        <v>32</v>
      </c>
      <c r="C67" s="65" t="s">
        <v>33</v>
      </c>
      <c r="D67" s="65" t="s">
        <v>32</v>
      </c>
      <c r="E67" s="65" t="s">
        <v>33</v>
      </c>
      <c r="F67" s="65" t="s">
        <v>32</v>
      </c>
      <c r="G67" s="65" t="s">
        <v>33</v>
      </c>
      <c r="H67" s="65" t="s">
        <v>32</v>
      </c>
      <c r="I67" s="65" t="s">
        <v>33</v>
      </c>
      <c r="J67" s="65" t="s">
        <v>32</v>
      </c>
      <c r="K67" s="65" t="s">
        <v>33</v>
      </c>
      <c r="L67" s="66"/>
      <c r="M67" s="66"/>
      <c r="N67" s="66"/>
      <c r="O67" s="66"/>
      <c r="P67" s="68">
        <f t="shared" si="0"/>
        <v>40</v>
      </c>
      <c r="Q67" s="69">
        <f t="shared" si="4"/>
        <v>24</v>
      </c>
      <c r="R67" s="70" t="str">
        <f t="shared" si="1"/>
        <v>Рычков</v>
      </c>
      <c r="S67" s="76" t="s">
        <v>10</v>
      </c>
      <c r="T67" s="77" t="s">
        <v>9</v>
      </c>
      <c r="U67" s="73">
        <f t="shared" si="5"/>
        <v>0</v>
      </c>
      <c r="V67" s="62">
        <f t="shared" si="6"/>
        <v>0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 ht="14.4">
      <c r="A68" s="130" t="s">
        <v>36</v>
      </c>
      <c r="B68" s="78" t="s">
        <v>37</v>
      </c>
      <c r="C68" s="78">
        <v>8</v>
      </c>
      <c r="D68" s="78" t="s">
        <v>37</v>
      </c>
      <c r="E68" s="78">
        <v>8</v>
      </c>
      <c r="F68" s="78" t="s">
        <v>37</v>
      </c>
      <c r="G68" s="78">
        <v>8</v>
      </c>
      <c r="H68" s="78" t="s">
        <v>37</v>
      </c>
      <c r="I68" s="78">
        <v>8</v>
      </c>
      <c r="J68" s="78" t="s">
        <v>37</v>
      </c>
      <c r="K68" s="78">
        <v>8</v>
      </c>
      <c r="L68" s="66"/>
      <c r="M68" s="66"/>
      <c r="N68" s="66"/>
      <c r="O68" s="66"/>
      <c r="P68" s="68">
        <f t="shared" si="0"/>
        <v>40</v>
      </c>
      <c r="Q68" s="69">
        <f t="shared" si="4"/>
        <v>24</v>
      </c>
      <c r="R68" s="70" t="str">
        <f t="shared" si="1"/>
        <v>Колобашкин</v>
      </c>
      <c r="S68" s="76" t="s">
        <v>10</v>
      </c>
      <c r="T68" s="77" t="s">
        <v>9</v>
      </c>
      <c r="U68" s="73">
        <f t="shared" si="5"/>
        <v>0</v>
      </c>
      <c r="V68" s="62">
        <f t="shared" si="6"/>
        <v>0</v>
      </c>
      <c r="W68" s="62"/>
      <c r="X68" s="74" t="s">
        <v>38</v>
      </c>
      <c r="Y68" s="7"/>
      <c r="Z68" s="7"/>
      <c r="AA68" s="7"/>
      <c r="AB68" s="13"/>
      <c r="AC68" s="13"/>
      <c r="AD68" s="13"/>
    </row>
    <row r="69" ht="14.4">
      <c r="A69" s="64" t="s">
        <v>39</v>
      </c>
      <c r="B69" s="65" t="s">
        <v>32</v>
      </c>
      <c r="C69" s="65" t="s">
        <v>33</v>
      </c>
      <c r="D69" s="65" t="s">
        <v>32</v>
      </c>
      <c r="E69" s="65" t="s">
        <v>33</v>
      </c>
      <c r="F69" s="65" t="s">
        <v>32</v>
      </c>
      <c r="G69" s="65" t="s">
        <v>33</v>
      </c>
      <c r="H69" s="65" t="s">
        <v>32</v>
      </c>
      <c r="I69" s="65" t="s">
        <v>33</v>
      </c>
      <c r="J69" s="65" t="s">
        <v>32</v>
      </c>
      <c r="K69" s="65" t="s">
        <v>33</v>
      </c>
      <c r="L69" s="66"/>
      <c r="M69" s="66"/>
      <c r="N69" s="66"/>
      <c r="O69" s="66"/>
      <c r="P69" s="68">
        <f t="shared" si="0"/>
        <v>40</v>
      </c>
      <c r="Q69" s="69">
        <f t="shared" si="4"/>
        <v>24</v>
      </c>
      <c r="R69" s="70" t="str">
        <f t="shared" si="1"/>
        <v>Игумнов</v>
      </c>
      <c r="S69" s="76" t="s">
        <v>10</v>
      </c>
      <c r="T69" s="77" t="s">
        <v>9</v>
      </c>
      <c r="U69" s="73">
        <f t="shared" si="5"/>
        <v>0</v>
      </c>
      <c r="V69" s="62">
        <f t="shared" si="6"/>
        <v>0</v>
      </c>
      <c r="W69" s="62"/>
      <c r="X69" s="79" t="s">
        <v>34</v>
      </c>
      <c r="Y69" s="7"/>
      <c r="Z69" s="7"/>
      <c r="AA69" s="7"/>
      <c r="AB69" s="13"/>
      <c r="AC69" s="13"/>
      <c r="AD69" s="13"/>
    </row>
    <row r="70" ht="14.4">
      <c r="A70" s="64" t="s">
        <v>40</v>
      </c>
      <c r="B70" s="65" t="s">
        <v>32</v>
      </c>
      <c r="C70" s="65" t="s">
        <v>33</v>
      </c>
      <c r="D70" s="65" t="s">
        <v>32</v>
      </c>
      <c r="E70" s="65" t="s">
        <v>33</v>
      </c>
      <c r="F70" s="65" t="s">
        <v>32</v>
      </c>
      <c r="G70" s="65" t="s">
        <v>33</v>
      </c>
      <c r="H70" s="65" t="s">
        <v>32</v>
      </c>
      <c r="I70" s="65" t="s">
        <v>33</v>
      </c>
      <c r="J70" s="65" t="s">
        <v>32</v>
      </c>
      <c r="K70" s="65" t="s">
        <v>33</v>
      </c>
      <c r="L70" s="66"/>
      <c r="M70" s="66"/>
      <c r="N70" s="66"/>
      <c r="O70" s="66"/>
      <c r="P70" s="68">
        <f t="shared" si="0"/>
        <v>40</v>
      </c>
      <c r="Q70" s="69">
        <f t="shared" si="4"/>
        <v>24</v>
      </c>
      <c r="R70" s="70" t="str">
        <f t="shared" si="1"/>
        <v>Душин</v>
      </c>
      <c r="S70" s="76" t="s">
        <v>10</v>
      </c>
      <c r="T70" s="77" t="s">
        <v>9</v>
      </c>
      <c r="U70" s="73">
        <f t="shared" si="5"/>
        <v>0</v>
      </c>
      <c r="V70" s="62">
        <f>COUNTIF(U70,C70)+COUNTIF(U70,E70)+COUNTIF(U70,G70)+COUNTIF(U70,I70)+COUNTIF(U70,K70)+COUNTIF(U70,M70)+COUNTIF(U70,O70)</f>
        <v>2</v>
      </c>
      <c r="W70" s="62"/>
      <c r="X70" s="74" t="s">
        <v>38</v>
      </c>
      <c r="Y70" s="7"/>
      <c r="Z70" s="7"/>
      <c r="AA70" s="7"/>
      <c r="AB70" s="13"/>
      <c r="AC70" s="13"/>
      <c r="AD70" s="13"/>
    </row>
    <row r="71" ht="14.4">
      <c r="A71" s="64" t="s">
        <v>42</v>
      </c>
      <c r="B71" s="65" t="s">
        <v>32</v>
      </c>
      <c r="C71" s="65" t="s">
        <v>33</v>
      </c>
      <c r="D71" s="120"/>
      <c r="E71" s="120" t="s">
        <v>33</v>
      </c>
      <c r="F71" s="120"/>
      <c r="G71" s="120" t="s">
        <v>33</v>
      </c>
      <c r="H71" s="120"/>
      <c r="I71" s="120" t="s">
        <v>33</v>
      </c>
      <c r="J71" s="120"/>
      <c r="K71" s="120" t="s">
        <v>33</v>
      </c>
      <c r="L71" s="120"/>
      <c r="M71" s="120"/>
      <c r="N71" s="120"/>
      <c r="O71" s="120"/>
      <c r="P71" s="68">
        <f t="shared" si="0"/>
        <v>40</v>
      </c>
      <c r="Q71" s="69">
        <f t="shared" si="4"/>
        <v>24</v>
      </c>
      <c r="R71" s="70" t="str">
        <f t="shared" si="1"/>
        <v>Юращик</v>
      </c>
      <c r="S71" s="76" t="s">
        <v>10</v>
      </c>
      <c r="T71" s="77" t="s">
        <v>9</v>
      </c>
      <c r="U71" s="73"/>
      <c r="V71" s="62"/>
      <c r="W71" s="62"/>
      <c r="X71" s="74" t="s">
        <v>38</v>
      </c>
      <c r="Y71" s="7"/>
      <c r="Z71" s="7"/>
      <c r="AA71" s="7"/>
      <c r="AB71" s="13"/>
      <c r="AC71" s="13"/>
      <c r="AD71" s="13"/>
    </row>
    <row r="72" ht="14.4">
      <c r="A72" s="81" t="s">
        <v>43</v>
      </c>
      <c r="B72" s="131"/>
      <c r="C72" s="131">
        <v>12</v>
      </c>
      <c r="D72" s="67"/>
      <c r="E72" s="67"/>
      <c r="F72" s="67"/>
      <c r="G72" s="67"/>
      <c r="H72" s="131"/>
      <c r="I72" s="131">
        <v>12</v>
      </c>
      <c r="J72" s="83"/>
      <c r="K72" s="83" t="s">
        <v>4</v>
      </c>
      <c r="L72" s="82"/>
      <c r="M72" s="82"/>
      <c r="N72" s="66"/>
      <c r="O72" s="66"/>
      <c r="P72" s="68">
        <f t="shared" si="0"/>
        <v>36</v>
      </c>
      <c r="Q72" s="69">
        <f t="shared" si="4"/>
        <v>36</v>
      </c>
      <c r="R72" s="70" t="s">
        <v>43</v>
      </c>
      <c r="S72" s="71" t="s">
        <v>12</v>
      </c>
      <c r="T72" s="84" t="s">
        <v>11</v>
      </c>
      <c r="U72" s="85">
        <f t="shared" si="5"/>
        <v>0</v>
      </c>
      <c r="V72" s="86">
        <f t="shared" ref="V72:V96" si="7">COUNTIF(S72,B72)+COUNTIF(S72,D72)+COUNTIF(S72,F72)+COUNTIF(S72,H72)+COUNTIF(S72,J72)+COUNTIF(S72,L72)+COUNTIF(S72,N72)</f>
        <v>0</v>
      </c>
      <c r="W72" s="86"/>
      <c r="X72" s="74" t="s">
        <v>44</v>
      </c>
      <c r="Y72" s="80"/>
      <c r="Z72" s="80"/>
      <c r="AA72" s="80"/>
      <c r="AB72" s="13"/>
      <c r="AC72" s="13"/>
      <c r="AD72" s="13"/>
    </row>
    <row r="73" ht="14.4">
      <c r="A73" s="81" t="s">
        <v>45</v>
      </c>
      <c r="B73" s="66"/>
      <c r="C73" s="66"/>
      <c r="D73" s="78"/>
      <c r="E73" s="78" t="s">
        <v>4</v>
      </c>
      <c r="F73" s="78"/>
      <c r="G73" s="78" t="s">
        <v>4</v>
      </c>
      <c r="H73" s="82"/>
      <c r="I73" s="82"/>
      <c r="J73" s="67"/>
      <c r="K73" s="66"/>
      <c r="L73" s="83"/>
      <c r="M73" s="83" t="s">
        <v>4</v>
      </c>
      <c r="N73" s="83"/>
      <c r="O73" s="83" t="s">
        <v>4</v>
      </c>
      <c r="P73" s="68">
        <f t="shared" si="0"/>
        <v>48</v>
      </c>
      <c r="Q73" s="69">
        <f t="shared" si="4"/>
        <v>12</v>
      </c>
      <c r="R73" s="70" t="str">
        <f t="shared" si="1"/>
        <v>Пузырь</v>
      </c>
      <c r="S73" s="76" t="s">
        <v>10</v>
      </c>
      <c r="T73" s="77" t="s">
        <v>9</v>
      </c>
      <c r="U73" s="73">
        <f t="shared" si="5"/>
        <v>0</v>
      </c>
      <c r="V73" s="62">
        <f t="shared" si="7"/>
        <v>0</v>
      </c>
      <c r="W73" s="62"/>
      <c r="X73" s="74" t="s">
        <v>34</v>
      </c>
      <c r="Y73" s="7"/>
      <c r="Z73" s="7"/>
      <c r="AA73" s="7"/>
      <c r="AB73" s="13"/>
      <c r="AC73" s="13"/>
      <c r="AD73" s="13"/>
    </row>
    <row r="74" ht="14.4">
      <c r="A74" s="81" t="s">
        <v>46</v>
      </c>
      <c r="B74" s="123"/>
      <c r="C74" s="123" t="s">
        <v>33</v>
      </c>
      <c r="D74" s="123"/>
      <c r="E74" s="123" t="s">
        <v>33</v>
      </c>
      <c r="F74" s="123"/>
      <c r="G74" s="123" t="s">
        <v>33</v>
      </c>
      <c r="H74" s="122"/>
      <c r="I74" s="122" t="s">
        <v>33</v>
      </c>
      <c r="J74" s="122"/>
      <c r="K74" s="122" t="s">
        <v>33</v>
      </c>
      <c r="L74" s="123"/>
      <c r="M74" s="123"/>
      <c r="N74" s="123"/>
      <c r="O74" s="123"/>
      <c r="P74" s="68">
        <f t="shared" si="0"/>
        <v>40</v>
      </c>
      <c r="Q74" s="69">
        <f t="shared" si="4"/>
        <v>28</v>
      </c>
      <c r="R74" s="70" t="str">
        <f t="shared" si="1"/>
        <v>Голышев</v>
      </c>
      <c r="S74" s="76" t="s">
        <v>10</v>
      </c>
      <c r="T74" s="77" t="s">
        <v>9</v>
      </c>
      <c r="U74" s="73">
        <f t="shared" si="5"/>
        <v>0</v>
      </c>
      <c r="V74" s="62">
        <f t="shared" si="7"/>
        <v>0</v>
      </c>
      <c r="W74" s="62"/>
      <c r="X74" s="74" t="s">
        <v>34</v>
      </c>
      <c r="Y74" s="7"/>
      <c r="Z74" s="7"/>
      <c r="AA74" s="7"/>
      <c r="AB74" s="13"/>
      <c r="AC74" s="13"/>
      <c r="AD74" s="13"/>
    </row>
    <row r="75" ht="14.4">
      <c r="A75" s="81" t="s">
        <v>47</v>
      </c>
      <c r="B75" s="66"/>
      <c r="C75" s="66"/>
      <c r="D75" s="83"/>
      <c r="E75" s="83" t="s">
        <v>4</v>
      </c>
      <c r="F75" s="83"/>
      <c r="G75" s="83" t="s">
        <v>33</v>
      </c>
      <c r="H75" s="67"/>
      <c r="I75" s="66"/>
      <c r="J75" s="67"/>
      <c r="K75" s="66"/>
      <c r="L75" s="78"/>
      <c r="M75" s="78" t="s">
        <v>4</v>
      </c>
      <c r="N75" s="78"/>
      <c r="O75" s="78" t="s">
        <v>4</v>
      </c>
      <c r="P75" s="68">
        <f t="shared" si="0"/>
        <v>44</v>
      </c>
      <c r="Q75" s="69">
        <f t="shared" si="4"/>
        <v>12</v>
      </c>
      <c r="R75" s="70" t="str">
        <f t="shared" si="1"/>
        <v>Торубара</v>
      </c>
      <c r="S75" s="76" t="s">
        <v>10</v>
      </c>
      <c r="T75" s="77" t="s">
        <v>9</v>
      </c>
      <c r="U75" s="73">
        <f t="shared" si="5"/>
        <v>0</v>
      </c>
      <c r="V75" s="62">
        <f t="shared" si="7"/>
        <v>0</v>
      </c>
      <c r="W75" s="62"/>
      <c r="X75" s="74" t="s">
        <v>34</v>
      </c>
      <c r="Y75" s="7"/>
      <c r="Z75" s="7"/>
      <c r="AA75" s="7"/>
      <c r="AB75" s="13"/>
      <c r="AC75" s="13"/>
      <c r="AD75" s="13"/>
    </row>
    <row r="76" ht="14.4">
      <c r="A76" s="81" t="s">
        <v>48</v>
      </c>
      <c r="B76" s="66"/>
      <c r="C76" s="66"/>
      <c r="D76" s="83"/>
      <c r="E76" s="83" t="s">
        <v>33</v>
      </c>
      <c r="F76" s="83"/>
      <c r="G76" s="83" t="s">
        <v>4</v>
      </c>
      <c r="H76" s="66"/>
      <c r="I76" s="66"/>
      <c r="J76" s="82"/>
      <c r="K76" s="82"/>
      <c r="L76" s="78"/>
      <c r="M76" s="78" t="s">
        <v>4</v>
      </c>
      <c r="N76" s="78"/>
      <c r="O76" s="78" t="s">
        <v>4</v>
      </c>
      <c r="P76" s="68">
        <f t="shared" ref="P76:P97" si="8">C76+E76+G76+I76+K76+M76+O76</f>
        <v>44</v>
      </c>
      <c r="Q76" s="69">
        <f t="shared" si="4"/>
        <v>12</v>
      </c>
      <c r="R76" s="70" t="str">
        <f t="shared" ref="R76:R96" si="9">A76</f>
        <v>Стрыгин</v>
      </c>
      <c r="S76" s="71" t="s">
        <v>8</v>
      </c>
      <c r="T76" s="72" t="s">
        <v>7</v>
      </c>
      <c r="U76" s="73">
        <f t="shared" si="5"/>
        <v>0</v>
      </c>
      <c r="V76" s="62">
        <f t="shared" si="7"/>
        <v>0</v>
      </c>
      <c r="W76" s="62"/>
      <c r="X76" s="74" t="s">
        <v>49</v>
      </c>
      <c r="Y76" s="7"/>
      <c r="Z76" s="7"/>
      <c r="AA76" s="7"/>
      <c r="AB76" s="13"/>
      <c r="AC76" s="13"/>
      <c r="AD76" s="13"/>
    </row>
    <row r="77" ht="14.4">
      <c r="A77" s="81" t="s">
        <v>50</v>
      </c>
      <c r="B77" s="132"/>
      <c r="C77" s="132" t="s">
        <v>33</v>
      </c>
      <c r="D77" s="122"/>
      <c r="E77" s="122" t="s">
        <v>33</v>
      </c>
      <c r="F77" s="123"/>
      <c r="G77" s="123" t="s">
        <v>33</v>
      </c>
      <c r="H77" s="123"/>
      <c r="I77" s="123" t="s">
        <v>33</v>
      </c>
      <c r="J77" s="132"/>
      <c r="K77" s="132" t="s">
        <v>33</v>
      </c>
      <c r="L77" s="132"/>
      <c r="M77" s="132"/>
      <c r="N77" s="122"/>
      <c r="O77" s="122"/>
      <c r="P77" s="68">
        <f t="shared" si="8"/>
        <v>40</v>
      </c>
      <c r="Q77" s="69">
        <f t="shared" si="4"/>
        <v>36</v>
      </c>
      <c r="R77" s="70" t="str">
        <f t="shared" si="9"/>
        <v>Фрик</v>
      </c>
      <c r="S77" s="71" t="s">
        <v>12</v>
      </c>
      <c r="T77" s="72" t="s">
        <v>11</v>
      </c>
      <c r="U77" s="73">
        <f t="shared" si="5"/>
        <v>0</v>
      </c>
      <c r="V77" s="62">
        <f t="shared" si="7"/>
        <v>0</v>
      </c>
      <c r="W77" s="62"/>
      <c r="X77" s="74" t="s">
        <v>44</v>
      </c>
      <c r="Y77" s="7"/>
      <c r="Z77" s="7"/>
      <c r="AA77" s="7"/>
      <c r="AB77" s="13"/>
      <c r="AC77" s="13"/>
      <c r="AD77" s="13"/>
    </row>
    <row r="78" ht="14.4">
      <c r="A78" s="88" t="s">
        <v>51</v>
      </c>
      <c r="B78" s="66"/>
      <c r="C78" s="66"/>
      <c r="D78" s="87"/>
      <c r="E78" s="87"/>
      <c r="F78" s="78"/>
      <c r="G78" s="78" t="s">
        <v>4</v>
      </c>
      <c r="H78" s="82"/>
      <c r="I78" s="82"/>
      <c r="J78" s="66"/>
      <c r="K78" s="66"/>
      <c r="L78" s="83"/>
      <c r="M78" s="83" t="s">
        <v>33</v>
      </c>
      <c r="N78" s="83"/>
      <c r="O78" s="83" t="s">
        <v>4</v>
      </c>
      <c r="P78" s="68">
        <f t="shared" si="8"/>
        <v>32</v>
      </c>
      <c r="Q78" s="69">
        <f t="shared" si="4"/>
        <v>24</v>
      </c>
      <c r="R78" s="70" t="str">
        <f t="shared" si="9"/>
        <v>Истрашкин</v>
      </c>
      <c r="S78" s="71" t="s">
        <v>10</v>
      </c>
      <c r="T78" s="72" t="s">
        <v>9</v>
      </c>
      <c r="U78" s="73">
        <f t="shared" si="5"/>
        <v>0</v>
      </c>
      <c r="V78" s="62">
        <f t="shared" si="7"/>
        <v>0</v>
      </c>
      <c r="W78" s="62"/>
      <c r="X78" s="74" t="s">
        <v>34</v>
      </c>
      <c r="Y78" s="7"/>
      <c r="Z78" s="7"/>
      <c r="AA78" s="7"/>
      <c r="AB78" s="13"/>
      <c r="AC78" s="13"/>
      <c r="AD78" s="13"/>
    </row>
    <row r="79" ht="14.4">
      <c r="A79" s="88" t="s">
        <v>52</v>
      </c>
      <c r="B79" s="133"/>
      <c r="C79" s="89" t="s">
        <v>4</v>
      </c>
      <c r="D79" s="87"/>
      <c r="E79" s="87"/>
      <c r="F79" s="87"/>
      <c r="G79" s="87"/>
      <c r="H79" s="112"/>
      <c r="I79" s="83" t="s">
        <v>4</v>
      </c>
      <c r="J79" s="112"/>
      <c r="K79" s="83" t="s">
        <v>4</v>
      </c>
      <c r="L79" s="87"/>
      <c r="M79" s="87"/>
      <c r="N79" s="87"/>
      <c r="O79" s="87"/>
      <c r="P79" s="68">
        <f t="shared" si="8"/>
        <v>36</v>
      </c>
      <c r="Q79" s="69">
        <f t="shared" si="4"/>
        <v>20</v>
      </c>
      <c r="R79" s="70" t="s">
        <v>52</v>
      </c>
      <c r="S79" s="71" t="s">
        <v>8</v>
      </c>
      <c r="T79" s="72" t="s">
        <v>7</v>
      </c>
      <c r="U79" s="90"/>
      <c r="V79" s="62"/>
      <c r="W79" s="62"/>
      <c r="X79" s="91"/>
      <c r="Y79" s="7"/>
      <c r="Z79" s="7"/>
      <c r="AA79" s="7"/>
      <c r="AB79" s="13"/>
      <c r="AC79" s="13"/>
      <c r="AD79" s="13"/>
    </row>
    <row r="80" ht="14.4">
      <c r="A80" s="134"/>
      <c r="B80" s="53">
        <v>46377</v>
      </c>
      <c r="C80" s="53"/>
      <c r="D80" s="53">
        <v>46378</v>
      </c>
      <c r="E80" s="53"/>
      <c r="F80" s="53">
        <v>46379</v>
      </c>
      <c r="G80" s="53"/>
      <c r="H80" s="53">
        <v>46380</v>
      </c>
      <c r="I80" s="53"/>
      <c r="J80" s="53">
        <v>46381</v>
      </c>
      <c r="K80" s="53"/>
      <c r="L80" s="53">
        <v>46382</v>
      </c>
      <c r="M80" s="53"/>
      <c r="N80" s="53">
        <v>46383</v>
      </c>
      <c r="O80" s="54"/>
      <c r="P80" s="135"/>
      <c r="Q80" s="136"/>
      <c r="R80" s="137"/>
      <c r="S80" s="138"/>
      <c r="T80" s="138"/>
      <c r="U80" s="60" t="s">
        <v>27</v>
      </c>
      <c r="V80" s="61" t="s">
        <v>28</v>
      </c>
      <c r="W80" s="62" t="s">
        <v>29</v>
      </c>
      <c r="X80" s="7"/>
      <c r="Y80" s="7"/>
      <c r="Z80" s="7"/>
      <c r="AA80" s="7"/>
      <c r="AB80" s="13"/>
      <c r="AC80" s="13"/>
      <c r="AD80" s="13"/>
    </row>
    <row r="81" ht="14.4">
      <c r="A81" s="139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39"/>
      <c r="Q81" s="127"/>
      <c r="R81" s="139"/>
      <c r="S81" s="139"/>
      <c r="T81" s="139"/>
      <c r="U81" s="127"/>
      <c r="V81" s="127"/>
      <c r="W81" s="128"/>
      <c r="X81" s="7"/>
      <c r="Y81" s="7"/>
      <c r="Z81" s="7"/>
      <c r="AA81" s="7"/>
      <c r="AB81" s="13"/>
      <c r="AC81" s="13"/>
      <c r="AD81" s="13"/>
    </row>
    <row r="82" ht="14.4">
      <c r="A82" s="141"/>
      <c r="B82" s="43" t="s">
        <v>17</v>
      </c>
      <c r="C82" s="142"/>
      <c r="D82" s="43" t="s">
        <v>18</v>
      </c>
      <c r="E82" s="142"/>
      <c r="F82" s="43" t="s">
        <v>19</v>
      </c>
      <c r="G82" s="43"/>
      <c r="H82" s="43" t="s">
        <v>20</v>
      </c>
      <c r="I82" s="142"/>
      <c r="J82" s="45" t="s">
        <v>21</v>
      </c>
      <c r="K82" s="45"/>
      <c r="L82" s="43" t="s">
        <v>22</v>
      </c>
      <c r="M82" s="43"/>
      <c r="N82" s="43" t="s">
        <v>23</v>
      </c>
      <c r="O82" s="43"/>
      <c r="P82" s="47" t="s">
        <v>24</v>
      </c>
      <c r="Q82" s="48"/>
      <c r="R82" s="141"/>
      <c r="S82" s="143"/>
      <c r="T82" s="143"/>
      <c r="U82" s="62"/>
      <c r="V82" s="62"/>
      <c r="W82" s="62"/>
      <c r="X82" s="51"/>
      <c r="Y82" s="7"/>
      <c r="Z82" s="7"/>
      <c r="AA82" s="7"/>
      <c r="AB82" s="13"/>
      <c r="AC82" s="13"/>
      <c r="AD82" s="13"/>
    </row>
    <row r="83" ht="14.4">
      <c r="A83" s="52"/>
      <c r="B83" s="53">
        <v>46384</v>
      </c>
      <c r="C83" s="53"/>
      <c r="D83" s="53">
        <v>46385</v>
      </c>
      <c r="E83" s="53"/>
      <c r="F83" s="53">
        <v>46386</v>
      </c>
      <c r="G83" s="53"/>
      <c r="H83" s="144">
        <v>46387</v>
      </c>
      <c r="I83" s="144"/>
      <c r="J83" s="145">
        <v>46023</v>
      </c>
      <c r="K83" s="145"/>
      <c r="L83" s="145">
        <v>46024</v>
      </c>
      <c r="M83" s="145"/>
      <c r="N83" s="145">
        <v>46025</v>
      </c>
      <c r="O83" s="146"/>
      <c r="P83" s="55" t="s">
        <v>25</v>
      </c>
      <c r="Q83" s="56" t="s">
        <v>26</v>
      </c>
      <c r="R83" s="118"/>
      <c r="S83" s="119"/>
      <c r="T83" s="147"/>
      <c r="U83" s="60" t="s">
        <v>27</v>
      </c>
      <c r="V83" s="61" t="s">
        <v>28</v>
      </c>
      <c r="W83" s="62" t="s">
        <v>29</v>
      </c>
      <c r="X83" s="63" t="s">
        <v>30</v>
      </c>
      <c r="Y83" s="7"/>
      <c r="Z83" s="7"/>
      <c r="AA83" s="7"/>
      <c r="AB83" s="13"/>
      <c r="AC83" s="13"/>
      <c r="AD83" s="13"/>
    </row>
    <row r="84" ht="14.4">
      <c r="A84" s="64" t="s">
        <v>31</v>
      </c>
      <c r="B84" s="65" t="s">
        <v>32</v>
      </c>
      <c r="C84" s="65" t="s">
        <v>33</v>
      </c>
      <c r="D84" s="65" t="s">
        <v>32</v>
      </c>
      <c r="E84" s="65" t="s">
        <v>33</v>
      </c>
      <c r="F84" s="66"/>
      <c r="G84" s="66"/>
      <c r="H84" s="66"/>
      <c r="I84" s="66"/>
      <c r="J84" s="66"/>
      <c r="K84" s="66"/>
      <c r="L84" s="66"/>
      <c r="M84" s="66"/>
      <c r="N84" s="67"/>
      <c r="O84" s="67"/>
      <c r="P84" s="68">
        <f t="shared" si="8"/>
        <v>16</v>
      </c>
      <c r="Q84" s="69">
        <f t="shared" si="4"/>
        <v>8</v>
      </c>
      <c r="R84" s="70" t="str">
        <f t="shared" si="9"/>
        <v>Нетронин</v>
      </c>
      <c r="S84" s="71" t="s">
        <v>10</v>
      </c>
      <c r="T84" s="72" t="s">
        <v>9</v>
      </c>
      <c r="U84" s="73">
        <v>0</v>
      </c>
      <c r="V84" s="62"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ht="14.4">
      <c r="A85" s="64" t="s">
        <v>35</v>
      </c>
      <c r="B85" s="65" t="s">
        <v>32</v>
      </c>
      <c r="C85" s="65" t="s">
        <v>33</v>
      </c>
      <c r="D85" s="65" t="s">
        <v>32</v>
      </c>
      <c r="E85" s="65" t="s">
        <v>33</v>
      </c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8">
        <f t="shared" si="8"/>
        <v>16</v>
      </c>
      <c r="Q85" s="69">
        <f t="shared" si="4"/>
        <v>8</v>
      </c>
      <c r="R85" s="70" t="str">
        <f t="shared" si="9"/>
        <v>Рычков</v>
      </c>
      <c r="S85" s="76" t="s">
        <v>10</v>
      </c>
      <c r="T85" s="77" t="s">
        <v>9</v>
      </c>
      <c r="U85" s="73">
        <f t="shared" si="5"/>
        <v>0</v>
      </c>
      <c r="V85" s="62">
        <f t="shared" si="7"/>
        <v>0</v>
      </c>
      <c r="W85" s="62"/>
      <c r="X85" s="74" t="s">
        <v>34</v>
      </c>
      <c r="Y85" s="7"/>
      <c r="Z85" s="7"/>
      <c r="AA85" s="7"/>
      <c r="AB85" s="13"/>
      <c r="AC85" s="13"/>
      <c r="AD85" s="13"/>
    </row>
    <row r="86" ht="14.4">
      <c r="A86" s="75" t="s">
        <v>36</v>
      </c>
      <c r="B86" s="78" t="s">
        <v>37</v>
      </c>
      <c r="C86" s="78">
        <v>8</v>
      </c>
      <c r="D86" s="78" t="s">
        <v>37</v>
      </c>
      <c r="E86" s="78">
        <v>8</v>
      </c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8">
        <f t="shared" si="8"/>
        <v>16</v>
      </c>
      <c r="Q86" s="69">
        <f t="shared" si="4"/>
        <v>8</v>
      </c>
      <c r="R86" s="70" t="str">
        <f t="shared" si="9"/>
        <v>Колобашкин</v>
      </c>
      <c r="S86" s="76" t="s">
        <v>10</v>
      </c>
      <c r="T86" s="77" t="s">
        <v>9</v>
      </c>
      <c r="U86" s="73">
        <f t="shared" si="5"/>
        <v>0</v>
      </c>
      <c r="V86" s="62">
        <f t="shared" si="7"/>
        <v>0</v>
      </c>
      <c r="W86" s="62"/>
      <c r="X86" s="74" t="s">
        <v>38</v>
      </c>
      <c r="Y86" s="7"/>
      <c r="Z86" s="7"/>
      <c r="AA86" s="7"/>
      <c r="AB86" s="13"/>
      <c r="AC86" s="13"/>
      <c r="AD86" s="13"/>
    </row>
    <row r="87" ht="14.4">
      <c r="A87" s="64" t="s">
        <v>39</v>
      </c>
      <c r="B87" s="148" t="s">
        <v>32</v>
      </c>
      <c r="C87" s="148" t="s">
        <v>33</v>
      </c>
      <c r="D87" s="148" t="s">
        <v>32</v>
      </c>
      <c r="E87" s="148" t="s">
        <v>33</v>
      </c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8">
        <f t="shared" si="8"/>
        <v>16</v>
      </c>
      <c r="Q87" s="69">
        <f t="shared" si="4"/>
        <v>8</v>
      </c>
      <c r="R87" s="70" t="str">
        <f t="shared" si="9"/>
        <v>Игумнов</v>
      </c>
      <c r="S87" s="76" t="s">
        <v>10</v>
      </c>
      <c r="T87" s="77" t="s">
        <v>9</v>
      </c>
      <c r="U87" s="73">
        <f t="shared" si="5"/>
        <v>0</v>
      </c>
      <c r="V87" s="62">
        <f t="shared" si="7"/>
        <v>0</v>
      </c>
      <c r="W87" s="62"/>
      <c r="X87" s="79" t="s">
        <v>34</v>
      </c>
      <c r="Y87" s="7"/>
      <c r="Z87" s="7"/>
      <c r="AA87" s="7"/>
      <c r="AB87" s="13"/>
      <c r="AC87" s="13"/>
      <c r="AD87" s="13"/>
    </row>
    <row r="88" ht="14.4">
      <c r="A88" s="64" t="s">
        <v>40</v>
      </c>
      <c r="B88" s="65" t="s">
        <v>32</v>
      </c>
      <c r="C88" s="65" t="s">
        <v>33</v>
      </c>
      <c r="D88" s="65" t="s">
        <v>32</v>
      </c>
      <c r="E88" s="65" t="s">
        <v>33</v>
      </c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8">
        <f t="shared" si="8"/>
        <v>16</v>
      </c>
      <c r="Q88" s="69">
        <f t="shared" si="4"/>
        <v>8</v>
      </c>
      <c r="R88" s="70" t="str">
        <f t="shared" si="9"/>
        <v>Душин</v>
      </c>
      <c r="S88" s="76" t="s">
        <v>10</v>
      </c>
      <c r="T88" s="77" t="s">
        <v>9</v>
      </c>
      <c r="U88" s="73">
        <f t="shared" si="5"/>
        <v>0</v>
      </c>
      <c r="V88" s="62">
        <f t="shared" si="7"/>
        <v>0</v>
      </c>
      <c r="W88" s="62"/>
      <c r="X88" s="74" t="s">
        <v>38</v>
      </c>
      <c r="Y88" s="7"/>
      <c r="Z88" s="7"/>
      <c r="AA88" s="7"/>
      <c r="AB88" s="13"/>
      <c r="AC88" s="13"/>
      <c r="AD88" s="13"/>
    </row>
    <row r="89" ht="14.4">
      <c r="A89" s="64" t="s">
        <v>42</v>
      </c>
      <c r="B89" s="65" t="s">
        <v>32</v>
      </c>
      <c r="C89" s="65" t="s">
        <v>33</v>
      </c>
      <c r="D89" s="65" t="s">
        <v>32</v>
      </c>
      <c r="E89" s="65" t="s">
        <v>33</v>
      </c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8">
        <f t="shared" si="8"/>
        <v>16</v>
      </c>
      <c r="Q89" s="69">
        <f t="shared" si="4"/>
        <v>8</v>
      </c>
      <c r="R89" s="70" t="str">
        <f t="shared" si="9"/>
        <v>Юращик</v>
      </c>
      <c r="S89" s="76" t="s">
        <v>10</v>
      </c>
      <c r="T89" s="77" t="s">
        <v>9</v>
      </c>
      <c r="U89" s="73"/>
      <c r="V89" s="62"/>
      <c r="W89" s="62"/>
      <c r="X89" s="74" t="s">
        <v>38</v>
      </c>
      <c r="Y89" s="7"/>
      <c r="Z89" s="7"/>
      <c r="AA89" s="7"/>
      <c r="AB89" s="13"/>
      <c r="AC89" s="13"/>
      <c r="AD89" s="13"/>
    </row>
    <row r="90" ht="14.4">
      <c r="A90" s="81" t="s">
        <v>43</v>
      </c>
      <c r="B90" s="76"/>
      <c r="C90" s="76" t="s">
        <v>4</v>
      </c>
      <c r="D90" s="76"/>
      <c r="E90" s="76" t="s">
        <v>4</v>
      </c>
      <c r="F90" s="67"/>
      <c r="G90" s="67"/>
      <c r="H90" s="131"/>
      <c r="I90" s="131"/>
      <c r="J90" s="83"/>
      <c r="K90" s="83"/>
      <c r="L90" s="82"/>
      <c r="M90" s="82"/>
      <c r="N90" s="66"/>
      <c r="O90" s="66"/>
      <c r="P90" s="68">
        <f t="shared" si="8"/>
        <v>24</v>
      </c>
      <c r="Q90" s="69">
        <f t="shared" si="4"/>
        <v>12</v>
      </c>
      <c r="R90" s="70" t="s">
        <v>43</v>
      </c>
      <c r="S90" s="149" t="s">
        <v>12</v>
      </c>
      <c r="T90" s="84" t="s">
        <v>11</v>
      </c>
      <c r="U90" s="85">
        <f t="shared" si="5"/>
        <v>0</v>
      </c>
      <c r="V90" s="86">
        <f t="shared" si="7"/>
        <v>0</v>
      </c>
      <c r="W90" s="86"/>
      <c r="X90" s="74" t="s">
        <v>44</v>
      </c>
      <c r="Y90" s="80"/>
      <c r="Z90" s="80"/>
      <c r="AA90" s="80"/>
      <c r="AB90" s="13"/>
      <c r="AC90" s="13"/>
      <c r="AD90" s="13"/>
    </row>
    <row r="91" ht="14.4">
      <c r="A91" s="81" t="s">
        <v>45</v>
      </c>
      <c r="B91" s="66"/>
      <c r="C91" s="66"/>
      <c r="D91" s="66"/>
      <c r="E91" s="66"/>
      <c r="F91" s="78"/>
      <c r="G91" s="78" t="s">
        <v>4</v>
      </c>
      <c r="H91" s="78"/>
      <c r="I91" s="78"/>
      <c r="J91" s="82"/>
      <c r="K91" s="82"/>
      <c r="L91" s="66"/>
      <c r="M91" s="66"/>
      <c r="N91" s="83"/>
      <c r="O91" s="83"/>
      <c r="P91" s="68">
        <f t="shared" si="8"/>
        <v>12</v>
      </c>
      <c r="Q91" s="69">
        <f t="shared" si="4"/>
        <v>0</v>
      </c>
      <c r="R91" s="70" t="str">
        <f t="shared" si="9"/>
        <v>Пузырь</v>
      </c>
      <c r="S91" s="76" t="s">
        <v>10</v>
      </c>
      <c r="T91" s="77" t="s">
        <v>9</v>
      </c>
      <c r="U91" s="73">
        <f t="shared" si="5"/>
        <v>0</v>
      </c>
      <c r="V91" s="62">
        <f t="shared" si="7"/>
        <v>0</v>
      </c>
      <c r="W91" s="62"/>
      <c r="X91" s="74" t="s">
        <v>34</v>
      </c>
      <c r="Y91" s="7"/>
      <c r="Z91" s="7"/>
      <c r="AA91" s="7"/>
      <c r="AB91" s="13"/>
      <c r="AC91" s="13"/>
      <c r="AD91" s="13"/>
    </row>
    <row r="92" ht="14.4">
      <c r="A92" s="81" t="s">
        <v>46</v>
      </c>
      <c r="B92" s="123"/>
      <c r="C92" s="123" t="s">
        <v>33</v>
      </c>
      <c r="D92" s="123"/>
      <c r="E92" s="123" t="s">
        <v>33</v>
      </c>
      <c r="F92" s="123"/>
      <c r="G92" s="123"/>
      <c r="H92" s="150"/>
      <c r="I92" s="150"/>
      <c r="J92" s="78"/>
      <c r="K92" s="78"/>
      <c r="L92" s="78"/>
      <c r="M92" s="78"/>
      <c r="N92" s="66"/>
      <c r="O92" s="66"/>
      <c r="P92" s="68">
        <f t="shared" si="8"/>
        <v>16</v>
      </c>
      <c r="Q92" s="69">
        <f t="shared" si="4"/>
        <v>12</v>
      </c>
      <c r="R92" s="70" t="str">
        <f t="shared" si="9"/>
        <v>Голышев</v>
      </c>
      <c r="S92" s="76" t="s">
        <v>10</v>
      </c>
      <c r="T92" s="77" t="s">
        <v>9</v>
      </c>
      <c r="U92" s="73">
        <f t="shared" si="5"/>
        <v>0</v>
      </c>
      <c r="V92" s="62">
        <f t="shared" si="7"/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ht="14.4">
      <c r="A93" s="81" t="s">
        <v>47</v>
      </c>
      <c r="B93" s="67"/>
      <c r="C93" s="67"/>
      <c r="D93" s="67"/>
      <c r="E93" s="67"/>
      <c r="F93" s="83"/>
      <c r="G93" s="83" t="s">
        <v>4</v>
      </c>
      <c r="H93" s="83"/>
      <c r="I93" s="83"/>
      <c r="J93" s="66"/>
      <c r="K93" s="66"/>
      <c r="L93" s="67"/>
      <c r="M93" s="67"/>
      <c r="N93" s="78"/>
      <c r="O93" s="78"/>
      <c r="P93" s="68">
        <f t="shared" si="8"/>
        <v>12</v>
      </c>
      <c r="Q93" s="69">
        <f t="shared" si="4"/>
        <v>0</v>
      </c>
      <c r="R93" s="70" t="str">
        <f t="shared" si="9"/>
        <v>Торубара</v>
      </c>
      <c r="S93" s="76" t="s">
        <v>10</v>
      </c>
      <c r="T93" s="77" t="s">
        <v>9</v>
      </c>
      <c r="U93" s="73">
        <f t="shared" si="5"/>
        <v>0</v>
      </c>
      <c r="V93" s="62">
        <f t="shared" si="7"/>
        <v>0</v>
      </c>
      <c r="W93" s="62"/>
      <c r="X93" s="74" t="s">
        <v>34</v>
      </c>
      <c r="Y93" s="7"/>
      <c r="Z93" s="7"/>
      <c r="AA93" s="7"/>
      <c r="AB93" s="13"/>
      <c r="AC93" s="13"/>
      <c r="AD93" s="13"/>
    </row>
    <row r="94" ht="14.4">
      <c r="A94" s="81" t="s">
        <v>48</v>
      </c>
      <c r="B94" s="66"/>
      <c r="C94" s="66"/>
      <c r="D94" s="66"/>
      <c r="E94" s="66"/>
      <c r="F94" s="83"/>
      <c r="G94" s="83" t="s">
        <v>4</v>
      </c>
      <c r="H94" s="83"/>
      <c r="I94" s="83"/>
      <c r="J94" s="82"/>
      <c r="K94" s="82"/>
      <c r="L94" s="66"/>
      <c r="M94" s="66"/>
      <c r="N94" s="78"/>
      <c r="O94" s="78"/>
      <c r="P94" s="68">
        <f t="shared" si="8"/>
        <v>12</v>
      </c>
      <c r="Q94" s="69">
        <f t="shared" ref="Q94:Q97" si="10">Q76-P94</f>
        <v>0</v>
      </c>
      <c r="R94" s="70" t="str">
        <f t="shared" si="9"/>
        <v>Стрыгин</v>
      </c>
      <c r="S94" s="71" t="s">
        <v>8</v>
      </c>
      <c r="T94" s="72" t="s">
        <v>7</v>
      </c>
      <c r="U94" s="73">
        <f t="shared" si="5"/>
        <v>0</v>
      </c>
      <c r="V94" s="62">
        <f t="shared" si="7"/>
        <v>0</v>
      </c>
      <c r="W94" s="62"/>
      <c r="X94" s="74" t="s">
        <v>49</v>
      </c>
      <c r="Y94" s="7"/>
      <c r="Z94" s="7"/>
      <c r="AA94" s="7"/>
      <c r="AB94" s="13"/>
      <c r="AC94" s="13"/>
      <c r="AD94" s="13"/>
    </row>
    <row r="95" ht="14.4">
      <c r="A95" s="81" t="s">
        <v>50</v>
      </c>
      <c r="B95" s="122"/>
      <c r="C95" s="122" t="s">
        <v>33</v>
      </c>
      <c r="D95" s="122"/>
      <c r="E95" s="122" t="s">
        <v>33</v>
      </c>
      <c r="F95" s="132"/>
      <c r="G95" s="132"/>
      <c r="H95" s="108"/>
      <c r="I95" s="108"/>
      <c r="J95" s="83"/>
      <c r="K95" s="83"/>
      <c r="L95" s="83"/>
      <c r="M95" s="83"/>
      <c r="N95" s="82"/>
      <c r="O95" s="82"/>
      <c r="P95" s="68">
        <f t="shared" si="8"/>
        <v>16</v>
      </c>
      <c r="Q95" s="69">
        <f t="shared" si="10"/>
        <v>20</v>
      </c>
      <c r="R95" s="70" t="str">
        <f t="shared" si="9"/>
        <v>Фрик</v>
      </c>
      <c r="S95" s="71" t="s">
        <v>12</v>
      </c>
      <c r="T95" s="72" t="s">
        <v>11</v>
      </c>
      <c r="U95" s="73">
        <f t="shared" si="5"/>
        <v>0</v>
      </c>
      <c r="V95" s="62">
        <f t="shared" si="7"/>
        <v>0</v>
      </c>
      <c r="W95" s="62"/>
      <c r="X95" s="74" t="s">
        <v>44</v>
      </c>
      <c r="Y95" s="7"/>
      <c r="Z95" s="7"/>
      <c r="AA95" s="7"/>
      <c r="AB95" s="13"/>
      <c r="AC95" s="13"/>
      <c r="AD95" s="13"/>
    </row>
    <row r="96" ht="14.4">
      <c r="A96" s="88" t="s">
        <v>51</v>
      </c>
      <c r="B96" s="66"/>
      <c r="C96" s="66"/>
      <c r="D96" s="66"/>
      <c r="E96" s="66"/>
      <c r="F96" s="78"/>
      <c r="G96" s="78" t="s">
        <v>4</v>
      </c>
      <c r="H96" s="78"/>
      <c r="I96" s="78"/>
      <c r="J96" s="66"/>
      <c r="K96" s="66"/>
      <c r="L96" s="82"/>
      <c r="M96" s="82"/>
      <c r="N96" s="83"/>
      <c r="O96" s="83"/>
      <c r="P96" s="68">
        <f t="shared" si="8"/>
        <v>12</v>
      </c>
      <c r="Q96" s="69">
        <f t="shared" si="10"/>
        <v>12</v>
      </c>
      <c r="R96" s="70" t="str">
        <f t="shared" si="9"/>
        <v>Истрашкин</v>
      </c>
      <c r="S96" s="71" t="s">
        <v>10</v>
      </c>
      <c r="T96" s="72" t="s">
        <v>9</v>
      </c>
      <c r="U96" s="73">
        <f t="shared" si="5"/>
        <v>0</v>
      </c>
      <c r="V96" s="62">
        <f t="shared" si="7"/>
        <v>0</v>
      </c>
      <c r="W96" s="62"/>
      <c r="X96" s="74" t="s">
        <v>34</v>
      </c>
      <c r="Y96" s="7"/>
      <c r="Z96" s="7"/>
      <c r="AA96" s="7"/>
      <c r="AB96" s="13"/>
      <c r="AC96" s="13"/>
      <c r="AD96" s="13"/>
    </row>
    <row r="97" ht="14.4">
      <c r="A97" s="88" t="s">
        <v>52</v>
      </c>
      <c r="B97" s="78"/>
      <c r="C97" s="78" t="s">
        <v>33</v>
      </c>
      <c r="D97" s="87"/>
      <c r="E97" s="87"/>
      <c r="J97" s="66"/>
      <c r="K97" s="66"/>
      <c r="L97" s="82"/>
      <c r="M97" s="82"/>
      <c r="N97" s="83"/>
      <c r="O97" s="83"/>
      <c r="P97" s="68">
        <f t="shared" si="8"/>
        <v>8</v>
      </c>
      <c r="Q97" s="69">
        <f t="shared" si="10"/>
        <v>12</v>
      </c>
      <c r="R97" s="70" t="s">
        <v>52</v>
      </c>
      <c r="S97" s="71" t="s">
        <v>8</v>
      </c>
      <c r="T97" s="72" t="s">
        <v>7</v>
      </c>
      <c r="U97" s="90"/>
      <c r="V97" s="62"/>
      <c r="W97" s="62"/>
      <c r="X97" s="91"/>
      <c r="Y97" s="7"/>
      <c r="Z97" s="7"/>
      <c r="AA97" s="7"/>
      <c r="AB97" s="13"/>
      <c r="AC97" s="13"/>
      <c r="AD97" s="13"/>
    </row>
    <row r="98" ht="14.4">
      <c r="A98" s="137"/>
      <c r="B98" s="53">
        <v>46384</v>
      </c>
      <c r="C98" s="53"/>
      <c r="D98" s="53">
        <v>46385</v>
      </c>
      <c r="E98" s="53"/>
      <c r="F98" s="53">
        <v>46386</v>
      </c>
      <c r="G98" s="53"/>
      <c r="H98" s="144">
        <v>46387</v>
      </c>
      <c r="I98" s="144"/>
      <c r="J98" s="145">
        <v>46023</v>
      </c>
      <c r="K98" s="145"/>
      <c r="L98" s="145">
        <v>46024</v>
      </c>
      <c r="M98" s="145"/>
      <c r="N98" s="145">
        <v>46025</v>
      </c>
      <c r="O98" s="151"/>
      <c r="P98" s="152"/>
      <c r="Q98" s="136"/>
      <c r="R98" s="137"/>
      <c r="S98" s="138"/>
      <c r="T98" s="138"/>
      <c r="U98" s="60" t="s">
        <v>27</v>
      </c>
      <c r="V98" s="61" t="s">
        <v>28</v>
      </c>
      <c r="W98" s="62" t="s">
        <v>29</v>
      </c>
      <c r="X98" s="7"/>
      <c r="Y98" s="7"/>
      <c r="Z98" s="7"/>
      <c r="AA98" s="7"/>
      <c r="AB98" s="13"/>
      <c r="AC98" s="13"/>
      <c r="AD98" s="13"/>
    </row>
    <row r="99" ht="14.4">
      <c r="A99" s="139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39"/>
      <c r="Q99" s="127"/>
      <c r="R99" s="139"/>
      <c r="S99" s="139"/>
      <c r="T99" s="139"/>
      <c r="U99" s="127"/>
      <c r="V99" s="127"/>
      <c r="W99" s="128"/>
      <c r="X99" s="7"/>
      <c r="Y99" s="7"/>
      <c r="Z99" s="7"/>
      <c r="AA99" s="7"/>
      <c r="AB99" s="13"/>
      <c r="AC99" s="13"/>
      <c r="AD99" s="13"/>
    </row>
    <row r="100" ht="14.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 ht="14.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 ht="14.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 ht="14.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 ht="14.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 ht="14.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 ht="14.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 ht="14.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 ht="14.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 ht="14.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 ht="14.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 ht="14.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7"/>
      <c r="Q654" s="153"/>
      <c r="R654" s="7"/>
      <c r="S654" s="7"/>
      <c r="T654" s="7"/>
      <c r="U654" s="153"/>
      <c r="V654" s="153"/>
      <c r="W654" s="12"/>
      <c r="X654" s="21"/>
      <c r="Y654" s="7"/>
      <c r="Z654" s="7"/>
      <c r="AA654" s="7"/>
      <c r="AB654" s="13"/>
      <c r="AC654" s="13"/>
      <c r="AD654" s="13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154"/>
      <c r="R818" s="21"/>
      <c r="S818" s="21"/>
      <c r="T818" s="21"/>
      <c r="U818" s="154"/>
      <c r="V818" s="154"/>
      <c r="W818" s="154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154"/>
      <c r="R819" s="21"/>
      <c r="S819" s="21"/>
      <c r="T819" s="21"/>
      <c r="U819" s="154"/>
      <c r="V819" s="154"/>
      <c r="W819" s="154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154"/>
      <c r="R820" s="21"/>
      <c r="S820" s="21"/>
      <c r="T820" s="21"/>
      <c r="U820" s="154"/>
      <c r="V820" s="154"/>
      <c r="W820" s="154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154"/>
      <c r="R821" s="21"/>
      <c r="S821" s="21"/>
      <c r="T821" s="21"/>
      <c r="U821" s="154"/>
      <c r="V821" s="154"/>
      <c r="W821" s="154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154"/>
      <c r="R822" s="21"/>
      <c r="S822" s="21"/>
      <c r="T822" s="21"/>
      <c r="U822" s="154"/>
      <c r="V822" s="154"/>
      <c r="W822" s="154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154"/>
      <c r="R823" s="21"/>
      <c r="S823" s="21"/>
      <c r="T823" s="21"/>
      <c r="U823" s="154"/>
      <c r="V823" s="154"/>
      <c r="W823" s="154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154"/>
      <c r="R824" s="21"/>
      <c r="S824" s="21"/>
      <c r="T824" s="21"/>
      <c r="U824" s="154"/>
      <c r="V824" s="154"/>
      <c r="W824" s="154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</sheetData>
  <mergeCells count="14">
    <mergeCell ref="F1:J1"/>
    <mergeCell ref="L1:N5"/>
    <mergeCell ref="F2:K5"/>
    <mergeCell ref="N6:P7"/>
    <mergeCell ref="F7:J7"/>
    <mergeCell ref="A9:Q9"/>
    <mergeCell ref="U9:V9"/>
    <mergeCell ref="P10:Q10"/>
    <mergeCell ref="A27:Q27"/>
    <mergeCell ref="P28:Q28"/>
    <mergeCell ref="A45:Q45"/>
    <mergeCell ref="P46:Q46"/>
    <mergeCell ref="P64:Q64"/>
    <mergeCell ref="P82:Q8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9" zoomScale="100" workbookViewId="0">
      <selection activeCell="B66" activeCellId="0" sqref="B66:O66"/>
    </sheetView>
  </sheetViews>
  <sheetFormatPr defaultRowHeight="13.800000000000001"/>
  <cols>
    <col customWidth="1" min="1" max="1" width="13.88671875"/>
    <col customWidth="1" min="2" max="2" width="13.109375"/>
    <col customWidth="1" min="3" max="3" width="5.33203125"/>
    <col customWidth="1" min="4" max="4" width="11.5546875"/>
    <col customWidth="1" min="5" max="5" width="5.33203125"/>
    <col customWidth="1" min="6" max="6" width="12"/>
    <col customWidth="1" min="7" max="7" width="5.33203125"/>
    <col customWidth="1" min="8" max="8" width="10.6640625"/>
    <col customWidth="1" min="9" max="9" width="5.33203125"/>
    <col customWidth="1" min="10" max="10" width="10.88671875"/>
    <col customWidth="1" min="11" max="11" width="5.33203125"/>
    <col customWidth="1" min="12" max="12" width="11.5546875"/>
    <col customWidth="1" min="13" max="13" width="5.33203125"/>
    <col customWidth="1" min="14" max="14" width="11.88671875"/>
    <col customWidth="1" min="15" max="16" width="5.33203125"/>
    <col customWidth="1" min="17" max="17" width="6.5546875"/>
    <col customWidth="1" min="18" max="18" width="12.6640625"/>
  </cols>
  <sheetData>
    <row r="1" s="21" customFormat="1" ht="14.4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4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4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4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4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4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4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399999999999999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4">
      <c r="A10" s="42"/>
      <c r="B10" s="43" t="s">
        <v>17</v>
      </c>
      <c r="C10" s="44"/>
      <c r="D10" s="43" t="s">
        <v>18</v>
      </c>
      <c r="E10" s="44"/>
      <c r="F10" s="43" t="s">
        <v>19</v>
      </c>
      <c r="G10" s="44"/>
      <c r="H10" s="43" t="s">
        <v>20</v>
      </c>
      <c r="I10" s="44"/>
      <c r="J10" s="45" t="s">
        <v>21</v>
      </c>
      <c r="K10" s="46"/>
      <c r="L10" s="43" t="s">
        <v>22</v>
      </c>
      <c r="M10" s="44"/>
      <c r="N10" s="43" t="s">
        <v>23</v>
      </c>
      <c r="O10" s="44"/>
      <c r="P10" s="47" t="s">
        <v>24</v>
      </c>
      <c r="Q10" s="48"/>
      <c r="R10" s="42">
        <v>159</v>
      </c>
      <c r="S10" s="42"/>
      <c r="T10" s="49"/>
      <c r="U10" s="50">
        <v>159</v>
      </c>
      <c r="V10" s="50"/>
      <c r="W10" s="50"/>
      <c r="X10" s="51"/>
      <c r="Y10" s="7"/>
      <c r="Z10" s="7"/>
      <c r="AA10" s="7"/>
      <c r="AB10" s="13"/>
      <c r="AC10" s="13"/>
      <c r="AD10" s="13"/>
    </row>
    <row r="11" ht="14.4">
      <c r="A11" s="52"/>
      <c r="B11" s="53">
        <v>46321</v>
      </c>
      <c r="C11" s="53"/>
      <c r="D11" s="53">
        <v>46322</v>
      </c>
      <c r="E11" s="53"/>
      <c r="F11" s="53">
        <v>46323</v>
      </c>
      <c r="G11" s="53"/>
      <c r="H11" s="53">
        <v>46324</v>
      </c>
      <c r="I11" s="53"/>
      <c r="J11" s="53">
        <v>46325</v>
      </c>
      <c r="K11" s="53"/>
      <c r="L11" s="53">
        <v>46326</v>
      </c>
      <c r="M11" s="53"/>
      <c r="N11" s="53">
        <v>46327</v>
      </c>
      <c r="O11" s="54"/>
      <c r="P11" s="55" t="s">
        <v>25</v>
      </c>
      <c r="Q11" s="56" t="s">
        <v>26</v>
      </c>
      <c r="R11" s="57"/>
      <c r="S11" s="58"/>
      <c r="T11" s="59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4">
      <c r="A12" s="64" t="s">
        <v>31</v>
      </c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 t="s">
        <v>32</v>
      </c>
      <c r="M12" s="65" t="s">
        <v>33</v>
      </c>
      <c r="N12" s="67"/>
      <c r="O12" s="67"/>
      <c r="P12" s="68">
        <f t="shared" ref="P12:P75" si="11">C12+E12+G12+I12+K12+M12+O12</f>
        <v>8</v>
      </c>
      <c r="Q12" s="69">
        <f>R10-P12</f>
        <v>151</v>
      </c>
      <c r="R12" s="70" t="str">
        <f t="shared" ref="R12:R75" si="12">A12</f>
        <v>Нетронин</v>
      </c>
      <c r="S12" s="71" t="s">
        <v>10</v>
      </c>
      <c r="T12" s="72" t="s">
        <v>9</v>
      </c>
      <c r="U12" s="73">
        <v>0</v>
      </c>
      <c r="V12" s="62"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4">
      <c r="A13" s="75" t="s">
        <v>35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 t="s">
        <v>32</v>
      </c>
      <c r="M13" s="65" t="s">
        <v>33</v>
      </c>
      <c r="N13" s="66"/>
      <c r="O13" s="66"/>
      <c r="P13" s="68">
        <f t="shared" si="11"/>
        <v>8</v>
      </c>
      <c r="Q13" s="69">
        <f>R10-P13</f>
        <v>151</v>
      </c>
      <c r="R13" s="70" t="str">
        <f t="shared" si="12"/>
        <v>Рычков</v>
      </c>
      <c r="S13" s="76" t="s">
        <v>10</v>
      </c>
      <c r="T13" s="77" t="s">
        <v>9</v>
      </c>
      <c r="U13" s="73">
        <f t="shared" ref="U13:U23" si="13">COUNTIF(T13,B13)+COUNTIF(T13,D13)+COUNTIF(T13,F13)+COUNTIF(T13,H13)+COUNTIF(T13,J13)+COUNTIF(T13,L13)+COUNTIF(T13,N13)</f>
        <v>0</v>
      </c>
      <c r="V13" s="62">
        <f t="shared" ref="V13:V23" si="14">COUNTIF(S13,B13)+COUNTIF(S13,D13)+COUNTIF(S13,F13)+COUNTIF(S13,H13)+COUNTIF(S13,J13)+COUNTIF(S13,L13)+COUNTIF(S13,N13)</f>
        <v>0</v>
      </c>
      <c r="W13" s="62"/>
      <c r="X13" s="74" t="s">
        <v>34</v>
      </c>
      <c r="Y13" s="7"/>
      <c r="Z13" s="7"/>
      <c r="AA13" s="7"/>
      <c r="AB13" s="13"/>
      <c r="AC13" s="13"/>
      <c r="AD13" s="13"/>
    </row>
    <row r="14" ht="14.4">
      <c r="A14" s="64" t="s">
        <v>39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0" t="s">
        <v>32</v>
      </c>
      <c r="M14" s="120" t="s">
        <v>33</v>
      </c>
      <c r="N14" s="66"/>
      <c r="O14" s="66"/>
      <c r="P14" s="68">
        <f t="shared" si="11"/>
        <v>8</v>
      </c>
      <c r="Q14" s="69">
        <f>R10-P14</f>
        <v>151</v>
      </c>
      <c r="R14" s="70" t="str">
        <f t="shared" si="12"/>
        <v>Игумнов</v>
      </c>
      <c r="S14" s="76" t="s">
        <v>10</v>
      </c>
      <c r="T14" s="77" t="s">
        <v>9</v>
      </c>
      <c r="U14" s="73">
        <f t="shared" si="13"/>
        <v>0</v>
      </c>
      <c r="V14" s="62">
        <f t="shared" si="14"/>
        <v>0</v>
      </c>
      <c r="W14" s="62"/>
      <c r="X14" s="79" t="s">
        <v>34</v>
      </c>
      <c r="Y14" s="7"/>
      <c r="Z14" s="80"/>
      <c r="AA14" s="80"/>
      <c r="AB14" s="13"/>
      <c r="AC14" s="13"/>
      <c r="AD14" s="13"/>
    </row>
    <row r="15" ht="14.4">
      <c r="A15" s="64" t="s">
        <v>40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 t="s">
        <v>32</v>
      </c>
      <c r="M15" s="65" t="s">
        <v>33</v>
      </c>
      <c r="N15" s="66"/>
      <c r="O15" s="66"/>
      <c r="P15" s="68">
        <f t="shared" si="11"/>
        <v>8</v>
      </c>
      <c r="Q15" s="69">
        <f>R10-P15</f>
        <v>151</v>
      </c>
      <c r="R15" s="70" t="str">
        <f t="shared" si="12"/>
        <v>Душин</v>
      </c>
      <c r="S15" s="76" t="s">
        <v>10</v>
      </c>
      <c r="T15" s="77" t="s">
        <v>9</v>
      </c>
      <c r="U15" s="73">
        <f t="shared" si="13"/>
        <v>0</v>
      </c>
      <c r="V15" s="62">
        <f t="shared" si="14"/>
        <v>0</v>
      </c>
      <c r="W15" s="62"/>
      <c r="X15" s="74" t="s">
        <v>38</v>
      </c>
      <c r="Y15" s="80"/>
      <c r="Z15" s="80"/>
      <c r="AA15" s="80"/>
      <c r="AB15" s="13"/>
      <c r="AC15" s="13"/>
      <c r="AD15" s="13"/>
    </row>
    <row r="16" ht="14.4">
      <c r="A16" s="64" t="s">
        <v>42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 t="s">
        <v>32</v>
      </c>
      <c r="M16" s="65" t="s">
        <v>33</v>
      </c>
      <c r="N16" s="66"/>
      <c r="O16" s="66"/>
      <c r="P16" s="68">
        <f t="shared" si="11"/>
        <v>8</v>
      </c>
      <c r="Q16" s="69">
        <f>R10-P16</f>
        <v>151</v>
      </c>
      <c r="R16" s="70" t="str">
        <f t="shared" si="12"/>
        <v>Юращик</v>
      </c>
      <c r="S16" s="76" t="s">
        <v>10</v>
      </c>
      <c r="T16" s="77" t="s">
        <v>9</v>
      </c>
      <c r="U16" s="73">
        <f t="shared" si="13"/>
        <v>0</v>
      </c>
      <c r="V16" s="62">
        <f t="shared" si="14"/>
        <v>0</v>
      </c>
      <c r="W16" s="62"/>
      <c r="X16" s="74" t="s">
        <v>38</v>
      </c>
      <c r="Y16" s="80"/>
      <c r="Z16" s="80"/>
      <c r="AA16" s="80"/>
      <c r="AB16" s="13"/>
      <c r="AC16" s="13"/>
      <c r="AD16" s="13"/>
    </row>
    <row r="17" ht="14.4">
      <c r="A17" s="81" t="s">
        <v>43</v>
      </c>
      <c r="B17" s="76"/>
      <c r="C17" s="76"/>
      <c r="D17" s="67"/>
      <c r="E17" s="67"/>
      <c r="F17" s="67"/>
      <c r="G17" s="67"/>
      <c r="H17" s="131"/>
      <c r="I17" s="131"/>
      <c r="J17" s="83"/>
      <c r="K17" s="83"/>
      <c r="L17" s="82"/>
      <c r="M17" s="82"/>
      <c r="N17" s="66"/>
      <c r="O17" s="66"/>
      <c r="P17" s="68">
        <f t="shared" si="11"/>
        <v>0</v>
      </c>
      <c r="Q17" s="69">
        <f>U10-P17</f>
        <v>159</v>
      </c>
      <c r="R17" s="70" t="s">
        <v>43</v>
      </c>
      <c r="S17" s="71" t="s">
        <v>12</v>
      </c>
      <c r="T17" s="84" t="s">
        <v>11</v>
      </c>
      <c r="U17" s="85">
        <f t="shared" si="13"/>
        <v>0</v>
      </c>
      <c r="V17" s="86">
        <f t="shared" si="14"/>
        <v>0</v>
      </c>
      <c r="W17" s="86"/>
      <c r="X17" s="74" t="s">
        <v>44</v>
      </c>
      <c r="Y17" s="80"/>
      <c r="Z17" s="80"/>
      <c r="AA17" s="80"/>
      <c r="AB17" s="13"/>
      <c r="AC17" s="13"/>
      <c r="AD17" s="13"/>
    </row>
    <row r="18" ht="14.4">
      <c r="A18" s="81" t="s">
        <v>45</v>
      </c>
      <c r="B18" s="66"/>
      <c r="C18" s="66"/>
      <c r="D18" s="78"/>
      <c r="E18" s="78"/>
      <c r="F18" s="78"/>
      <c r="G18" s="78"/>
      <c r="H18" s="66"/>
      <c r="I18" s="66"/>
      <c r="J18" s="82"/>
      <c r="K18" s="82"/>
      <c r="L18" s="83"/>
      <c r="M18" s="83" t="s">
        <v>4</v>
      </c>
      <c r="N18" s="83"/>
      <c r="O18" s="83" t="s">
        <v>4</v>
      </c>
      <c r="P18" s="68">
        <f t="shared" si="11"/>
        <v>24</v>
      </c>
      <c r="Q18" s="69">
        <f>U10-P18</f>
        <v>135</v>
      </c>
      <c r="R18" s="70" t="str">
        <f t="shared" si="12"/>
        <v>Пузырь</v>
      </c>
      <c r="S18" s="76" t="s">
        <v>10</v>
      </c>
      <c r="T18" s="77" t="s">
        <v>9</v>
      </c>
      <c r="U18" s="73">
        <f t="shared" si="13"/>
        <v>0</v>
      </c>
      <c r="V18" s="62">
        <f t="shared" si="14"/>
        <v>0</v>
      </c>
      <c r="W18" s="62"/>
      <c r="X18" s="74" t="s">
        <v>34</v>
      </c>
      <c r="Y18" s="80"/>
      <c r="Z18" s="80"/>
      <c r="AA18" s="80"/>
      <c r="AB18" s="13"/>
      <c r="AC18" s="13"/>
      <c r="AD18" s="13"/>
    </row>
    <row r="19" ht="14.4">
      <c r="A19" s="81" t="s">
        <v>46</v>
      </c>
      <c r="B19" s="76"/>
      <c r="C19" s="76"/>
      <c r="D19" s="67"/>
      <c r="E19" s="67"/>
      <c r="F19" s="67"/>
      <c r="G19" s="67"/>
      <c r="H19" s="131"/>
      <c r="I19" s="131"/>
      <c r="J19" s="83"/>
      <c r="K19" s="83"/>
      <c r="L19" s="82"/>
      <c r="M19" s="82"/>
      <c r="N19" s="66"/>
      <c r="O19" s="66"/>
      <c r="P19" s="68">
        <f t="shared" si="11"/>
        <v>0</v>
      </c>
      <c r="Q19" s="69">
        <f>U10-P19</f>
        <v>159</v>
      </c>
      <c r="R19" s="70" t="str">
        <f t="shared" si="12"/>
        <v>Голышев</v>
      </c>
      <c r="S19" s="76" t="s">
        <v>10</v>
      </c>
      <c r="T19" s="77" t="s">
        <v>9</v>
      </c>
      <c r="U19" s="73">
        <f t="shared" si="13"/>
        <v>0</v>
      </c>
      <c r="V19" s="62">
        <f t="shared" si="14"/>
        <v>0</v>
      </c>
      <c r="W19" s="62"/>
      <c r="X19" s="74" t="s">
        <v>34</v>
      </c>
      <c r="Y19" s="80"/>
      <c r="Z19" s="7"/>
      <c r="AA19" s="7"/>
      <c r="AB19" s="13"/>
      <c r="AC19" s="13"/>
      <c r="AD19" s="13"/>
    </row>
    <row r="20" ht="14.4">
      <c r="A20" s="81" t="s">
        <v>47</v>
      </c>
      <c r="B20" s="67"/>
      <c r="C20" s="67"/>
      <c r="D20" s="77"/>
      <c r="E20" s="77"/>
      <c r="F20" s="156"/>
      <c r="G20" s="156"/>
      <c r="H20" s="67"/>
      <c r="I20" s="67"/>
      <c r="J20" s="66"/>
      <c r="K20" s="66"/>
      <c r="L20" s="76"/>
      <c r="M20" s="76" t="s">
        <v>4</v>
      </c>
      <c r="N20" s="78"/>
      <c r="O20" s="78" t="s">
        <v>4</v>
      </c>
      <c r="P20" s="68">
        <f t="shared" si="11"/>
        <v>24</v>
      </c>
      <c r="Q20" s="69">
        <f>U10-P20</f>
        <v>135</v>
      </c>
      <c r="R20" s="70" t="str">
        <f t="shared" si="12"/>
        <v>Торубара</v>
      </c>
      <c r="S20" s="76" t="s">
        <v>10</v>
      </c>
      <c r="T20" s="77" t="s">
        <v>9</v>
      </c>
      <c r="U20" s="73">
        <f t="shared" si="13"/>
        <v>0</v>
      </c>
      <c r="V20" s="62">
        <f t="shared" si="14"/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ht="14.4">
      <c r="A21" s="81" t="s">
        <v>48</v>
      </c>
      <c r="B21" s="66"/>
      <c r="C21" s="66"/>
      <c r="D21" s="83"/>
      <c r="E21" s="83"/>
      <c r="F21" s="83"/>
      <c r="G21" s="83"/>
      <c r="H21" s="67"/>
      <c r="I21" s="66"/>
      <c r="J21" s="82"/>
      <c r="K21" s="82"/>
      <c r="L21" s="78"/>
      <c r="M21" s="78" t="s">
        <v>4</v>
      </c>
      <c r="N21" s="78"/>
      <c r="O21" s="78" t="s">
        <v>4</v>
      </c>
      <c r="P21" s="68">
        <f t="shared" si="11"/>
        <v>24</v>
      </c>
      <c r="Q21" s="69">
        <f>U10-P21</f>
        <v>135</v>
      </c>
      <c r="R21" s="70" t="str">
        <f t="shared" si="12"/>
        <v>Стрыгин</v>
      </c>
      <c r="S21" s="71" t="s">
        <v>8</v>
      </c>
      <c r="T21" s="72" t="s">
        <v>7</v>
      </c>
      <c r="U21" s="73">
        <f t="shared" si="13"/>
        <v>0</v>
      </c>
      <c r="V21" s="62">
        <f t="shared" si="14"/>
        <v>0</v>
      </c>
      <c r="W21" s="62"/>
      <c r="X21" s="74" t="s">
        <v>49</v>
      </c>
      <c r="Y21" s="7"/>
      <c r="Z21" s="7"/>
      <c r="AA21" s="7"/>
      <c r="AB21" s="13"/>
      <c r="AC21" s="13"/>
      <c r="AD21" s="13"/>
    </row>
    <row r="22" ht="14.4">
      <c r="A22" s="81" t="s">
        <v>50</v>
      </c>
      <c r="B22" s="110"/>
      <c r="C22" s="110"/>
      <c r="D22" s="108"/>
      <c r="E22" s="108"/>
      <c r="F22" s="109"/>
      <c r="G22" s="109"/>
      <c r="H22" s="107"/>
      <c r="I22" s="107"/>
      <c r="J22" s="107"/>
      <c r="K22" s="107"/>
      <c r="L22" s="109"/>
      <c r="M22" s="109"/>
      <c r="N22" s="109"/>
      <c r="O22" s="109"/>
      <c r="P22" s="68">
        <f t="shared" si="11"/>
        <v>0</v>
      </c>
      <c r="Q22" s="69">
        <f>U10-P22</f>
        <v>159</v>
      </c>
      <c r="R22" s="70" t="str">
        <f t="shared" si="12"/>
        <v>Фрик</v>
      </c>
      <c r="S22" s="71" t="s">
        <v>12</v>
      </c>
      <c r="T22" s="72" t="s">
        <v>11</v>
      </c>
      <c r="U22" s="73">
        <v>2</v>
      </c>
      <c r="V22" s="62">
        <f t="shared" si="14"/>
        <v>0</v>
      </c>
      <c r="W22" s="62"/>
      <c r="X22" s="74" t="s">
        <v>44</v>
      </c>
      <c r="Y22" s="7"/>
      <c r="Z22" s="7"/>
      <c r="AA22" s="7"/>
      <c r="AB22" s="13"/>
      <c r="AC22" s="13"/>
      <c r="AD22" s="13"/>
    </row>
    <row r="23" ht="14.4">
      <c r="A23" s="88" t="s">
        <v>51</v>
      </c>
      <c r="B23" s="66"/>
      <c r="C23" s="66"/>
      <c r="D23" s="78"/>
      <c r="E23" s="78"/>
      <c r="F23" s="76"/>
      <c r="G23" s="76"/>
      <c r="H23" s="67"/>
      <c r="I23" s="67"/>
      <c r="J23" s="66"/>
      <c r="K23" s="66"/>
      <c r="L23" s="156"/>
      <c r="M23" s="156" t="s">
        <v>4</v>
      </c>
      <c r="N23" s="156"/>
      <c r="O23" s="156" t="s">
        <v>4</v>
      </c>
      <c r="P23" s="68">
        <f t="shared" si="11"/>
        <v>24</v>
      </c>
      <c r="Q23" s="69">
        <f>U10-P23</f>
        <v>135</v>
      </c>
      <c r="R23" s="70" t="str">
        <f t="shared" si="12"/>
        <v>Истрашкин</v>
      </c>
      <c r="S23" s="71" t="s">
        <v>10</v>
      </c>
      <c r="T23" s="72" t="s">
        <v>9</v>
      </c>
      <c r="U23" s="73">
        <f t="shared" si="13"/>
        <v>0</v>
      </c>
      <c r="V23" s="62">
        <f t="shared" si="14"/>
        <v>0</v>
      </c>
      <c r="W23" s="50"/>
      <c r="X23" s="74" t="s">
        <v>34</v>
      </c>
      <c r="Y23" s="7"/>
      <c r="Z23" s="7"/>
      <c r="AA23" s="7"/>
      <c r="AB23" s="13"/>
      <c r="AC23" s="13"/>
      <c r="AD23" s="13"/>
    </row>
    <row r="24" ht="14.4">
      <c r="A24" s="137"/>
      <c r="B24" s="53">
        <v>46321</v>
      </c>
      <c r="C24" s="53"/>
      <c r="D24" s="53">
        <v>46322</v>
      </c>
      <c r="E24" s="53"/>
      <c r="F24" s="53">
        <v>46323</v>
      </c>
      <c r="G24" s="53"/>
      <c r="H24" s="53">
        <v>46324</v>
      </c>
      <c r="I24" s="53"/>
      <c r="J24" s="53">
        <v>46325</v>
      </c>
      <c r="K24" s="53"/>
      <c r="L24" s="53">
        <v>46326</v>
      </c>
      <c r="M24" s="53"/>
      <c r="N24" s="53">
        <v>46327</v>
      </c>
      <c r="O24" s="157"/>
      <c r="P24" s="158"/>
      <c r="Q24" s="159"/>
      <c r="R24" s="160"/>
      <c r="S24" s="161"/>
      <c r="T24" s="161"/>
      <c r="U24" s="60" t="s">
        <v>27</v>
      </c>
      <c r="V24" s="61" t="s">
        <v>28</v>
      </c>
      <c r="W24" s="62" t="s">
        <v>29</v>
      </c>
      <c r="X24" s="96"/>
      <c r="Y24" s="7"/>
      <c r="Z24" s="7"/>
      <c r="AA24" s="7"/>
      <c r="AB24" s="13"/>
      <c r="AC24" s="13"/>
      <c r="AD24" s="13"/>
    </row>
    <row r="25" ht="14.4">
      <c r="A25" s="162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4"/>
      <c r="R25" s="165"/>
      <c r="S25" s="165"/>
      <c r="T25" s="165"/>
      <c r="U25" s="100"/>
      <c r="V25" s="100"/>
      <c r="W25" s="100"/>
      <c r="X25" s="7"/>
      <c r="Y25" s="7"/>
      <c r="Z25" s="7"/>
      <c r="AA25" s="7"/>
      <c r="AB25" s="13"/>
      <c r="AC25" s="13"/>
      <c r="AD25" s="13"/>
    </row>
    <row r="26" ht="14.4">
      <c r="A26" s="166"/>
      <c r="B26" s="167" t="s">
        <v>17</v>
      </c>
      <c r="C26" s="167"/>
      <c r="D26" s="167" t="s">
        <v>18</v>
      </c>
      <c r="E26" s="167"/>
      <c r="F26" s="167" t="s">
        <v>19</v>
      </c>
      <c r="G26" s="167"/>
      <c r="H26" s="167" t="s">
        <v>20</v>
      </c>
      <c r="I26" s="167"/>
      <c r="J26" s="168" t="s">
        <v>21</v>
      </c>
      <c r="K26" s="168"/>
      <c r="L26" s="167" t="s">
        <v>22</v>
      </c>
      <c r="M26" s="167"/>
      <c r="N26" s="167" t="s">
        <v>23</v>
      </c>
      <c r="O26" s="167"/>
      <c r="P26" s="169" t="s">
        <v>24</v>
      </c>
      <c r="Q26" s="170"/>
      <c r="R26" s="166"/>
      <c r="S26" s="166"/>
      <c r="T26" s="166"/>
      <c r="U26" s="100"/>
      <c r="V26" s="100"/>
      <c r="W26" s="100"/>
      <c r="X26" s="51"/>
      <c r="Y26" s="7"/>
      <c r="Z26" s="7"/>
      <c r="AA26" s="7"/>
      <c r="AB26" s="13"/>
      <c r="AC26" s="13"/>
      <c r="AD26" s="13"/>
    </row>
    <row r="27" ht="14.4">
      <c r="A27" s="98"/>
      <c r="B27" s="171">
        <v>46328</v>
      </c>
      <c r="C27" s="171"/>
      <c r="D27" s="144">
        <v>46329</v>
      </c>
      <c r="E27" s="144"/>
      <c r="F27" s="144">
        <v>46330</v>
      </c>
      <c r="G27" s="144"/>
      <c r="H27" s="53">
        <v>46331</v>
      </c>
      <c r="I27" s="53"/>
      <c r="J27" s="53">
        <v>46332</v>
      </c>
      <c r="K27" s="53"/>
      <c r="L27" s="53">
        <v>46333</v>
      </c>
      <c r="M27" s="53"/>
      <c r="N27" s="53">
        <v>46334</v>
      </c>
      <c r="O27" s="54"/>
      <c r="P27" s="103" t="s">
        <v>25</v>
      </c>
      <c r="Q27" s="101" t="s">
        <v>26</v>
      </c>
      <c r="R27" s="104"/>
      <c r="S27" s="98"/>
      <c r="T27" s="98"/>
      <c r="U27" s="172" t="s">
        <v>27</v>
      </c>
      <c r="V27" s="106" t="s">
        <v>28</v>
      </c>
      <c r="W27" s="100" t="s">
        <v>29</v>
      </c>
      <c r="X27" s="63" t="s">
        <v>30</v>
      </c>
      <c r="Y27" s="7"/>
      <c r="Z27" s="7"/>
      <c r="AA27" s="7"/>
      <c r="AB27" s="13"/>
      <c r="AC27" s="13"/>
      <c r="AD27" s="13"/>
    </row>
    <row r="28" ht="14.4">
      <c r="A28" s="64" t="s">
        <v>31</v>
      </c>
      <c r="B28" s="66"/>
      <c r="C28" s="66"/>
      <c r="D28" s="66"/>
      <c r="E28" s="66"/>
      <c r="F28" s="65" t="s">
        <v>32</v>
      </c>
      <c r="G28" s="65" t="s">
        <v>33</v>
      </c>
      <c r="H28" s="65" t="s">
        <v>32</v>
      </c>
      <c r="I28" s="65" t="s">
        <v>33</v>
      </c>
      <c r="J28" s="65" t="s">
        <v>32</v>
      </c>
      <c r="K28" s="65" t="s">
        <v>33</v>
      </c>
      <c r="L28" s="67"/>
      <c r="M28" s="67"/>
      <c r="N28" s="67"/>
      <c r="O28" s="67"/>
      <c r="P28" s="68">
        <f t="shared" si="11"/>
        <v>24</v>
      </c>
      <c r="Q28" s="69">
        <f t="shared" ref="Q28:Q91" si="15">Q12-P28</f>
        <v>127</v>
      </c>
      <c r="R28" s="70" t="str">
        <f t="shared" si="12"/>
        <v>Нетронин</v>
      </c>
      <c r="S28" s="71" t="s">
        <v>10</v>
      </c>
      <c r="T28" s="72" t="s">
        <v>9</v>
      </c>
      <c r="U28" s="73">
        <v>0</v>
      </c>
      <c r="V28" s="62">
        <v>0</v>
      </c>
      <c r="W28" s="62"/>
      <c r="X28" s="74" t="s">
        <v>34</v>
      </c>
      <c r="Y28" s="7"/>
      <c r="Z28" s="7"/>
      <c r="AA28" s="7"/>
      <c r="AB28" s="13"/>
      <c r="AC28" s="13"/>
      <c r="AD28" s="13"/>
    </row>
    <row r="29" ht="14.4">
      <c r="A29" s="64" t="s">
        <v>35</v>
      </c>
      <c r="B29" s="66"/>
      <c r="C29" s="66"/>
      <c r="D29" s="66"/>
      <c r="E29" s="66"/>
      <c r="F29" s="65" t="s">
        <v>32</v>
      </c>
      <c r="G29" s="65" t="s">
        <v>33</v>
      </c>
      <c r="H29" s="148" t="s">
        <v>32</v>
      </c>
      <c r="I29" s="148" t="s">
        <v>33</v>
      </c>
      <c r="J29" s="148" t="s">
        <v>32</v>
      </c>
      <c r="K29" s="148" t="s">
        <v>33</v>
      </c>
      <c r="L29" s="108"/>
      <c r="M29" s="108"/>
      <c r="N29" s="108"/>
      <c r="O29" s="108"/>
      <c r="P29" s="68">
        <f t="shared" si="11"/>
        <v>24</v>
      </c>
      <c r="Q29" s="69">
        <f t="shared" si="15"/>
        <v>127</v>
      </c>
      <c r="R29" s="70" t="str">
        <f t="shared" si="12"/>
        <v>Рычков</v>
      </c>
      <c r="S29" s="76" t="s">
        <v>10</v>
      </c>
      <c r="T29" s="77" t="s">
        <v>9</v>
      </c>
      <c r="U29" s="73">
        <f>COUNTIF(T29,B29)+COUNTIF(T29,D29)+COUNTIF(T29,F29)+COUNTIF(T29,H29)+COUNTIF(T29,J29)+COUNTIF(T29,L29)+COUNTIF(T29,#REF!)</f>
        <v>0</v>
      </c>
      <c r="V29" s="62">
        <f>COUNTIF(S29,B29)+COUNTIF(S29,D29)+COUNTIF(S29,F29)+COUNTIF(S29,H29)+COUNTIF(S29,J29)+COUNTIF(S29,L29)+COUNTIF(S29,#REF!)</f>
        <v>0</v>
      </c>
      <c r="W29" s="62"/>
      <c r="X29" s="74" t="s">
        <v>34</v>
      </c>
      <c r="Y29" s="7"/>
      <c r="Z29" s="7"/>
      <c r="AA29" s="7"/>
      <c r="AB29" s="13"/>
      <c r="AC29" s="13"/>
      <c r="AD29" s="13"/>
    </row>
    <row r="30" ht="14.4">
      <c r="A30" s="64" t="s">
        <v>39</v>
      </c>
      <c r="B30" s="66"/>
      <c r="C30" s="66"/>
      <c r="D30" s="66"/>
      <c r="E30" s="66"/>
      <c r="F30" s="65" t="s">
        <v>32</v>
      </c>
      <c r="G30" s="65" t="s">
        <v>33</v>
      </c>
      <c r="H30" s="65" t="s">
        <v>32</v>
      </c>
      <c r="I30" s="65" t="s">
        <v>33</v>
      </c>
      <c r="J30" s="65" t="s">
        <v>32</v>
      </c>
      <c r="K30" s="65" t="s">
        <v>33</v>
      </c>
      <c r="L30" s="66"/>
      <c r="M30" s="66"/>
      <c r="O30" s="66"/>
      <c r="P30" s="68">
        <f t="shared" si="11"/>
        <v>24</v>
      </c>
      <c r="Q30" s="69">
        <f t="shared" si="15"/>
        <v>127</v>
      </c>
      <c r="R30" s="70" t="str">
        <f t="shared" si="12"/>
        <v>Игумнов</v>
      </c>
      <c r="S30" s="76" t="s">
        <v>10</v>
      </c>
      <c r="T30" s="77" t="s">
        <v>9</v>
      </c>
      <c r="U30" s="73">
        <f>COUNTIF(T30,B30)+COUNTIF(T30,D30)+COUNTIF(T30,F30)+COUNTIF(T30,H30)+COUNTIF(T30,J30)+COUNTIF(T30,L30)+COUNTIF(T30,N31)</f>
        <v>0</v>
      </c>
      <c r="V30" s="62">
        <f>COUNTIF(S30,B30)+COUNTIF(S30,D30)+COUNTIF(S30,F30)+COUNTIF(S30,H30)+COUNTIF(S30,J30)+COUNTIF(S30,L30)+COUNTIF(S30,N31)</f>
        <v>0</v>
      </c>
      <c r="W30" s="62"/>
      <c r="X30" s="79" t="s">
        <v>34</v>
      </c>
      <c r="Y30" s="7"/>
      <c r="Z30" s="80"/>
      <c r="AA30" s="80"/>
      <c r="AB30" s="13"/>
      <c r="AC30" s="13"/>
      <c r="AD30" s="13"/>
    </row>
    <row r="31" ht="14.4">
      <c r="A31" s="64" t="s">
        <v>40</v>
      </c>
      <c r="B31" s="66"/>
      <c r="C31" s="66"/>
      <c r="D31" s="66"/>
      <c r="E31" s="66"/>
      <c r="F31" s="65" t="s">
        <v>32</v>
      </c>
      <c r="G31" s="65" t="s">
        <v>33</v>
      </c>
      <c r="H31" s="65" t="s">
        <v>32</v>
      </c>
      <c r="I31" s="65" t="s">
        <v>33</v>
      </c>
      <c r="J31" s="65" t="s">
        <v>32</v>
      </c>
      <c r="K31" s="65" t="s">
        <v>33</v>
      </c>
      <c r="L31" s="66"/>
      <c r="M31" s="66"/>
      <c r="N31" s="66"/>
      <c r="O31" s="66"/>
      <c r="P31" s="68">
        <f t="shared" si="11"/>
        <v>24</v>
      </c>
      <c r="Q31" s="69">
        <f t="shared" si="15"/>
        <v>127</v>
      </c>
      <c r="R31" s="70" t="str">
        <f t="shared" si="12"/>
        <v>Душин</v>
      </c>
      <c r="S31" s="76" t="s">
        <v>10</v>
      </c>
      <c r="T31" s="77" t="s">
        <v>9</v>
      </c>
      <c r="U31" s="73">
        <f>COUNTIF(T31,B31)+COUNTIF(T31,D31)+COUNTIF(T31,F31)+COUNTIF(T31,H31)+COUNTIF(T31,J31)+COUNTIF(T31,L31)+COUNTIF(T31,#REF!)</f>
        <v>0</v>
      </c>
      <c r="V31" s="62">
        <f>COUNTIF(S31,B31)+COUNTIF(S31,D31)+COUNTIF(S31,F31)+COUNTIF(S31,H31)+COUNTIF(S31,J31)+COUNTIF(S31,L31)+COUNTIF(S31,#REF!)</f>
        <v>0</v>
      </c>
      <c r="W31" s="62"/>
      <c r="X31" s="74" t="s">
        <v>38</v>
      </c>
      <c r="Y31" s="80"/>
      <c r="Z31" s="80"/>
      <c r="AA31" s="80"/>
      <c r="AB31" s="13"/>
      <c r="AC31" s="13"/>
      <c r="AD31" s="13"/>
    </row>
    <row r="32" ht="14.4">
      <c r="A32" s="64" t="s">
        <v>42</v>
      </c>
      <c r="B32" s="66"/>
      <c r="C32" s="66"/>
      <c r="D32" s="66"/>
      <c r="E32" s="66"/>
      <c r="F32" s="65" t="s">
        <v>32</v>
      </c>
      <c r="G32" s="65" t="s">
        <v>33</v>
      </c>
      <c r="H32" s="65" t="s">
        <v>32</v>
      </c>
      <c r="I32" s="65" t="s">
        <v>33</v>
      </c>
      <c r="J32" s="65" t="s">
        <v>32</v>
      </c>
      <c r="K32" s="65" t="s">
        <v>33</v>
      </c>
      <c r="L32" s="66"/>
      <c r="M32" s="66"/>
      <c r="N32" s="66"/>
      <c r="O32" s="66"/>
      <c r="P32" s="68">
        <f t="shared" si="11"/>
        <v>24</v>
      </c>
      <c r="Q32" s="69">
        <f t="shared" si="15"/>
        <v>127</v>
      </c>
      <c r="R32" s="70" t="str">
        <f t="shared" si="12"/>
        <v>Юращик</v>
      </c>
      <c r="S32" s="76" t="s">
        <v>10</v>
      </c>
      <c r="T32" s="77" t="s">
        <v>9</v>
      </c>
      <c r="U32" s="73">
        <f t="shared" ref="U32:U95" si="16">COUNTIF(T32,B32)+COUNTIF(T32,D32)+COUNTIF(T32,F32)+COUNTIF(T32,H32)+COUNTIF(T32,J32)+COUNTIF(T32,L32)+COUNTIF(T32,N32)</f>
        <v>0</v>
      </c>
      <c r="V32" s="62">
        <f t="shared" ref="V32:V62" si="17">COUNTIF(S32,B32)+COUNTIF(S32,D32)+COUNTIF(S32,F32)+COUNTIF(S32,H32)+COUNTIF(S32,J32)+COUNTIF(S32,L32)+COUNTIF(S32,N32)</f>
        <v>0</v>
      </c>
      <c r="W32" s="62"/>
      <c r="X32" s="74" t="s">
        <v>38</v>
      </c>
      <c r="Y32" s="80"/>
      <c r="Z32" s="80"/>
      <c r="AA32" s="80"/>
      <c r="AB32" s="13"/>
      <c r="AC32" s="13"/>
      <c r="AD32" s="13"/>
    </row>
    <row r="33" ht="14.4">
      <c r="A33" s="81" t="s">
        <v>43</v>
      </c>
      <c r="B33" s="76"/>
      <c r="C33" s="76" t="s">
        <v>4</v>
      </c>
      <c r="D33" s="173"/>
      <c r="E33" s="76" t="s">
        <v>4</v>
      </c>
      <c r="F33" s="67"/>
      <c r="G33" s="67"/>
      <c r="H33" s="131"/>
      <c r="I33" s="131">
        <v>12</v>
      </c>
      <c r="J33" s="83"/>
      <c r="K33" s="83" t="s">
        <v>4</v>
      </c>
      <c r="L33" s="82"/>
      <c r="M33" s="82"/>
      <c r="N33" s="66"/>
      <c r="O33" s="66"/>
      <c r="P33" s="68">
        <f t="shared" si="11"/>
        <v>48</v>
      </c>
      <c r="Q33" s="69">
        <f t="shared" si="15"/>
        <v>111</v>
      </c>
      <c r="R33" s="70" t="s">
        <v>43</v>
      </c>
      <c r="S33" s="71" t="s">
        <v>12</v>
      </c>
      <c r="T33" s="72" t="s">
        <v>11</v>
      </c>
      <c r="U33" s="85">
        <f t="shared" si="16"/>
        <v>0</v>
      </c>
      <c r="V33" s="86">
        <f t="shared" si="17"/>
        <v>0</v>
      </c>
      <c r="W33" s="86"/>
      <c r="X33" s="74" t="s">
        <v>44</v>
      </c>
      <c r="Y33" s="80"/>
      <c r="Z33" s="80"/>
      <c r="AA33" s="80"/>
      <c r="AB33" s="13"/>
      <c r="AC33" s="13"/>
      <c r="AD33" s="13"/>
    </row>
    <row r="34" ht="14.4">
      <c r="A34" s="81" t="s">
        <v>45</v>
      </c>
      <c r="B34" s="82"/>
      <c r="C34" s="82"/>
      <c r="D34" s="66"/>
      <c r="E34" s="66"/>
      <c r="F34" s="76"/>
      <c r="G34" s="76" t="s">
        <v>4</v>
      </c>
      <c r="H34" s="78"/>
      <c r="I34" s="78" t="s">
        <v>4</v>
      </c>
      <c r="J34" s="82"/>
      <c r="K34" s="82"/>
      <c r="L34" s="66"/>
      <c r="M34" s="66"/>
      <c r="N34" s="112"/>
      <c r="O34" s="83" t="s">
        <v>53</v>
      </c>
      <c r="P34" s="68">
        <f t="shared" si="11"/>
        <v>34</v>
      </c>
      <c r="Q34" s="69">
        <f t="shared" si="15"/>
        <v>101</v>
      </c>
      <c r="R34" s="70" t="str">
        <f t="shared" si="12"/>
        <v>Пузырь</v>
      </c>
      <c r="S34" s="76" t="s">
        <v>10</v>
      </c>
      <c r="T34" s="77" t="s">
        <v>9</v>
      </c>
      <c r="U34" s="73">
        <f t="shared" si="16"/>
        <v>0</v>
      </c>
      <c r="V34" s="62">
        <f t="shared" si="17"/>
        <v>0</v>
      </c>
      <c r="W34" s="62"/>
      <c r="X34" s="74" t="s">
        <v>34</v>
      </c>
      <c r="Y34" s="80"/>
      <c r="Z34" s="7"/>
      <c r="AA34" s="7"/>
      <c r="AB34" s="13"/>
      <c r="AC34" s="13"/>
      <c r="AD34" s="13"/>
    </row>
    <row r="35" ht="14.4">
      <c r="A35" s="81" t="s">
        <v>46</v>
      </c>
      <c r="B35" s="76"/>
      <c r="C35" s="76" t="s">
        <v>4</v>
      </c>
      <c r="D35" s="78"/>
      <c r="E35" s="78" t="s">
        <v>4</v>
      </c>
      <c r="F35" s="66"/>
      <c r="G35" s="66"/>
      <c r="H35" s="66"/>
      <c r="I35" s="66"/>
      <c r="J35" s="112"/>
      <c r="K35" s="83" t="s">
        <v>4</v>
      </c>
      <c r="L35" s="83"/>
      <c r="M35" s="83" t="s">
        <v>4</v>
      </c>
      <c r="N35" s="67"/>
      <c r="O35" s="67"/>
      <c r="P35" s="68">
        <f t="shared" si="11"/>
        <v>48</v>
      </c>
      <c r="Q35" s="69">
        <f t="shared" si="15"/>
        <v>111</v>
      </c>
      <c r="R35" s="70" t="str">
        <f t="shared" si="12"/>
        <v>Голышев</v>
      </c>
      <c r="S35" s="76" t="s">
        <v>10</v>
      </c>
      <c r="T35" s="77" t="s">
        <v>9</v>
      </c>
      <c r="U35" s="73">
        <f t="shared" si="16"/>
        <v>0</v>
      </c>
      <c r="V35" s="62">
        <f t="shared" si="17"/>
        <v>0</v>
      </c>
      <c r="W35" s="62"/>
      <c r="X35" s="74" t="s">
        <v>34</v>
      </c>
      <c r="Y35" s="80"/>
      <c r="Z35" s="7"/>
      <c r="AA35" s="7"/>
      <c r="AB35" s="13"/>
      <c r="AC35" s="13"/>
      <c r="AD35" s="13"/>
    </row>
    <row r="36" ht="14.4">
      <c r="A36" s="81" t="s">
        <v>47</v>
      </c>
      <c r="B36" s="66"/>
      <c r="C36" s="66"/>
      <c r="D36" s="112"/>
      <c r="E36" s="83" t="s">
        <v>4</v>
      </c>
      <c r="F36" s="83"/>
      <c r="G36" s="83" t="s">
        <v>4</v>
      </c>
      <c r="H36" s="66"/>
      <c r="I36" s="66"/>
      <c r="J36" s="67"/>
      <c r="K36" s="67"/>
      <c r="L36" s="87"/>
      <c r="M36" s="87"/>
      <c r="N36" s="89"/>
      <c r="O36" s="78" t="s">
        <v>33</v>
      </c>
      <c r="P36" s="68">
        <f t="shared" si="11"/>
        <v>32</v>
      </c>
      <c r="Q36" s="69">
        <f t="shared" si="15"/>
        <v>103</v>
      </c>
      <c r="R36" s="70" t="str">
        <f t="shared" si="12"/>
        <v>Торубара</v>
      </c>
      <c r="S36" s="76" t="s">
        <v>10</v>
      </c>
      <c r="T36" s="77" t="s">
        <v>9</v>
      </c>
      <c r="U36" s="73">
        <f t="shared" si="16"/>
        <v>0</v>
      </c>
      <c r="V36" s="62">
        <f t="shared" si="17"/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ht="14.4">
      <c r="A37" s="81" t="s">
        <v>48</v>
      </c>
      <c r="B37" s="82"/>
      <c r="C37" s="82"/>
      <c r="D37" s="82"/>
      <c r="E37" s="82"/>
      <c r="F37" s="112"/>
      <c r="G37" s="83" t="s">
        <v>4</v>
      </c>
      <c r="H37" s="83"/>
      <c r="I37" s="83" t="s">
        <v>4</v>
      </c>
      <c r="J37" s="66"/>
      <c r="K37" s="66"/>
      <c r="L37" s="82"/>
      <c r="M37" s="82"/>
      <c r="N37" s="78"/>
      <c r="O37" s="78" t="s">
        <v>4</v>
      </c>
      <c r="P37" s="68">
        <f t="shared" si="11"/>
        <v>36</v>
      </c>
      <c r="Q37" s="69">
        <f t="shared" si="15"/>
        <v>99</v>
      </c>
      <c r="R37" s="70" t="str">
        <f t="shared" si="12"/>
        <v>Стрыгин</v>
      </c>
      <c r="S37" s="71" t="s">
        <v>8</v>
      </c>
      <c r="T37" s="72" t="s">
        <v>7</v>
      </c>
      <c r="U37" s="73">
        <f t="shared" si="16"/>
        <v>0</v>
      </c>
      <c r="V37" s="62">
        <f t="shared" si="17"/>
        <v>0</v>
      </c>
      <c r="W37" s="62"/>
      <c r="X37" s="74" t="s">
        <v>49</v>
      </c>
      <c r="Y37" s="7"/>
      <c r="Z37" s="7"/>
      <c r="AA37" s="7"/>
      <c r="AB37" s="13"/>
      <c r="AC37" s="13"/>
      <c r="AD37" s="13"/>
    </row>
    <row r="38" ht="14.4">
      <c r="A38" s="81" t="s">
        <v>50</v>
      </c>
      <c r="B38" s="83"/>
      <c r="C38" s="83" t="s">
        <v>4</v>
      </c>
      <c r="D38" s="83"/>
      <c r="E38" s="83" t="s">
        <v>4</v>
      </c>
      <c r="F38" s="66"/>
      <c r="G38" s="66"/>
      <c r="H38" s="66"/>
      <c r="I38" s="66"/>
      <c r="J38" s="78"/>
      <c r="K38" s="78" t="s">
        <v>4</v>
      </c>
      <c r="L38" s="78"/>
      <c r="M38" s="78" t="s">
        <v>4</v>
      </c>
      <c r="N38" s="66"/>
      <c r="O38" s="66"/>
      <c r="P38" s="68">
        <f t="shared" si="11"/>
        <v>48</v>
      </c>
      <c r="Q38" s="69">
        <f t="shared" si="15"/>
        <v>111</v>
      </c>
      <c r="R38" s="70" t="str">
        <f t="shared" si="12"/>
        <v>Фрик</v>
      </c>
      <c r="S38" s="71" t="s">
        <v>12</v>
      </c>
      <c r="T38" s="72" t="s">
        <v>11</v>
      </c>
      <c r="U38" s="73">
        <f t="shared" si="16"/>
        <v>0</v>
      </c>
      <c r="V38" s="62">
        <f t="shared" si="17"/>
        <v>0</v>
      </c>
      <c r="W38" s="62"/>
      <c r="X38" s="74" t="s">
        <v>44</v>
      </c>
      <c r="Y38" s="7"/>
      <c r="Z38" s="7"/>
      <c r="AA38" s="7"/>
      <c r="AB38" s="13"/>
      <c r="AC38" s="13"/>
      <c r="AD38" s="13"/>
    </row>
    <row r="39" ht="14.4">
      <c r="A39" s="88" t="s">
        <v>51</v>
      </c>
      <c r="B39" s="156"/>
      <c r="C39" s="174" t="s">
        <v>53</v>
      </c>
      <c r="D39" s="66"/>
      <c r="E39" s="66"/>
      <c r="F39" s="87"/>
      <c r="G39" s="87"/>
      <c r="H39" s="78"/>
      <c r="I39" s="78" t="s">
        <v>4</v>
      </c>
      <c r="J39" s="66"/>
      <c r="K39" s="66"/>
      <c r="L39" s="67"/>
      <c r="M39" s="67"/>
      <c r="N39" s="83"/>
      <c r="O39" s="83" t="s">
        <v>4</v>
      </c>
      <c r="P39" s="68">
        <f t="shared" si="11"/>
        <v>34</v>
      </c>
      <c r="Q39" s="69">
        <f t="shared" si="15"/>
        <v>101</v>
      </c>
      <c r="R39" s="70" t="str">
        <f t="shared" si="12"/>
        <v>Истрашкин</v>
      </c>
      <c r="S39" s="71" t="s">
        <v>10</v>
      </c>
      <c r="T39" s="72" t="s">
        <v>9</v>
      </c>
      <c r="U39" s="73">
        <f t="shared" si="16"/>
        <v>0</v>
      </c>
      <c r="V39" s="62">
        <f t="shared" si="17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4">
      <c r="A40" s="175"/>
      <c r="B40" s="171">
        <v>46328</v>
      </c>
      <c r="C40" s="171"/>
      <c r="D40" s="144">
        <v>46329</v>
      </c>
      <c r="E40" s="144"/>
      <c r="F40" s="144">
        <v>46330</v>
      </c>
      <c r="G40" s="144"/>
      <c r="H40" s="53">
        <v>46331</v>
      </c>
      <c r="I40" s="53"/>
      <c r="J40" s="53">
        <v>46332</v>
      </c>
      <c r="K40" s="53"/>
      <c r="L40" s="53">
        <v>46333</v>
      </c>
      <c r="M40" s="53"/>
      <c r="N40" s="53">
        <v>46334</v>
      </c>
      <c r="O40" s="157"/>
      <c r="P40" s="176"/>
      <c r="Q40" s="177"/>
      <c r="R40" s="175"/>
      <c r="S40" s="178"/>
      <c r="T40" s="178"/>
      <c r="U40" s="100"/>
      <c r="V40" s="100"/>
      <c r="W40" s="100"/>
      <c r="X40" s="7"/>
      <c r="Y40" s="7"/>
      <c r="Z40" s="7"/>
      <c r="AA40" s="7"/>
      <c r="AB40" s="13"/>
      <c r="AC40" s="13"/>
      <c r="AD40" s="13"/>
    </row>
    <row r="41" ht="14.4">
      <c r="A41" s="179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1"/>
      <c r="R41" s="166"/>
      <c r="S41" s="166"/>
      <c r="T41" s="165"/>
      <c r="U41" s="100"/>
      <c r="V41" s="100"/>
      <c r="W41" s="100"/>
      <c r="X41" s="51"/>
      <c r="Y41" s="7"/>
      <c r="Z41" s="7"/>
      <c r="AA41" s="7"/>
      <c r="AB41" s="13"/>
      <c r="AC41" s="13"/>
      <c r="AD41" s="13"/>
    </row>
    <row r="42" ht="14.4">
      <c r="A42" s="52"/>
      <c r="B42" s="56" t="s">
        <v>17</v>
      </c>
      <c r="C42" s="116"/>
      <c r="D42" s="56" t="s">
        <v>18</v>
      </c>
      <c r="E42" s="116"/>
      <c r="F42" s="56" t="s">
        <v>19</v>
      </c>
      <c r="G42" s="56"/>
      <c r="H42" s="56" t="s">
        <v>20</v>
      </c>
      <c r="I42" s="116"/>
      <c r="J42" s="56" t="s">
        <v>21</v>
      </c>
      <c r="K42" s="56"/>
      <c r="L42" s="56" t="s">
        <v>22</v>
      </c>
      <c r="M42" s="56"/>
      <c r="N42" s="56" t="s">
        <v>23</v>
      </c>
      <c r="O42" s="56"/>
      <c r="P42" s="56" t="s">
        <v>24</v>
      </c>
      <c r="Q42" s="56"/>
      <c r="R42" s="52"/>
      <c r="S42" s="52"/>
      <c r="T42" s="117"/>
      <c r="U42" s="62"/>
      <c r="V42" s="62"/>
      <c r="W42" s="62"/>
      <c r="X42" s="63"/>
      <c r="Y42" s="7"/>
      <c r="Z42" s="7"/>
      <c r="AA42" s="7"/>
      <c r="AB42" s="13"/>
      <c r="AC42" s="13"/>
      <c r="AD42" s="13"/>
    </row>
    <row r="43" ht="14.4">
      <c r="A43" s="52"/>
      <c r="B43" s="53">
        <v>46335</v>
      </c>
      <c r="C43" s="53"/>
      <c r="D43" s="53">
        <v>46336</v>
      </c>
      <c r="E43" s="53"/>
      <c r="F43" s="53">
        <v>46337</v>
      </c>
      <c r="G43" s="53"/>
      <c r="H43" s="53">
        <v>46338</v>
      </c>
      <c r="I43" s="53"/>
      <c r="J43" s="53">
        <v>46339</v>
      </c>
      <c r="K43" s="53"/>
      <c r="L43" s="53">
        <v>46340</v>
      </c>
      <c r="M43" s="53"/>
      <c r="N43" s="53">
        <v>46341</v>
      </c>
      <c r="O43" s="54"/>
      <c r="P43" s="55" t="s">
        <v>25</v>
      </c>
      <c r="Q43" s="56" t="s">
        <v>26</v>
      </c>
      <c r="R43" s="118"/>
      <c r="S43" s="52"/>
      <c r="T43" s="119"/>
      <c r="U43" s="60" t="s">
        <v>27</v>
      </c>
      <c r="V43" s="61" t="s">
        <v>28</v>
      </c>
      <c r="W43" s="62" t="s">
        <v>29</v>
      </c>
      <c r="X43" s="63" t="s">
        <v>30</v>
      </c>
      <c r="Y43" s="7"/>
      <c r="Z43" s="7"/>
      <c r="AA43" s="7"/>
      <c r="AB43" s="13"/>
      <c r="AC43" s="13"/>
      <c r="AD43" s="13"/>
    </row>
    <row r="44" ht="14.4">
      <c r="A44" s="64" t="s">
        <v>31</v>
      </c>
      <c r="B44" s="65" t="s">
        <v>32</v>
      </c>
      <c r="C44" s="65" t="s">
        <v>33</v>
      </c>
      <c r="D44" s="65" t="s">
        <v>32</v>
      </c>
      <c r="E44" s="65" t="s">
        <v>33</v>
      </c>
      <c r="F44" s="65" t="s">
        <v>32</v>
      </c>
      <c r="G44" s="65" t="s">
        <v>33</v>
      </c>
      <c r="H44" s="65" t="s">
        <v>32</v>
      </c>
      <c r="I44" s="65" t="s">
        <v>33</v>
      </c>
      <c r="J44" s="65" t="s">
        <v>32</v>
      </c>
      <c r="K44" s="65" t="s">
        <v>33</v>
      </c>
      <c r="L44" s="67"/>
      <c r="M44" s="67"/>
      <c r="N44" s="67"/>
      <c r="O44" s="67"/>
      <c r="P44" s="68">
        <f t="shared" si="11"/>
        <v>40</v>
      </c>
      <c r="Q44" s="69">
        <f t="shared" si="15"/>
        <v>87</v>
      </c>
      <c r="R44" s="70" t="str">
        <f t="shared" si="12"/>
        <v>Нетронин</v>
      </c>
      <c r="S44" s="71" t="s">
        <v>10</v>
      </c>
      <c r="T44" s="72" t="s">
        <v>9</v>
      </c>
      <c r="U44" s="73">
        <f t="shared" si="16"/>
        <v>0</v>
      </c>
      <c r="V44" s="62">
        <f t="shared" si="17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4">
      <c r="A45" s="75" t="s">
        <v>35</v>
      </c>
      <c r="B45" s="148" t="s">
        <v>32</v>
      </c>
      <c r="C45" s="148" t="s">
        <v>33</v>
      </c>
      <c r="D45" s="148" t="s">
        <v>32</v>
      </c>
      <c r="E45" s="148" t="s">
        <v>33</v>
      </c>
      <c r="F45" s="148" t="s">
        <v>32</v>
      </c>
      <c r="G45" s="148" t="s">
        <v>33</v>
      </c>
      <c r="H45" s="65" t="s">
        <v>32</v>
      </c>
      <c r="I45" s="65" t="s">
        <v>33</v>
      </c>
      <c r="J45" s="65" t="s">
        <v>32</v>
      </c>
      <c r="K45" s="65" t="s">
        <v>33</v>
      </c>
      <c r="L45" s="66"/>
      <c r="M45" s="66"/>
      <c r="N45" s="66"/>
      <c r="O45" s="66"/>
      <c r="P45" s="68">
        <f t="shared" si="11"/>
        <v>40</v>
      </c>
      <c r="Q45" s="69">
        <f t="shared" si="15"/>
        <v>87</v>
      </c>
      <c r="R45" s="70" t="str">
        <f t="shared" si="12"/>
        <v>Рычков</v>
      </c>
      <c r="S45" s="76" t="s">
        <v>10</v>
      </c>
      <c r="T45" s="77" t="s">
        <v>9</v>
      </c>
      <c r="U45" s="73">
        <f t="shared" si="16"/>
        <v>0</v>
      </c>
      <c r="V45" s="62">
        <f t="shared" si="17"/>
        <v>0</v>
      </c>
      <c r="W45" s="62"/>
      <c r="X45" s="74" t="s">
        <v>34</v>
      </c>
      <c r="Y45" s="7"/>
      <c r="Z45" s="7"/>
      <c r="AA45" s="7"/>
      <c r="AB45" s="13"/>
      <c r="AC45" s="13"/>
      <c r="AD45" s="13"/>
    </row>
    <row r="46" ht="14.4">
      <c r="A46" s="64" t="s">
        <v>39</v>
      </c>
      <c r="B46" s="65" t="s">
        <v>32</v>
      </c>
      <c r="C46" s="65" t="s">
        <v>33</v>
      </c>
      <c r="D46" s="65" t="s">
        <v>32</v>
      </c>
      <c r="E46" s="65" t="s">
        <v>33</v>
      </c>
      <c r="F46" s="65" t="s">
        <v>32</v>
      </c>
      <c r="G46" s="65" t="s">
        <v>33</v>
      </c>
      <c r="H46" s="65" t="s">
        <v>32</v>
      </c>
      <c r="I46" s="65" t="s">
        <v>33</v>
      </c>
      <c r="J46" s="65" t="s">
        <v>32</v>
      </c>
      <c r="K46" s="65" t="s">
        <v>33</v>
      </c>
      <c r="L46" s="66"/>
      <c r="M46" s="66"/>
      <c r="N46" s="66"/>
      <c r="O46" s="66"/>
      <c r="P46" s="68">
        <f t="shared" si="11"/>
        <v>40</v>
      </c>
      <c r="Q46" s="69">
        <f t="shared" si="15"/>
        <v>87</v>
      </c>
      <c r="R46" s="70" t="str">
        <f t="shared" si="12"/>
        <v>Игумнов</v>
      </c>
      <c r="S46" s="76" t="s">
        <v>10</v>
      </c>
      <c r="T46" s="77" t="s">
        <v>9</v>
      </c>
      <c r="U46" s="73">
        <f t="shared" si="16"/>
        <v>0</v>
      </c>
      <c r="V46" s="62">
        <f t="shared" si="17"/>
        <v>0</v>
      </c>
      <c r="W46" s="62"/>
      <c r="X46" s="79" t="s">
        <v>34</v>
      </c>
      <c r="Y46" s="7"/>
      <c r="Z46" s="7"/>
      <c r="AA46" s="7"/>
      <c r="AB46" s="13"/>
      <c r="AC46" s="13"/>
      <c r="AD46" s="13"/>
    </row>
    <row r="47" ht="14.4">
      <c r="A47" s="64" t="s">
        <v>40</v>
      </c>
      <c r="B47" s="65" t="s">
        <v>32</v>
      </c>
      <c r="C47" s="65" t="s">
        <v>33</v>
      </c>
      <c r="D47" s="65" t="s">
        <v>32</v>
      </c>
      <c r="E47" s="65" t="s">
        <v>33</v>
      </c>
      <c r="F47" s="65" t="s">
        <v>32</v>
      </c>
      <c r="G47" s="65" t="s">
        <v>33</v>
      </c>
      <c r="H47" s="65" t="s">
        <v>32</v>
      </c>
      <c r="I47" s="65" t="s">
        <v>33</v>
      </c>
      <c r="J47" s="65" t="s">
        <v>32</v>
      </c>
      <c r="K47" s="65" t="s">
        <v>33</v>
      </c>
      <c r="L47" s="66"/>
      <c r="M47" s="66"/>
      <c r="N47" s="66"/>
      <c r="O47" s="66"/>
      <c r="P47" s="68">
        <f t="shared" si="11"/>
        <v>40</v>
      </c>
      <c r="Q47" s="69">
        <f t="shared" si="15"/>
        <v>87</v>
      </c>
      <c r="R47" s="70" t="str">
        <f t="shared" si="12"/>
        <v>Душин</v>
      </c>
      <c r="S47" s="76" t="s">
        <v>10</v>
      </c>
      <c r="T47" s="77" t="s">
        <v>9</v>
      </c>
      <c r="U47" s="73">
        <f t="shared" si="16"/>
        <v>0</v>
      </c>
      <c r="V47" s="62">
        <f t="shared" si="17"/>
        <v>0</v>
      </c>
      <c r="W47" s="62"/>
      <c r="X47" s="74" t="s">
        <v>38</v>
      </c>
      <c r="Y47" s="7"/>
      <c r="Z47" s="7"/>
      <c r="AA47" s="7"/>
      <c r="AB47" s="13"/>
      <c r="AC47" s="13"/>
      <c r="AD47" s="13"/>
    </row>
    <row r="48" ht="14.4">
      <c r="A48" s="64" t="s">
        <v>42</v>
      </c>
      <c r="B48" s="65" t="s">
        <v>32</v>
      </c>
      <c r="C48" s="65" t="s">
        <v>33</v>
      </c>
      <c r="D48" s="65" t="s">
        <v>32</v>
      </c>
      <c r="E48" s="65" t="s">
        <v>33</v>
      </c>
      <c r="F48" s="65" t="s">
        <v>32</v>
      </c>
      <c r="G48" s="65" t="s">
        <v>33</v>
      </c>
      <c r="H48" s="65" t="s">
        <v>32</v>
      </c>
      <c r="I48" s="65" t="s">
        <v>33</v>
      </c>
      <c r="J48" s="65" t="s">
        <v>32</v>
      </c>
      <c r="K48" s="65" t="s">
        <v>33</v>
      </c>
      <c r="L48" s="66"/>
      <c r="M48" s="66"/>
      <c r="N48" s="66"/>
      <c r="O48" s="66"/>
      <c r="P48" s="68">
        <f t="shared" si="11"/>
        <v>40</v>
      </c>
      <c r="Q48" s="69">
        <f t="shared" si="15"/>
        <v>87</v>
      </c>
      <c r="R48" s="70" t="str">
        <f t="shared" si="12"/>
        <v>Юращик</v>
      </c>
      <c r="S48" s="76" t="s">
        <v>10</v>
      </c>
      <c r="T48" s="77" t="s">
        <v>9</v>
      </c>
      <c r="U48" s="73"/>
      <c r="V48" s="62"/>
      <c r="W48" s="62"/>
      <c r="X48" s="74" t="s">
        <v>38</v>
      </c>
      <c r="Y48" s="7"/>
      <c r="Z48" s="7"/>
      <c r="AA48" s="7"/>
      <c r="AB48" s="13"/>
      <c r="AC48" s="13"/>
      <c r="AD48" s="13"/>
    </row>
    <row r="49" ht="14.4">
      <c r="A49" s="81" t="s">
        <v>43</v>
      </c>
      <c r="B49" s="120"/>
      <c r="C49" s="182" t="s">
        <v>33</v>
      </c>
      <c r="D49" s="120"/>
      <c r="E49" s="182" t="s">
        <v>33</v>
      </c>
      <c r="F49" s="120"/>
      <c r="G49" s="182" t="s">
        <v>33</v>
      </c>
      <c r="H49" s="120"/>
      <c r="I49" s="182" t="s">
        <v>33</v>
      </c>
      <c r="J49" s="120"/>
      <c r="K49" s="182" t="s">
        <v>33</v>
      </c>
      <c r="L49" s="183"/>
      <c r="M49" s="184"/>
      <c r="N49" s="183"/>
      <c r="O49" s="184"/>
      <c r="P49" s="68">
        <f t="shared" si="11"/>
        <v>40</v>
      </c>
      <c r="Q49" s="69">
        <f t="shared" si="15"/>
        <v>71</v>
      </c>
      <c r="R49" s="70" t="s">
        <v>43</v>
      </c>
      <c r="S49" s="71" t="s">
        <v>12</v>
      </c>
      <c r="T49" s="84" t="s">
        <v>11</v>
      </c>
      <c r="U49" s="85">
        <f t="shared" si="16"/>
        <v>0</v>
      </c>
      <c r="V49" s="86">
        <f t="shared" si="17"/>
        <v>0</v>
      </c>
      <c r="W49" s="86"/>
      <c r="X49" s="74" t="s">
        <v>44</v>
      </c>
      <c r="Y49" s="80"/>
      <c r="Z49" s="80"/>
      <c r="AA49" s="80"/>
      <c r="AB49" s="13"/>
      <c r="AC49" s="13"/>
      <c r="AD49" s="13"/>
    </row>
    <row r="50" ht="14.4">
      <c r="A50" s="121" t="s">
        <v>45</v>
      </c>
      <c r="B50" s="110"/>
      <c r="C50" s="110" t="s">
        <v>4</v>
      </c>
      <c r="D50" s="108"/>
      <c r="E50" s="108"/>
      <c r="F50" s="108"/>
      <c r="G50" s="108"/>
      <c r="H50" s="107"/>
      <c r="I50" s="107" t="s">
        <v>4</v>
      </c>
      <c r="J50" s="107"/>
      <c r="K50" s="107" t="s">
        <v>4</v>
      </c>
      <c r="L50" s="109"/>
      <c r="M50" s="109"/>
      <c r="N50" s="108"/>
      <c r="O50" s="108"/>
      <c r="P50" s="68">
        <f t="shared" si="11"/>
        <v>36</v>
      </c>
      <c r="Q50" s="69">
        <f t="shared" si="15"/>
        <v>65</v>
      </c>
      <c r="R50" s="70" t="str">
        <f t="shared" si="12"/>
        <v>Пузырь</v>
      </c>
      <c r="S50" s="76" t="s">
        <v>10</v>
      </c>
      <c r="T50" s="77" t="s">
        <v>9</v>
      </c>
      <c r="U50" s="73">
        <f t="shared" si="16"/>
        <v>0</v>
      </c>
      <c r="V50" s="62">
        <f t="shared" si="17"/>
        <v>0</v>
      </c>
      <c r="W50" s="62"/>
      <c r="X50" s="74" t="s">
        <v>34</v>
      </c>
      <c r="Y50" s="7"/>
      <c r="Z50" s="7"/>
      <c r="AA50" s="7"/>
      <c r="AB50" s="13"/>
      <c r="AC50" s="13"/>
      <c r="AD50" s="13"/>
    </row>
    <row r="51" ht="14.4">
      <c r="A51" s="121" t="s">
        <v>46</v>
      </c>
      <c r="B51" s="66"/>
      <c r="C51" s="185"/>
      <c r="D51" s="107"/>
      <c r="E51" s="186" t="s">
        <v>4</v>
      </c>
      <c r="F51" s="107"/>
      <c r="G51" s="186" t="s">
        <v>4</v>
      </c>
      <c r="H51" s="108"/>
      <c r="I51" s="187"/>
      <c r="J51" s="108"/>
      <c r="K51" s="187"/>
      <c r="L51" s="188"/>
      <c r="M51" s="189"/>
      <c r="N51" s="110"/>
      <c r="O51" s="190" t="s">
        <v>4</v>
      </c>
      <c r="P51" s="191">
        <f t="shared" si="11"/>
        <v>36</v>
      </c>
      <c r="Q51" s="69">
        <f t="shared" si="15"/>
        <v>75</v>
      </c>
      <c r="R51" s="70" t="str">
        <f t="shared" si="12"/>
        <v>Голышев</v>
      </c>
      <c r="S51" s="76" t="s">
        <v>10</v>
      </c>
      <c r="T51" s="77" t="s">
        <v>9</v>
      </c>
      <c r="U51" s="73">
        <f>COUNTIF(T51,B51)+COUNTIF(T51,D51)+COUNTIF(T51,F51)+COUNTIF(T51,H51)+COUNTIF(T51,J51)+COUNTIF(T51,L52)+COUNTIF(T51,N51)</f>
        <v>0</v>
      </c>
      <c r="V51" s="62">
        <f>COUNTIF(S51,B51)+COUNTIF(S51,D51)+COUNTIF(S51,F51)+COUNTIF(S51,H51)+COUNTIF(S51,J51)+COUNTIF(S51,L52)+COUNTIF(S51,N51)</f>
        <v>0</v>
      </c>
      <c r="W51" s="62"/>
      <c r="X51" s="74" t="s">
        <v>34</v>
      </c>
      <c r="Y51" s="7"/>
      <c r="Z51" s="7"/>
      <c r="AA51" s="7"/>
      <c r="AB51" s="13"/>
      <c r="AC51" s="13"/>
      <c r="AD51" s="13"/>
    </row>
    <row r="52" ht="14.4">
      <c r="A52" s="121" t="s">
        <v>47</v>
      </c>
      <c r="B52" s="66"/>
      <c r="C52" s="66"/>
      <c r="D52" s="82"/>
      <c r="E52" s="82"/>
      <c r="F52" s="66"/>
      <c r="G52" s="66"/>
      <c r="H52" s="87"/>
      <c r="I52" s="87"/>
      <c r="J52" s="66"/>
      <c r="K52" s="66"/>
      <c r="L52" s="83"/>
      <c r="M52" s="83" t="s">
        <v>4</v>
      </c>
      <c r="N52" s="66"/>
      <c r="O52" s="66"/>
      <c r="P52" s="68">
        <f>C52+E52+G52+I52+K52+M53+O52</f>
        <v>12</v>
      </c>
      <c r="Q52" s="69">
        <f t="shared" si="15"/>
        <v>91</v>
      </c>
      <c r="R52" s="70" t="str">
        <f t="shared" si="12"/>
        <v>Торубара</v>
      </c>
      <c r="S52" s="76" t="s">
        <v>10</v>
      </c>
      <c r="T52" s="77" t="s">
        <v>9</v>
      </c>
      <c r="U52" s="73">
        <f>COUNTIF(T52,B52)+COUNTIF(T52,D52)+COUNTIF(T52,F52)+COUNTIF(T52,H52)+COUNTIF(T52,J52)+COUNTIF(T52,#REF!)+COUNTIF(T52,N52)</f>
        <v>0</v>
      </c>
      <c r="V52" s="62">
        <f>COUNTIF(S52,B52)+COUNTIF(S52,D52)+COUNTIF(S52,F52)+COUNTIF(S52,H52)+COUNTIF(S52,J52)+COUNTIF(S52,#REF!)+COUNTIF(S52,N52)</f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4">
      <c r="A53" s="121" t="s">
        <v>48</v>
      </c>
      <c r="B53" s="78"/>
      <c r="C53" s="78" t="s">
        <v>4</v>
      </c>
      <c r="D53" s="82"/>
      <c r="E53" s="82"/>
      <c r="F53" s="66"/>
      <c r="G53" s="66"/>
      <c r="H53" s="87"/>
      <c r="I53" s="87"/>
      <c r="J53" s="87"/>
      <c r="K53" s="87"/>
      <c r="L53" s="131"/>
      <c r="M53" s="83">
        <v>12</v>
      </c>
      <c r="N53" s="82"/>
      <c r="O53" s="82"/>
      <c r="P53" s="68">
        <f t="shared" si="11"/>
        <v>24</v>
      </c>
      <c r="Q53" s="69">
        <f t="shared" si="15"/>
        <v>75</v>
      </c>
      <c r="R53" s="70" t="str">
        <f t="shared" si="12"/>
        <v>Стрыгин</v>
      </c>
      <c r="S53" s="71" t="s">
        <v>8</v>
      </c>
      <c r="T53" s="72" t="s">
        <v>7</v>
      </c>
      <c r="U53" s="73">
        <f t="shared" si="16"/>
        <v>0</v>
      </c>
      <c r="V53" s="62">
        <f t="shared" si="17"/>
        <v>0</v>
      </c>
      <c r="W53" s="62"/>
      <c r="X53" s="74" t="s">
        <v>49</v>
      </c>
      <c r="Y53" s="7"/>
      <c r="Z53" s="7"/>
      <c r="AA53" s="7"/>
      <c r="AB53" s="13"/>
      <c r="AC53" s="13"/>
      <c r="AD53" s="13"/>
    </row>
    <row r="54" ht="14.4">
      <c r="A54" s="121" t="s">
        <v>50</v>
      </c>
      <c r="B54" s="66"/>
      <c r="C54" s="66"/>
      <c r="D54" s="83"/>
      <c r="E54" s="83" t="s">
        <v>4</v>
      </c>
      <c r="F54" s="83"/>
      <c r="G54" s="83" t="s">
        <v>4</v>
      </c>
      <c r="H54" s="66"/>
      <c r="I54" s="66"/>
      <c r="J54" s="66"/>
      <c r="K54" s="66"/>
      <c r="L54" s="78"/>
      <c r="M54" s="78" t="s">
        <v>4</v>
      </c>
      <c r="N54" s="78"/>
      <c r="O54" s="78" t="s">
        <v>4</v>
      </c>
      <c r="P54" s="68">
        <f t="shared" si="11"/>
        <v>48</v>
      </c>
      <c r="Q54" s="69">
        <f t="shared" si="15"/>
        <v>63</v>
      </c>
      <c r="R54" s="70" t="str">
        <f t="shared" si="12"/>
        <v>Фрик</v>
      </c>
      <c r="S54" s="71" t="s">
        <v>12</v>
      </c>
      <c r="T54" s="72" t="s">
        <v>11</v>
      </c>
      <c r="U54" s="73">
        <f t="shared" si="16"/>
        <v>0</v>
      </c>
      <c r="V54" s="62">
        <f t="shared" si="17"/>
        <v>0</v>
      </c>
      <c r="W54" s="62"/>
      <c r="X54" s="74" t="s">
        <v>44</v>
      </c>
      <c r="Y54" s="7"/>
      <c r="Z54" s="7"/>
      <c r="AA54" s="7"/>
      <c r="AB54" s="13"/>
      <c r="AC54" s="13"/>
      <c r="AD54" s="13"/>
    </row>
    <row r="55" ht="14.4">
      <c r="A55" s="125" t="s">
        <v>51</v>
      </c>
      <c r="B55" s="66"/>
      <c r="C55" s="66"/>
      <c r="D55" s="67"/>
      <c r="E55" s="66"/>
      <c r="F55" s="67"/>
      <c r="G55" s="67"/>
      <c r="H55" s="83"/>
      <c r="I55" s="83" t="s">
        <v>4</v>
      </c>
      <c r="J55" s="83"/>
      <c r="K55" s="83" t="s">
        <v>4</v>
      </c>
      <c r="L55" s="66"/>
      <c r="M55" s="66"/>
      <c r="N55" s="67"/>
      <c r="O55" s="67"/>
      <c r="P55" s="68">
        <f t="shared" si="11"/>
        <v>24</v>
      </c>
      <c r="Q55" s="69">
        <f t="shared" si="15"/>
        <v>77</v>
      </c>
      <c r="R55" s="70" t="str">
        <f t="shared" si="12"/>
        <v>Истрашкин</v>
      </c>
      <c r="S55" s="71" t="s">
        <v>10</v>
      </c>
      <c r="T55" s="72" t="s">
        <v>9</v>
      </c>
      <c r="U55" s="73">
        <f t="shared" si="16"/>
        <v>0</v>
      </c>
      <c r="V55" s="62">
        <f t="shared" si="17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4">
      <c r="A56" s="137"/>
      <c r="B56" s="53">
        <v>46335</v>
      </c>
      <c r="C56" s="53"/>
      <c r="D56" s="53">
        <v>46336</v>
      </c>
      <c r="E56" s="53"/>
      <c r="F56" s="53">
        <v>46337</v>
      </c>
      <c r="G56" s="53"/>
      <c r="H56" s="53">
        <v>46338</v>
      </c>
      <c r="I56" s="53"/>
      <c r="J56" s="53">
        <v>46339</v>
      </c>
      <c r="K56" s="53"/>
      <c r="L56" s="53">
        <v>46340</v>
      </c>
      <c r="M56" s="53"/>
      <c r="N56" s="53">
        <v>46341</v>
      </c>
      <c r="O56" s="192"/>
      <c r="P56" s="152"/>
      <c r="Q56" s="136"/>
      <c r="R56" s="137"/>
      <c r="S56" s="138"/>
      <c r="T56" s="138"/>
      <c r="U56" s="60" t="s">
        <v>27</v>
      </c>
      <c r="V56" s="61" t="s">
        <v>28</v>
      </c>
      <c r="W56" s="62" t="s">
        <v>29</v>
      </c>
      <c r="X56" s="7"/>
      <c r="Y56" s="7"/>
      <c r="Z56" s="7"/>
      <c r="AA56" s="7"/>
      <c r="AB56" s="13"/>
      <c r="AC56" s="13"/>
      <c r="AD56" s="13"/>
    </row>
    <row r="57" ht="14.4">
      <c r="A57" s="165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65"/>
      <c r="Q57" s="165"/>
      <c r="R57" s="193"/>
      <c r="S57" s="127"/>
      <c r="T57" s="127"/>
      <c r="U57" s="127"/>
      <c r="V57" s="127"/>
      <c r="W57" s="128"/>
      <c r="X57" s="7"/>
      <c r="Y57" s="7"/>
      <c r="Z57" s="7"/>
      <c r="AA57" s="7"/>
      <c r="AB57" s="13"/>
      <c r="AC57" s="13"/>
      <c r="AD57" s="13"/>
    </row>
    <row r="58" ht="14.4">
      <c r="A58" s="141"/>
      <c r="B58" s="43" t="s">
        <v>17</v>
      </c>
      <c r="C58" s="142"/>
      <c r="D58" s="43" t="s">
        <v>18</v>
      </c>
      <c r="E58" s="142"/>
      <c r="F58" s="43" t="s">
        <v>19</v>
      </c>
      <c r="G58" s="43"/>
      <c r="H58" s="43" t="s">
        <v>20</v>
      </c>
      <c r="I58" s="142"/>
      <c r="J58" s="45" t="s">
        <v>21</v>
      </c>
      <c r="K58" s="45"/>
      <c r="L58" s="43" t="s">
        <v>22</v>
      </c>
      <c r="M58" s="43"/>
      <c r="N58" s="43" t="s">
        <v>23</v>
      </c>
      <c r="O58" s="43"/>
      <c r="P58" s="47" t="s">
        <v>24</v>
      </c>
      <c r="Q58" s="48"/>
      <c r="R58" s="141"/>
      <c r="S58" s="141"/>
      <c r="T58" s="141"/>
      <c r="U58" s="62"/>
      <c r="V58" s="62"/>
      <c r="W58" s="62"/>
      <c r="X58" s="51"/>
      <c r="Y58" s="7"/>
      <c r="Z58" s="7"/>
      <c r="AA58" s="7"/>
      <c r="AB58" s="13"/>
      <c r="AC58" s="13"/>
      <c r="AD58" s="13"/>
    </row>
    <row r="59" ht="14.4">
      <c r="A59" s="52"/>
      <c r="B59" s="53">
        <v>46342</v>
      </c>
      <c r="C59" s="53"/>
      <c r="D59" s="53">
        <v>46343</v>
      </c>
      <c r="E59" s="53"/>
      <c r="F59" s="53">
        <v>46344</v>
      </c>
      <c r="G59" s="53"/>
      <c r="H59" s="53">
        <v>46345</v>
      </c>
      <c r="I59" s="53"/>
      <c r="J59" s="53">
        <v>46346</v>
      </c>
      <c r="K59" s="53"/>
      <c r="L59" s="53">
        <v>46347</v>
      </c>
      <c r="M59" s="53"/>
      <c r="N59" s="53">
        <v>46348</v>
      </c>
      <c r="O59" s="53"/>
      <c r="P59" s="55" t="s">
        <v>25</v>
      </c>
      <c r="Q59" s="56" t="s">
        <v>26</v>
      </c>
      <c r="R59" s="118"/>
      <c r="S59" s="52"/>
      <c r="T59" s="52"/>
      <c r="U59" s="194" t="s">
        <v>27</v>
      </c>
      <c r="V59" s="61" t="s">
        <v>28</v>
      </c>
      <c r="W59" s="62" t="s">
        <v>29</v>
      </c>
      <c r="X59" s="63" t="s">
        <v>30</v>
      </c>
      <c r="Y59" s="7"/>
      <c r="Z59" s="7"/>
      <c r="AA59" s="7"/>
      <c r="AB59" s="13"/>
      <c r="AC59" s="13"/>
      <c r="AD59" s="13"/>
    </row>
    <row r="60" ht="14.4">
      <c r="A60" s="64" t="s">
        <v>31</v>
      </c>
      <c r="B60" s="65" t="s">
        <v>32</v>
      </c>
      <c r="C60" s="65" t="s">
        <v>33</v>
      </c>
      <c r="D60" s="65" t="s">
        <v>32</v>
      </c>
      <c r="E60" s="65" t="s">
        <v>33</v>
      </c>
      <c r="F60" s="65" t="s">
        <v>32</v>
      </c>
      <c r="G60" s="65" t="s">
        <v>33</v>
      </c>
      <c r="H60" s="65" t="s">
        <v>32</v>
      </c>
      <c r="I60" s="65" t="s">
        <v>33</v>
      </c>
      <c r="J60" s="65" t="s">
        <v>32</v>
      </c>
      <c r="K60" s="65" t="s">
        <v>33</v>
      </c>
      <c r="L60" s="183"/>
      <c r="M60" s="183"/>
      <c r="N60" s="183"/>
      <c r="O60" s="183"/>
      <c r="P60" s="68">
        <f t="shared" si="11"/>
        <v>40</v>
      </c>
      <c r="Q60" s="69">
        <f t="shared" si="15"/>
        <v>47</v>
      </c>
      <c r="R60" s="70" t="str">
        <f t="shared" si="12"/>
        <v>Нетронин</v>
      </c>
      <c r="S60" s="71" t="s">
        <v>10</v>
      </c>
      <c r="T60" s="72" t="s">
        <v>9</v>
      </c>
      <c r="U60" s="73">
        <v>0</v>
      </c>
      <c r="V60" s="62"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4">
      <c r="A61" s="75" t="s">
        <v>35</v>
      </c>
      <c r="B61" s="65" t="s">
        <v>32</v>
      </c>
      <c r="C61" s="65" t="s">
        <v>33</v>
      </c>
      <c r="D61" s="65" t="s">
        <v>32</v>
      </c>
      <c r="E61" s="65" t="s">
        <v>33</v>
      </c>
      <c r="F61" s="65" t="s">
        <v>32</v>
      </c>
      <c r="G61" s="65" t="s">
        <v>33</v>
      </c>
      <c r="H61" s="65" t="s">
        <v>32</v>
      </c>
      <c r="I61" s="65" t="s">
        <v>33</v>
      </c>
      <c r="J61" s="65" t="s">
        <v>32</v>
      </c>
      <c r="K61" s="65" t="s">
        <v>33</v>
      </c>
      <c r="L61" s="66"/>
      <c r="M61" s="66"/>
      <c r="N61" s="66"/>
      <c r="O61" s="66"/>
      <c r="P61" s="68">
        <f t="shared" si="11"/>
        <v>40</v>
      </c>
      <c r="Q61" s="69">
        <f t="shared" si="15"/>
        <v>47</v>
      </c>
      <c r="R61" s="70" t="str">
        <f t="shared" si="12"/>
        <v>Рычков</v>
      </c>
      <c r="S61" s="76" t="s">
        <v>10</v>
      </c>
      <c r="T61" s="77" t="s">
        <v>9</v>
      </c>
      <c r="U61" s="73">
        <f t="shared" si="16"/>
        <v>0</v>
      </c>
      <c r="V61" s="62">
        <f t="shared" si="17"/>
        <v>0</v>
      </c>
      <c r="W61" s="62"/>
      <c r="X61" s="74" t="s">
        <v>34</v>
      </c>
      <c r="Y61" s="7"/>
      <c r="Z61" s="7"/>
      <c r="AA61" s="7"/>
      <c r="AB61" s="13"/>
      <c r="AC61" s="13"/>
      <c r="AD61" s="13"/>
    </row>
    <row r="62" ht="14.4">
      <c r="A62" s="64" t="s">
        <v>39</v>
      </c>
      <c r="B62" s="65" t="s">
        <v>32</v>
      </c>
      <c r="C62" s="65" t="s">
        <v>33</v>
      </c>
      <c r="D62" s="65" t="s">
        <v>32</v>
      </c>
      <c r="E62" s="65" t="s">
        <v>33</v>
      </c>
      <c r="F62" s="65" t="s">
        <v>32</v>
      </c>
      <c r="G62" s="65" t="s">
        <v>33</v>
      </c>
      <c r="H62" s="65" t="s">
        <v>32</v>
      </c>
      <c r="I62" s="65" t="s">
        <v>33</v>
      </c>
      <c r="J62" s="65" t="s">
        <v>32</v>
      </c>
      <c r="K62" s="65" t="s">
        <v>33</v>
      </c>
      <c r="L62" s="66"/>
      <c r="M62" s="66"/>
      <c r="N62" s="66"/>
      <c r="O62" s="66"/>
      <c r="P62" s="68">
        <f t="shared" si="11"/>
        <v>40</v>
      </c>
      <c r="Q62" s="69">
        <f t="shared" si="15"/>
        <v>47</v>
      </c>
      <c r="R62" s="70" t="str">
        <f t="shared" si="12"/>
        <v>Игумнов</v>
      </c>
      <c r="S62" s="76" t="s">
        <v>10</v>
      </c>
      <c r="T62" s="77" t="s">
        <v>9</v>
      </c>
      <c r="U62" s="73">
        <f t="shared" si="16"/>
        <v>0</v>
      </c>
      <c r="V62" s="62">
        <f t="shared" si="17"/>
        <v>0</v>
      </c>
      <c r="W62" s="62"/>
      <c r="X62" s="79" t="s">
        <v>34</v>
      </c>
      <c r="Y62" s="7"/>
      <c r="Z62" s="7"/>
      <c r="AA62" s="7"/>
      <c r="AB62" s="13"/>
      <c r="AC62" s="13"/>
      <c r="AD62" s="13"/>
    </row>
    <row r="63" ht="14.4">
      <c r="A63" s="64" t="s">
        <v>40</v>
      </c>
      <c r="B63" s="65" t="s">
        <v>32</v>
      </c>
      <c r="C63" s="65" t="s">
        <v>33</v>
      </c>
      <c r="D63" s="65" t="s">
        <v>32</v>
      </c>
      <c r="E63" s="65" t="s">
        <v>33</v>
      </c>
      <c r="F63" s="65" t="s">
        <v>32</v>
      </c>
      <c r="G63" s="65" t="s">
        <v>33</v>
      </c>
      <c r="H63" s="65" t="s">
        <v>32</v>
      </c>
      <c r="I63" s="65" t="s">
        <v>33</v>
      </c>
      <c r="J63" s="65" t="s">
        <v>32</v>
      </c>
      <c r="K63" s="65" t="s">
        <v>33</v>
      </c>
      <c r="L63" s="66"/>
      <c r="M63" s="66"/>
      <c r="N63" s="66"/>
      <c r="O63" s="66"/>
      <c r="P63" s="68">
        <f t="shared" si="11"/>
        <v>40</v>
      </c>
      <c r="Q63" s="69">
        <f t="shared" si="15"/>
        <v>47</v>
      </c>
      <c r="R63" s="70" t="str">
        <f t="shared" si="12"/>
        <v>Душин</v>
      </c>
      <c r="S63" s="76" t="s">
        <v>10</v>
      </c>
      <c r="T63" s="77" t="s">
        <v>9</v>
      </c>
      <c r="U63" s="73">
        <f t="shared" si="16"/>
        <v>0</v>
      </c>
      <c r="V63" s="62">
        <f>COUNTIF(U63,C63)+COUNTIF(U63,E63)+COUNTIF(U63,G63)+COUNTIF(U63,I63)+COUNTIF(U63,K63)+COUNTIF(U63,M63)+COUNTIF(U63,O63)</f>
        <v>2</v>
      </c>
      <c r="W63" s="62"/>
      <c r="X63" s="74" t="s">
        <v>38</v>
      </c>
      <c r="Y63" s="7"/>
      <c r="Z63" s="7"/>
      <c r="AA63" s="7"/>
      <c r="AB63" s="13"/>
      <c r="AC63" s="13"/>
      <c r="AD63" s="13"/>
    </row>
    <row r="64" ht="14.4">
      <c r="A64" s="64" t="s">
        <v>42</v>
      </c>
      <c r="B64" s="148" t="s">
        <v>32</v>
      </c>
      <c r="C64" s="148" t="s">
        <v>33</v>
      </c>
      <c r="D64" s="148" t="s">
        <v>32</v>
      </c>
      <c r="E64" s="148" t="s">
        <v>33</v>
      </c>
      <c r="F64" s="148" t="s">
        <v>32</v>
      </c>
      <c r="G64" s="148" t="s">
        <v>33</v>
      </c>
      <c r="H64" s="148" t="s">
        <v>32</v>
      </c>
      <c r="I64" s="148" t="s">
        <v>33</v>
      </c>
      <c r="J64" s="148" t="s">
        <v>32</v>
      </c>
      <c r="K64" s="148" t="s">
        <v>33</v>
      </c>
      <c r="L64" s="108"/>
      <c r="M64" s="108"/>
      <c r="N64" s="108"/>
      <c r="O64" s="108"/>
      <c r="P64" s="68">
        <f t="shared" si="11"/>
        <v>40</v>
      </c>
      <c r="Q64" s="69">
        <f t="shared" si="15"/>
        <v>47</v>
      </c>
      <c r="R64" s="70" t="str">
        <f t="shared" si="12"/>
        <v>Юращик</v>
      </c>
      <c r="S64" s="76" t="s">
        <v>10</v>
      </c>
      <c r="T64" s="77" t="s">
        <v>9</v>
      </c>
      <c r="U64" s="73"/>
      <c r="V64" s="62"/>
      <c r="W64" s="62"/>
      <c r="X64" s="74" t="s">
        <v>38</v>
      </c>
      <c r="Y64" s="7"/>
      <c r="Z64" s="7"/>
      <c r="AA64" s="7"/>
      <c r="AB64" s="13"/>
      <c r="AC64" s="13"/>
      <c r="AD64" s="13"/>
    </row>
    <row r="65" ht="14.4">
      <c r="A65" s="81" t="s">
        <v>43</v>
      </c>
      <c r="B65" s="120"/>
      <c r="C65" s="182" t="s">
        <v>33</v>
      </c>
      <c r="D65" s="120"/>
      <c r="E65" s="182" t="s">
        <v>33</v>
      </c>
      <c r="F65" s="120"/>
      <c r="G65" s="182" t="s">
        <v>33</v>
      </c>
      <c r="H65" s="120"/>
      <c r="I65" s="182" t="s">
        <v>33</v>
      </c>
      <c r="J65" s="120"/>
      <c r="K65" s="182" t="s">
        <v>33</v>
      </c>
      <c r="L65" s="183"/>
      <c r="M65" s="184"/>
      <c r="N65" s="183"/>
      <c r="O65" s="184"/>
      <c r="P65" s="68">
        <f t="shared" si="11"/>
        <v>40</v>
      </c>
      <c r="Q65" s="69">
        <f t="shared" si="15"/>
        <v>31</v>
      </c>
      <c r="R65" s="70" t="s">
        <v>43</v>
      </c>
      <c r="S65" s="71" t="s">
        <v>12</v>
      </c>
      <c r="T65" s="72" t="s">
        <v>11</v>
      </c>
      <c r="U65" s="85">
        <f t="shared" si="16"/>
        <v>0</v>
      </c>
      <c r="V65" s="86">
        <f t="shared" ref="V65:V103" si="18">COUNTIF(S65,B65)+COUNTIF(S65,D65)+COUNTIF(S65,F65)+COUNTIF(S65,H65)+COUNTIF(S65,J65)+COUNTIF(S65,L65)+COUNTIF(S65,N65)</f>
        <v>0</v>
      </c>
      <c r="W65" s="86"/>
      <c r="X65" s="74" t="s">
        <v>44</v>
      </c>
      <c r="Y65" s="80"/>
      <c r="Z65" s="80"/>
      <c r="AA65" s="80"/>
      <c r="AB65" s="13"/>
      <c r="AC65" s="13"/>
      <c r="AD65" s="13"/>
    </row>
    <row r="66" ht="14.4">
      <c r="A66" s="81" t="s">
        <v>45</v>
      </c>
      <c r="B66" s="150"/>
      <c r="C66" s="150"/>
      <c r="D66" s="108"/>
      <c r="E66" s="108"/>
      <c r="F66" s="109"/>
      <c r="G66" s="109"/>
      <c r="H66" s="109"/>
      <c r="I66" s="109"/>
      <c r="J66" s="107"/>
      <c r="K66" s="107" t="s">
        <v>4</v>
      </c>
      <c r="L66" s="107"/>
      <c r="M66" s="107" t="s">
        <v>4</v>
      </c>
      <c r="N66" s="108"/>
      <c r="O66" s="108"/>
      <c r="P66" s="68">
        <f t="shared" si="11"/>
        <v>24</v>
      </c>
      <c r="Q66" s="69">
        <f t="shared" si="15"/>
        <v>41</v>
      </c>
      <c r="R66" s="70" t="str">
        <f t="shared" si="12"/>
        <v>Пузырь</v>
      </c>
      <c r="S66" s="76" t="s">
        <v>10</v>
      </c>
      <c r="T66" s="77" t="s">
        <v>9</v>
      </c>
      <c r="U66" s="73">
        <f t="shared" si="16"/>
        <v>0</v>
      </c>
      <c r="V66" s="62">
        <f t="shared" si="18"/>
        <v>0</v>
      </c>
      <c r="W66" s="62"/>
      <c r="X66" s="74" t="s">
        <v>34</v>
      </c>
      <c r="Y66" s="7"/>
      <c r="Z66" s="7"/>
      <c r="AA66" s="7"/>
      <c r="AB66" s="13"/>
      <c r="AC66" s="13"/>
      <c r="AD66" s="13"/>
    </row>
    <row r="67" ht="14.4">
      <c r="A67" s="81" t="s">
        <v>46</v>
      </c>
      <c r="B67" s="195"/>
      <c r="C67" s="195"/>
      <c r="D67" s="67"/>
      <c r="E67" s="67"/>
      <c r="F67" s="78"/>
      <c r="G67" s="78" t="s">
        <v>4</v>
      </c>
      <c r="H67" s="78"/>
      <c r="I67" s="78" t="s">
        <v>4</v>
      </c>
      <c r="J67" s="66"/>
      <c r="K67" s="66"/>
      <c r="L67" s="67"/>
      <c r="M67" s="67"/>
      <c r="N67" s="83"/>
      <c r="O67" s="83" t="s">
        <v>4</v>
      </c>
      <c r="P67" s="68">
        <f t="shared" si="11"/>
        <v>36</v>
      </c>
      <c r="Q67" s="69">
        <f t="shared" si="15"/>
        <v>39</v>
      </c>
      <c r="R67" s="70" t="str">
        <f t="shared" si="12"/>
        <v>Голышев</v>
      </c>
      <c r="S67" s="76" t="s">
        <v>10</v>
      </c>
      <c r="T67" s="77" t="s">
        <v>9</v>
      </c>
      <c r="U67" s="73">
        <f t="shared" si="16"/>
        <v>0</v>
      </c>
      <c r="V67" s="62">
        <f t="shared" si="18"/>
        <v>0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 ht="14.4">
      <c r="A68" s="81" t="s">
        <v>47</v>
      </c>
      <c r="B68" s="78"/>
      <c r="C68" s="78" t="s">
        <v>4</v>
      </c>
      <c r="D68" s="78"/>
      <c r="E68" s="78" t="s">
        <v>4</v>
      </c>
      <c r="F68" s="82"/>
      <c r="G68" s="82"/>
      <c r="H68" s="67"/>
      <c r="I68" s="66"/>
      <c r="J68" s="83"/>
      <c r="K68" s="83" t="s">
        <v>4</v>
      </c>
      <c r="L68" s="87"/>
      <c r="M68" s="87"/>
      <c r="N68" s="82"/>
      <c r="O68" s="82"/>
      <c r="P68" s="68">
        <f t="shared" si="11"/>
        <v>36</v>
      </c>
      <c r="Q68" s="69">
        <f t="shared" si="15"/>
        <v>55</v>
      </c>
      <c r="R68" s="70" t="str">
        <f t="shared" si="12"/>
        <v>Торубара</v>
      </c>
      <c r="S68" s="76" t="s">
        <v>10</v>
      </c>
      <c r="T68" s="77" t="s">
        <v>9</v>
      </c>
      <c r="U68" s="73">
        <f t="shared" si="16"/>
        <v>0</v>
      </c>
      <c r="V68" s="62">
        <f t="shared" si="18"/>
        <v>0</v>
      </c>
      <c r="W68" s="62"/>
      <c r="X68" s="74" t="s">
        <v>34</v>
      </c>
      <c r="Y68" s="7"/>
      <c r="Z68" s="7"/>
      <c r="AA68" s="7"/>
      <c r="AB68" s="13"/>
      <c r="AC68" s="13"/>
      <c r="AD68" s="13"/>
    </row>
    <row r="69" ht="14.4">
      <c r="A69" s="81" t="s">
        <v>48</v>
      </c>
      <c r="B69" s="120"/>
      <c r="C69" s="120" t="s">
        <v>33</v>
      </c>
      <c r="D69" s="196"/>
      <c r="E69" s="196" t="s">
        <v>33</v>
      </c>
      <c r="F69" s="120"/>
      <c r="G69" s="120" t="s">
        <v>33</v>
      </c>
      <c r="H69" s="120"/>
      <c r="I69" s="120" t="s">
        <v>33</v>
      </c>
      <c r="J69" s="196"/>
      <c r="K69" s="196" t="s">
        <v>33</v>
      </c>
      <c r="L69" s="120"/>
      <c r="M69" s="120"/>
      <c r="N69" s="120"/>
      <c r="O69" s="120"/>
      <c r="P69" s="68">
        <f t="shared" si="11"/>
        <v>40</v>
      </c>
      <c r="Q69" s="69">
        <f t="shared" si="15"/>
        <v>35</v>
      </c>
      <c r="R69" s="70" t="str">
        <f t="shared" si="12"/>
        <v>Стрыгин</v>
      </c>
      <c r="S69" s="71" t="s">
        <v>8</v>
      </c>
      <c r="T69" s="72" t="s">
        <v>7</v>
      </c>
      <c r="U69" s="73">
        <f t="shared" si="16"/>
        <v>0</v>
      </c>
      <c r="V69" s="62">
        <f t="shared" si="18"/>
        <v>0</v>
      </c>
      <c r="W69" s="62"/>
      <c r="X69" s="74" t="s">
        <v>49</v>
      </c>
      <c r="Y69" s="7"/>
      <c r="Z69" s="7"/>
      <c r="AA69" s="7"/>
      <c r="AB69" s="13"/>
      <c r="AC69" s="13"/>
      <c r="AD69" s="13"/>
    </row>
    <row r="70" ht="14.4">
      <c r="A70" s="81" t="s">
        <v>50</v>
      </c>
      <c r="B70" s="82"/>
      <c r="C70" s="82"/>
      <c r="D70" s="66"/>
      <c r="E70" s="66"/>
      <c r="F70" s="83"/>
      <c r="G70" s="83" t="s">
        <v>53</v>
      </c>
      <c r="H70" s="112"/>
      <c r="I70" s="83" t="s">
        <v>4</v>
      </c>
      <c r="J70" s="82"/>
      <c r="K70" s="82"/>
      <c r="L70" s="82"/>
      <c r="M70" s="82"/>
      <c r="N70" s="78"/>
      <c r="O70" s="78" t="s">
        <v>4</v>
      </c>
      <c r="P70" s="68">
        <f t="shared" si="11"/>
        <v>34</v>
      </c>
      <c r="Q70" s="69">
        <f t="shared" si="15"/>
        <v>29</v>
      </c>
      <c r="R70" s="70" t="str">
        <f t="shared" si="12"/>
        <v>Фрик</v>
      </c>
      <c r="S70" s="71" t="s">
        <v>12</v>
      </c>
      <c r="T70" s="72" t="s">
        <v>11</v>
      </c>
      <c r="U70" s="73">
        <f t="shared" si="16"/>
        <v>0</v>
      </c>
      <c r="V70" s="62">
        <f t="shared" si="18"/>
        <v>0</v>
      </c>
      <c r="W70" s="62"/>
      <c r="X70" s="74" t="s">
        <v>44</v>
      </c>
      <c r="Y70" s="7"/>
      <c r="Z70" s="7"/>
      <c r="AA70" s="7"/>
      <c r="AB70" s="13"/>
      <c r="AC70" s="13"/>
      <c r="AD70" s="13"/>
    </row>
    <row r="71" ht="14.4">
      <c r="A71" s="88" t="s">
        <v>51</v>
      </c>
      <c r="B71" s="83"/>
      <c r="C71" s="112" t="s">
        <v>4</v>
      </c>
      <c r="D71" s="83"/>
      <c r="E71" s="83" t="s">
        <v>4</v>
      </c>
      <c r="F71" s="67"/>
      <c r="G71" s="66"/>
      <c r="H71" s="82"/>
      <c r="I71" s="82"/>
      <c r="J71" s="87"/>
      <c r="K71" s="87"/>
      <c r="L71" s="83"/>
      <c r="M71" s="83" t="s">
        <v>4</v>
      </c>
      <c r="N71" s="66"/>
      <c r="O71" s="66"/>
      <c r="P71" s="68">
        <f t="shared" si="11"/>
        <v>36</v>
      </c>
      <c r="Q71" s="69">
        <f t="shared" si="15"/>
        <v>41</v>
      </c>
      <c r="R71" s="70" t="str">
        <f t="shared" si="12"/>
        <v>Истрашкин</v>
      </c>
      <c r="S71" s="71" t="s">
        <v>10</v>
      </c>
      <c r="T71" s="72" t="s">
        <v>9</v>
      </c>
      <c r="U71" s="73">
        <f t="shared" si="16"/>
        <v>0</v>
      </c>
      <c r="V71" s="62">
        <f t="shared" si="18"/>
        <v>0</v>
      </c>
      <c r="W71" s="62"/>
      <c r="X71" s="74" t="s">
        <v>34</v>
      </c>
      <c r="Y71" s="7"/>
      <c r="Z71" s="7"/>
      <c r="AA71" s="7"/>
      <c r="AB71" s="13"/>
      <c r="AC71" s="13"/>
      <c r="AD71" s="13"/>
    </row>
    <row r="72" ht="14.4">
      <c r="A72" s="137"/>
      <c r="B72" s="53">
        <v>46342</v>
      </c>
      <c r="C72" s="53"/>
      <c r="D72" s="53">
        <v>46343</v>
      </c>
      <c r="E72" s="53"/>
      <c r="F72" s="53">
        <v>46344</v>
      </c>
      <c r="G72" s="53"/>
      <c r="H72" s="53">
        <v>46345</v>
      </c>
      <c r="I72" s="53"/>
      <c r="J72" s="53">
        <v>46346</v>
      </c>
      <c r="K72" s="53"/>
      <c r="L72" s="53">
        <v>46347</v>
      </c>
      <c r="M72" s="53"/>
      <c r="N72" s="53">
        <v>46348</v>
      </c>
      <c r="O72" s="192"/>
      <c r="P72" s="152"/>
      <c r="Q72" s="136"/>
      <c r="R72" s="137"/>
      <c r="S72" s="138"/>
      <c r="T72" s="138"/>
      <c r="U72" s="60" t="s">
        <v>27</v>
      </c>
      <c r="V72" s="61" t="s">
        <v>28</v>
      </c>
      <c r="W72" s="62" t="s">
        <v>29</v>
      </c>
      <c r="X72" s="7"/>
      <c r="Y72" s="7"/>
      <c r="Z72" s="7"/>
      <c r="AA72" s="7"/>
      <c r="AB72" s="13"/>
      <c r="AC72" s="13"/>
      <c r="AD72" s="13"/>
    </row>
    <row r="73" ht="14.4">
      <c r="A73" s="139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39"/>
      <c r="Q73" s="127"/>
      <c r="R73" s="139"/>
      <c r="S73" s="139"/>
      <c r="T73" s="139"/>
      <c r="U73" s="127"/>
      <c r="V73" s="127"/>
      <c r="W73" s="128"/>
      <c r="X73" s="7"/>
      <c r="Y73" s="7"/>
      <c r="Z73" s="7"/>
      <c r="AA73" s="7"/>
      <c r="AB73" s="13"/>
      <c r="AC73" s="13"/>
      <c r="AD73" s="13"/>
    </row>
    <row r="74" ht="14.4">
      <c r="A74" s="143"/>
      <c r="B74" s="43" t="s">
        <v>17</v>
      </c>
      <c r="C74" s="142"/>
      <c r="D74" s="43" t="s">
        <v>18</v>
      </c>
      <c r="E74" s="142"/>
      <c r="F74" s="43" t="s">
        <v>19</v>
      </c>
      <c r="G74" s="43"/>
      <c r="H74" s="43" t="s">
        <v>20</v>
      </c>
      <c r="I74" s="142"/>
      <c r="J74" s="45" t="s">
        <v>21</v>
      </c>
      <c r="K74" s="45"/>
      <c r="L74" s="43" t="s">
        <v>22</v>
      </c>
      <c r="M74" s="43"/>
      <c r="N74" s="43" t="s">
        <v>23</v>
      </c>
      <c r="O74" s="43"/>
      <c r="P74" s="47" t="s">
        <v>24</v>
      </c>
      <c r="Q74" s="48"/>
      <c r="R74" s="141"/>
      <c r="S74" s="143"/>
      <c r="T74" s="143"/>
      <c r="U74" s="62"/>
      <c r="V74" s="62"/>
      <c r="W74" s="62"/>
      <c r="X74" s="51"/>
      <c r="Y74" s="7"/>
      <c r="Z74" s="7"/>
      <c r="AA74" s="7"/>
      <c r="AB74" s="13"/>
      <c r="AC74" s="13"/>
      <c r="AD74" s="13"/>
    </row>
    <row r="75" ht="14.4">
      <c r="A75" s="197"/>
      <c r="B75" s="53">
        <v>46349</v>
      </c>
      <c r="C75" s="53"/>
      <c r="D75" s="53">
        <v>46350</v>
      </c>
      <c r="E75" s="53"/>
      <c r="F75" s="53">
        <v>46351</v>
      </c>
      <c r="G75" s="53"/>
      <c r="H75" s="53">
        <v>46352</v>
      </c>
      <c r="I75" s="53"/>
      <c r="J75" s="53">
        <v>46353</v>
      </c>
      <c r="K75" s="53"/>
      <c r="L75" s="53">
        <v>46354</v>
      </c>
      <c r="M75" s="53"/>
      <c r="N75" s="53">
        <v>46355</v>
      </c>
      <c r="O75" s="54"/>
      <c r="P75" s="55" t="s">
        <v>25</v>
      </c>
      <c r="Q75" s="56" t="s">
        <v>26</v>
      </c>
      <c r="R75" s="118"/>
      <c r="S75" s="119"/>
      <c r="T75" s="147"/>
      <c r="U75" s="60" t="s">
        <v>27</v>
      </c>
      <c r="V75" s="61" t="s">
        <v>28</v>
      </c>
      <c r="W75" s="62" t="s">
        <v>29</v>
      </c>
      <c r="X75" s="63" t="s">
        <v>30</v>
      </c>
      <c r="Y75" s="7"/>
      <c r="Z75" s="7"/>
      <c r="AA75" s="7"/>
      <c r="AB75" s="13"/>
      <c r="AC75" s="13"/>
      <c r="AD75" s="13"/>
    </row>
    <row r="76" ht="14.4">
      <c r="A76" s="64" t="s">
        <v>31</v>
      </c>
      <c r="B76" s="65" t="s">
        <v>32</v>
      </c>
      <c r="C76" s="198" t="s">
        <v>33</v>
      </c>
      <c r="D76" s="199" t="s">
        <v>32</v>
      </c>
      <c r="E76" s="198" t="s">
        <v>33</v>
      </c>
      <c r="F76" s="199" t="s">
        <v>32</v>
      </c>
      <c r="G76" s="198" t="s">
        <v>33</v>
      </c>
      <c r="H76" s="199" t="s">
        <v>32</v>
      </c>
      <c r="I76" s="198" t="s">
        <v>33</v>
      </c>
      <c r="J76" s="199" t="s">
        <v>32</v>
      </c>
      <c r="K76" s="198" t="s">
        <v>33</v>
      </c>
      <c r="L76" s="200"/>
      <c r="M76" s="200"/>
      <c r="N76" s="201"/>
      <c r="O76" s="201"/>
      <c r="P76" s="68">
        <f t="shared" ref="P76:P103" si="19">C76+E76+G76+I76+K76+M76+O76</f>
        <v>40</v>
      </c>
      <c r="Q76" s="69">
        <f t="shared" si="15"/>
        <v>7</v>
      </c>
      <c r="R76" s="70" t="str">
        <f t="shared" ref="R76:R103" si="20">A76</f>
        <v>Нетронин</v>
      </c>
      <c r="S76" s="71" t="s">
        <v>10</v>
      </c>
      <c r="T76" s="72" t="s">
        <v>9</v>
      </c>
      <c r="U76" s="73">
        <v>0</v>
      </c>
      <c r="V76" s="62"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ht="14.4">
      <c r="A77" s="202" t="s">
        <v>35</v>
      </c>
      <c r="B77" s="65" t="s">
        <v>32</v>
      </c>
      <c r="C77" s="65" t="s">
        <v>33</v>
      </c>
      <c r="D77" s="65" t="s">
        <v>32</v>
      </c>
      <c r="E77" s="65" t="s">
        <v>33</v>
      </c>
      <c r="F77" s="65" t="s">
        <v>32</v>
      </c>
      <c r="G77" s="65" t="s">
        <v>33</v>
      </c>
      <c r="H77" s="65" t="s">
        <v>32</v>
      </c>
      <c r="I77" s="65" t="s">
        <v>33</v>
      </c>
      <c r="J77" s="65" t="s">
        <v>32</v>
      </c>
      <c r="K77" s="65" t="s">
        <v>33</v>
      </c>
      <c r="L77" s="66"/>
      <c r="M77" s="66"/>
      <c r="N77" s="66"/>
      <c r="O77" s="66"/>
      <c r="P77" s="68">
        <f t="shared" si="19"/>
        <v>40</v>
      </c>
      <c r="Q77" s="69">
        <f t="shared" si="15"/>
        <v>7</v>
      </c>
      <c r="R77" s="70" t="str">
        <f t="shared" si="20"/>
        <v>Рычков</v>
      </c>
      <c r="S77" s="76" t="s">
        <v>10</v>
      </c>
      <c r="T77" s="77" t="s">
        <v>9</v>
      </c>
      <c r="U77" s="73">
        <f t="shared" si="16"/>
        <v>0</v>
      </c>
      <c r="V77" s="62">
        <f t="shared" si="18"/>
        <v>0</v>
      </c>
      <c r="W77" s="62"/>
      <c r="X77" s="74" t="s">
        <v>34</v>
      </c>
      <c r="Y77" s="7"/>
      <c r="Z77" s="7"/>
      <c r="AA77" s="7"/>
      <c r="AB77" s="13"/>
      <c r="AC77" s="13"/>
      <c r="AD77" s="13"/>
    </row>
    <row r="78" ht="14.4">
      <c r="A78" s="203" t="s">
        <v>39</v>
      </c>
      <c r="B78" s="65" t="s">
        <v>32</v>
      </c>
      <c r="C78" s="65" t="s">
        <v>33</v>
      </c>
      <c r="D78" s="65" t="s">
        <v>32</v>
      </c>
      <c r="E78" s="65" t="s">
        <v>33</v>
      </c>
      <c r="F78" s="65" t="s">
        <v>32</v>
      </c>
      <c r="G78" s="65" t="s">
        <v>33</v>
      </c>
      <c r="H78" s="65" t="s">
        <v>32</v>
      </c>
      <c r="I78" s="65" t="s">
        <v>33</v>
      </c>
      <c r="J78" s="65" t="s">
        <v>32</v>
      </c>
      <c r="K78" s="65" t="s">
        <v>33</v>
      </c>
      <c r="L78" s="66"/>
      <c r="M78" s="66"/>
      <c r="N78" s="66"/>
      <c r="O78" s="66"/>
      <c r="P78" s="68">
        <f t="shared" si="19"/>
        <v>40</v>
      </c>
      <c r="Q78" s="69">
        <f t="shared" si="15"/>
        <v>7</v>
      </c>
      <c r="R78" s="70" t="str">
        <f t="shared" si="20"/>
        <v>Игумнов</v>
      </c>
      <c r="S78" s="76" t="s">
        <v>10</v>
      </c>
      <c r="T78" s="77" t="s">
        <v>9</v>
      </c>
      <c r="U78" s="73">
        <f t="shared" si="16"/>
        <v>0</v>
      </c>
      <c r="V78" s="62">
        <f t="shared" si="18"/>
        <v>0</v>
      </c>
      <c r="W78" s="62"/>
      <c r="X78" s="79" t="s">
        <v>34</v>
      </c>
      <c r="Y78" s="7"/>
      <c r="Z78" s="7"/>
      <c r="AA78" s="7"/>
      <c r="AB78" s="13"/>
      <c r="AC78" s="13"/>
      <c r="AD78" s="13"/>
    </row>
    <row r="79" ht="14.4">
      <c r="A79" s="203" t="s">
        <v>40</v>
      </c>
      <c r="B79" s="148" t="s">
        <v>32</v>
      </c>
      <c r="C79" s="148" t="s">
        <v>33</v>
      </c>
      <c r="D79" s="148" t="s">
        <v>32</v>
      </c>
      <c r="E79" s="148" t="s">
        <v>33</v>
      </c>
      <c r="F79" s="65" t="s">
        <v>32</v>
      </c>
      <c r="G79" s="65" t="s">
        <v>33</v>
      </c>
      <c r="H79" s="65" t="s">
        <v>32</v>
      </c>
      <c r="I79" s="65" t="s">
        <v>33</v>
      </c>
      <c r="J79" s="65" t="s">
        <v>32</v>
      </c>
      <c r="K79" s="65" t="s">
        <v>33</v>
      </c>
      <c r="L79" s="66"/>
      <c r="M79" s="66"/>
      <c r="N79" s="66"/>
      <c r="O79" s="66"/>
      <c r="P79" s="68">
        <f t="shared" si="19"/>
        <v>40</v>
      </c>
      <c r="Q79" s="69">
        <f t="shared" si="15"/>
        <v>7</v>
      </c>
      <c r="R79" s="70" t="str">
        <f t="shared" si="20"/>
        <v>Душин</v>
      </c>
      <c r="S79" s="76" t="s">
        <v>10</v>
      </c>
      <c r="T79" s="77" t="s">
        <v>9</v>
      </c>
      <c r="U79" s="73">
        <f t="shared" si="16"/>
        <v>0</v>
      </c>
      <c r="V79" s="62">
        <f t="shared" si="18"/>
        <v>0</v>
      </c>
      <c r="W79" s="62"/>
      <c r="X79" s="74" t="s">
        <v>38</v>
      </c>
      <c r="Y79" s="7"/>
      <c r="Z79" s="7"/>
      <c r="AA79" s="7"/>
      <c r="AB79" s="13"/>
      <c r="AC79" s="13"/>
      <c r="AD79" s="13"/>
    </row>
    <row r="80" ht="14.4">
      <c r="A80" s="203" t="s">
        <v>42</v>
      </c>
      <c r="B80" s="65" t="s">
        <v>32</v>
      </c>
      <c r="C80" s="65" t="s">
        <v>33</v>
      </c>
      <c r="D80" s="65" t="s">
        <v>32</v>
      </c>
      <c r="E80" s="65" t="s">
        <v>33</v>
      </c>
      <c r="F80" s="65" t="s">
        <v>32</v>
      </c>
      <c r="G80" s="65" t="s">
        <v>33</v>
      </c>
      <c r="H80" s="65" t="s">
        <v>32</v>
      </c>
      <c r="I80" s="65" t="s">
        <v>33</v>
      </c>
      <c r="J80" s="65" t="s">
        <v>32</v>
      </c>
      <c r="K80" s="65" t="s">
        <v>33</v>
      </c>
      <c r="L80" s="66"/>
      <c r="M80" s="66"/>
      <c r="N80" s="66"/>
      <c r="O80" s="66"/>
      <c r="P80" s="68">
        <f t="shared" si="19"/>
        <v>40</v>
      </c>
      <c r="Q80" s="69">
        <f t="shared" si="15"/>
        <v>7</v>
      </c>
      <c r="R80" s="70" t="str">
        <f t="shared" si="20"/>
        <v>Юращик</v>
      </c>
      <c r="S80" s="76" t="s">
        <v>10</v>
      </c>
      <c r="T80" s="77" t="s">
        <v>9</v>
      </c>
      <c r="U80" s="73"/>
      <c r="V80" s="62"/>
      <c r="W80" s="62"/>
      <c r="X80" s="74" t="s">
        <v>38</v>
      </c>
      <c r="Y80" s="7"/>
      <c r="Z80" s="7"/>
      <c r="AA80" s="7"/>
      <c r="AB80" s="13"/>
      <c r="AC80" s="13"/>
      <c r="AD80" s="13"/>
    </row>
    <row r="81" ht="14.4">
      <c r="A81" s="204" t="s">
        <v>43</v>
      </c>
      <c r="B81" s="76"/>
      <c r="C81" s="76" t="s">
        <v>4</v>
      </c>
      <c r="D81" s="67"/>
      <c r="E81" s="67"/>
      <c r="F81" s="67"/>
      <c r="G81" s="67"/>
      <c r="H81" s="131"/>
      <c r="I81" s="131">
        <v>12</v>
      </c>
      <c r="J81" s="87"/>
      <c r="K81" s="87"/>
      <c r="L81" s="82"/>
      <c r="M81" s="82"/>
      <c r="N81" s="66"/>
      <c r="O81" s="66"/>
      <c r="P81" s="68">
        <f t="shared" si="19"/>
        <v>24</v>
      </c>
      <c r="Q81" s="69">
        <f t="shared" si="15"/>
        <v>7</v>
      </c>
      <c r="R81" s="70" t="s">
        <v>43</v>
      </c>
      <c r="S81" s="149" t="s">
        <v>12</v>
      </c>
      <c r="T81" s="84" t="s">
        <v>11</v>
      </c>
      <c r="U81" s="85">
        <f t="shared" si="16"/>
        <v>0</v>
      </c>
      <c r="V81" s="86">
        <f t="shared" si="18"/>
        <v>0</v>
      </c>
      <c r="W81" s="86"/>
      <c r="X81" s="74" t="s">
        <v>44</v>
      </c>
      <c r="Y81" s="80"/>
      <c r="Z81" s="80"/>
      <c r="AA81" s="80"/>
      <c r="AB81" s="13"/>
      <c r="AC81" s="13"/>
      <c r="AD81" s="13"/>
    </row>
    <row r="82" ht="14.4">
      <c r="A82" s="205" t="s">
        <v>45</v>
      </c>
      <c r="B82" s="66"/>
      <c r="C82" s="66"/>
      <c r="D82" s="66"/>
      <c r="E82" s="66"/>
      <c r="F82" s="83"/>
      <c r="G82" s="83" t="s">
        <v>4</v>
      </c>
      <c r="H82" s="66"/>
      <c r="I82" s="66"/>
      <c r="J82" s="82"/>
      <c r="K82" s="82"/>
      <c r="L82" s="78"/>
      <c r="M82" s="78" t="s">
        <v>4</v>
      </c>
      <c r="N82" s="78"/>
      <c r="O82" s="78" t="s">
        <v>4</v>
      </c>
      <c r="P82" s="68">
        <f t="shared" si="19"/>
        <v>36</v>
      </c>
      <c r="Q82" s="69">
        <f t="shared" si="15"/>
        <v>5</v>
      </c>
      <c r="R82" s="70" t="str">
        <f t="shared" si="20"/>
        <v>Пузырь</v>
      </c>
      <c r="S82" s="76" t="s">
        <v>10</v>
      </c>
      <c r="T82" s="77" t="s">
        <v>9</v>
      </c>
      <c r="U82" s="73">
        <f t="shared" si="16"/>
        <v>0</v>
      </c>
      <c r="V82" s="62">
        <f t="shared" si="18"/>
        <v>0</v>
      </c>
      <c r="W82" s="62"/>
      <c r="X82" s="74" t="s">
        <v>34</v>
      </c>
      <c r="Y82" s="7"/>
      <c r="Z82" s="7"/>
      <c r="AA82" s="7"/>
      <c r="AB82" s="13"/>
      <c r="AC82" s="13"/>
      <c r="AD82" s="13"/>
    </row>
    <row r="83" ht="14.4">
      <c r="A83" s="205" t="s">
        <v>46</v>
      </c>
      <c r="B83" s="83"/>
      <c r="C83" s="83" t="s">
        <v>33</v>
      </c>
      <c r="D83" s="67"/>
      <c r="E83" s="67"/>
      <c r="F83" s="67"/>
      <c r="G83" s="67"/>
      <c r="H83" s="78"/>
      <c r="I83" s="78" t="s">
        <v>4</v>
      </c>
      <c r="J83" s="78"/>
      <c r="K83" s="78" t="s">
        <v>4</v>
      </c>
      <c r="L83" s="82"/>
      <c r="M83" s="82"/>
      <c r="N83" s="66"/>
      <c r="O83" s="66"/>
      <c r="P83" s="68">
        <f t="shared" si="19"/>
        <v>32</v>
      </c>
      <c r="Q83" s="69">
        <f t="shared" si="15"/>
        <v>7</v>
      </c>
      <c r="R83" s="70" t="str">
        <f t="shared" si="20"/>
        <v>Голышев</v>
      </c>
      <c r="S83" s="76" t="s">
        <v>10</v>
      </c>
      <c r="T83" s="77" t="s">
        <v>9</v>
      </c>
      <c r="U83" s="73">
        <f t="shared" si="16"/>
        <v>0</v>
      </c>
      <c r="V83" s="62">
        <f t="shared" si="18"/>
        <v>0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ht="14.4">
      <c r="A84" s="205" t="s">
        <v>47</v>
      </c>
      <c r="B84" s="67"/>
      <c r="C84" s="67"/>
      <c r="D84" s="78"/>
      <c r="E84" s="78" t="s">
        <v>4</v>
      </c>
      <c r="F84" s="78"/>
      <c r="G84" s="78" t="s">
        <v>4</v>
      </c>
      <c r="H84" s="67"/>
      <c r="I84" s="67"/>
      <c r="J84" s="66"/>
      <c r="K84" s="66"/>
      <c r="L84" s="83"/>
      <c r="M84" s="83" t="s">
        <v>4</v>
      </c>
      <c r="N84" s="83"/>
      <c r="O84" s="83" t="s">
        <v>4</v>
      </c>
      <c r="P84" s="68">
        <f t="shared" si="19"/>
        <v>48</v>
      </c>
      <c r="Q84" s="69">
        <f t="shared" si="15"/>
        <v>7</v>
      </c>
      <c r="R84" s="70" t="str">
        <f t="shared" si="20"/>
        <v>Торубара</v>
      </c>
      <c r="S84" s="76" t="s">
        <v>10</v>
      </c>
      <c r="T84" s="77" t="s">
        <v>9</v>
      </c>
      <c r="U84" s="73">
        <f t="shared" si="16"/>
        <v>0</v>
      </c>
      <c r="V84" s="62">
        <f t="shared" si="18"/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ht="14.4">
      <c r="A85" s="205" t="s">
        <v>48</v>
      </c>
      <c r="B85" s="120"/>
      <c r="C85" s="120" t="s">
        <v>33</v>
      </c>
      <c r="D85" s="120"/>
      <c r="E85" s="120" t="s">
        <v>33</v>
      </c>
      <c r="F85" s="120"/>
      <c r="G85" s="120" t="s">
        <v>33</v>
      </c>
      <c r="H85" s="183"/>
      <c r="I85" s="120" t="s">
        <v>33</v>
      </c>
      <c r="J85" s="196"/>
      <c r="K85" s="196" t="s">
        <v>33</v>
      </c>
      <c r="L85" s="120"/>
      <c r="M85" s="120"/>
      <c r="N85" s="120"/>
      <c r="O85" s="120"/>
      <c r="P85" s="68">
        <f t="shared" si="19"/>
        <v>40</v>
      </c>
      <c r="Q85" s="69">
        <f t="shared" si="15"/>
        <v>-5</v>
      </c>
      <c r="R85" s="70" t="str">
        <f t="shared" si="20"/>
        <v>Стрыгин</v>
      </c>
      <c r="S85" s="71" t="s">
        <v>8</v>
      </c>
      <c r="T85" s="72" t="s">
        <v>7</v>
      </c>
      <c r="U85" s="73">
        <f t="shared" si="16"/>
        <v>0</v>
      </c>
      <c r="V85" s="62">
        <f t="shared" si="18"/>
        <v>0</v>
      </c>
      <c r="W85" s="62"/>
      <c r="X85" s="74" t="s">
        <v>49</v>
      </c>
      <c r="Y85" s="7"/>
      <c r="Z85" s="7"/>
      <c r="AA85" s="7"/>
      <c r="AB85" s="13"/>
      <c r="AC85" s="13"/>
      <c r="AD85" s="13"/>
    </row>
    <row r="86" ht="14.4">
      <c r="A86" s="205" t="s">
        <v>50</v>
      </c>
      <c r="B86" s="78"/>
      <c r="C86" s="78" t="s">
        <v>53</v>
      </c>
      <c r="D86" s="66"/>
      <c r="E86" s="66"/>
      <c r="F86" s="82"/>
      <c r="G86" s="82"/>
      <c r="H86" s="87"/>
      <c r="I86" s="87"/>
      <c r="J86" s="83"/>
      <c r="K86" s="83" t="s">
        <v>4</v>
      </c>
      <c r="L86" s="82"/>
      <c r="M86" s="82"/>
      <c r="N86" s="82"/>
      <c r="O86" s="82"/>
      <c r="P86" s="68">
        <f t="shared" si="19"/>
        <v>22</v>
      </c>
      <c r="Q86" s="69">
        <f t="shared" si="15"/>
        <v>7</v>
      </c>
      <c r="R86" s="70" t="str">
        <f t="shared" si="20"/>
        <v>Фрик</v>
      </c>
      <c r="S86" s="71" t="s">
        <v>12</v>
      </c>
      <c r="T86" s="72" t="s">
        <v>11</v>
      </c>
      <c r="U86" s="73">
        <f t="shared" si="16"/>
        <v>0</v>
      </c>
      <c r="V86" s="62">
        <f t="shared" si="18"/>
        <v>0</v>
      </c>
      <c r="W86" s="62"/>
      <c r="X86" s="74" t="s">
        <v>44</v>
      </c>
      <c r="Y86" s="7"/>
      <c r="Z86" s="7"/>
      <c r="AA86" s="7"/>
      <c r="AB86" s="13"/>
      <c r="AC86" s="13"/>
      <c r="AD86" s="13"/>
    </row>
    <row r="87" ht="14.4">
      <c r="A87" s="206" t="s">
        <v>51</v>
      </c>
      <c r="B87" s="66"/>
      <c r="C87" s="66"/>
      <c r="D87" s="83"/>
      <c r="E87" s="83" t="s">
        <v>53</v>
      </c>
      <c r="F87" s="66"/>
      <c r="G87" s="66"/>
      <c r="H87" s="67"/>
      <c r="I87" s="67"/>
      <c r="J87" s="66"/>
      <c r="K87" s="66"/>
      <c r="L87" s="78"/>
      <c r="M87" s="78" t="s">
        <v>4</v>
      </c>
      <c r="N87" s="78"/>
      <c r="O87" s="78" t="s">
        <v>4</v>
      </c>
      <c r="P87" s="68">
        <f t="shared" si="19"/>
        <v>34</v>
      </c>
      <c r="Q87" s="69">
        <f t="shared" si="15"/>
        <v>7</v>
      </c>
      <c r="R87" s="70" t="str">
        <f t="shared" si="20"/>
        <v>Истрашкин</v>
      </c>
      <c r="S87" s="71" t="s">
        <v>10</v>
      </c>
      <c r="T87" s="72" t="s">
        <v>9</v>
      </c>
      <c r="U87" s="73">
        <f t="shared" si="16"/>
        <v>0</v>
      </c>
      <c r="V87" s="62">
        <f t="shared" si="18"/>
        <v>0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4">
      <c r="A88" s="207"/>
      <c r="B88" s="53">
        <v>46349</v>
      </c>
      <c r="C88" s="53"/>
      <c r="D88" s="53">
        <v>46350</v>
      </c>
      <c r="E88" s="53"/>
      <c r="F88" s="53">
        <v>46351</v>
      </c>
      <c r="G88" s="53"/>
      <c r="H88" s="53">
        <v>46352</v>
      </c>
      <c r="I88" s="53"/>
      <c r="J88" s="53">
        <v>46353</v>
      </c>
      <c r="K88" s="53"/>
      <c r="L88" s="53">
        <v>46354</v>
      </c>
      <c r="M88" s="53"/>
      <c r="N88" s="53">
        <v>46355</v>
      </c>
      <c r="O88" s="54"/>
      <c r="P88" s="152"/>
      <c r="Q88" s="136"/>
      <c r="R88" s="137"/>
      <c r="S88" s="138"/>
      <c r="T88" s="138"/>
      <c r="U88" s="60" t="s">
        <v>27</v>
      </c>
      <c r="V88" s="61" t="s">
        <v>28</v>
      </c>
      <c r="W88" s="62" t="s">
        <v>29</v>
      </c>
      <c r="X88" s="7"/>
      <c r="Y88" s="7"/>
      <c r="Z88" s="7"/>
      <c r="AA88" s="7"/>
      <c r="AB88" s="13"/>
      <c r="AC88" s="13"/>
      <c r="AD88" s="13"/>
    </row>
    <row r="89" ht="14.4">
      <c r="A89" s="139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39"/>
      <c r="Q89" s="127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 s="21" customFormat="1" ht="14.4">
      <c r="A90" s="143"/>
      <c r="B90" s="43" t="s">
        <v>17</v>
      </c>
      <c r="C90" s="142"/>
      <c r="D90" s="43" t="s">
        <v>18</v>
      </c>
      <c r="E90" s="142"/>
      <c r="F90" s="43" t="s">
        <v>19</v>
      </c>
      <c r="G90" s="43"/>
      <c r="H90" s="43" t="s">
        <v>20</v>
      </c>
      <c r="I90" s="142"/>
      <c r="J90" s="45" t="s">
        <v>21</v>
      </c>
      <c r="K90" s="45"/>
      <c r="L90" s="43" t="s">
        <v>22</v>
      </c>
      <c r="M90" s="43"/>
      <c r="N90" s="43" t="s">
        <v>23</v>
      </c>
      <c r="O90" s="43"/>
      <c r="P90" s="47" t="s">
        <v>24</v>
      </c>
      <c r="Q90" s="48"/>
      <c r="R90" s="141"/>
      <c r="S90" s="143"/>
      <c r="T90" s="143"/>
      <c r="U90" s="62"/>
      <c r="V90" s="62"/>
      <c r="W90" s="62"/>
      <c r="X90" s="51"/>
      <c r="Y90" s="7"/>
      <c r="Z90" s="7"/>
      <c r="AA90" s="7"/>
      <c r="AB90" s="13"/>
      <c r="AC90" s="13"/>
      <c r="AD90" s="13"/>
    </row>
    <row r="91" s="21" customFormat="1" ht="14.4">
      <c r="A91" s="197"/>
      <c r="B91" s="53">
        <v>46356</v>
      </c>
      <c r="C91" s="53"/>
      <c r="D91" s="53">
        <v>46357</v>
      </c>
      <c r="E91" s="53"/>
      <c r="F91" s="53">
        <v>46358</v>
      </c>
      <c r="G91" s="53"/>
      <c r="H91" s="53">
        <v>46359</v>
      </c>
      <c r="I91" s="53"/>
      <c r="J91" s="53">
        <v>46360</v>
      </c>
      <c r="K91" s="53"/>
      <c r="L91" s="53">
        <v>46361</v>
      </c>
      <c r="M91" s="53"/>
      <c r="N91" s="53">
        <v>46362</v>
      </c>
      <c r="O91" s="54"/>
      <c r="P91" s="55" t="s">
        <v>25</v>
      </c>
      <c r="Q91" s="56" t="s">
        <v>26</v>
      </c>
      <c r="R91" s="118"/>
      <c r="S91" s="119"/>
      <c r="T91" s="147"/>
      <c r="U91" s="60" t="s">
        <v>27</v>
      </c>
      <c r="V91" s="61" t="s">
        <v>28</v>
      </c>
      <c r="W91" s="62" t="s">
        <v>29</v>
      </c>
      <c r="X91" s="63" t="s">
        <v>30</v>
      </c>
      <c r="Y91" s="7"/>
      <c r="Z91" s="7"/>
      <c r="AA91" s="7"/>
      <c r="AB91" s="13"/>
      <c r="AC91" s="13"/>
      <c r="AD91" s="13"/>
    </row>
    <row r="92" s="21" customFormat="1" ht="14.4">
      <c r="A92" s="64" t="s">
        <v>31</v>
      </c>
      <c r="B92" s="65" t="s">
        <v>32</v>
      </c>
      <c r="C92" s="198" t="s">
        <v>33</v>
      </c>
      <c r="D92" s="199"/>
      <c r="E92" s="198"/>
      <c r="F92" s="199"/>
      <c r="G92" s="198"/>
      <c r="H92" s="199"/>
      <c r="I92" s="198"/>
      <c r="J92" s="199"/>
      <c r="K92" s="198"/>
      <c r="L92" s="200"/>
      <c r="M92" s="200"/>
      <c r="N92" s="201"/>
      <c r="O92" s="201"/>
      <c r="P92" s="68">
        <f t="shared" si="19"/>
        <v>8</v>
      </c>
      <c r="Q92" s="69">
        <f t="shared" ref="Q92:Q103" si="21">Q76-P92</f>
        <v>-1</v>
      </c>
      <c r="R92" s="70" t="str">
        <f t="shared" si="20"/>
        <v>Нетронин</v>
      </c>
      <c r="S92" s="71" t="s">
        <v>10</v>
      </c>
      <c r="T92" s="72" t="s">
        <v>9</v>
      </c>
      <c r="U92" s="73">
        <v>0</v>
      </c>
      <c r="V92" s="62"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s="21" customFormat="1" ht="14.4">
      <c r="A93" s="202" t="s">
        <v>35</v>
      </c>
      <c r="B93" s="65" t="s">
        <v>32</v>
      </c>
      <c r="C93" s="65" t="s">
        <v>33</v>
      </c>
      <c r="D93" s="65"/>
      <c r="E93" s="65"/>
      <c r="F93" s="65"/>
      <c r="G93" s="65"/>
      <c r="H93" s="65"/>
      <c r="I93" s="65"/>
      <c r="J93" s="65"/>
      <c r="K93" s="65"/>
      <c r="L93" s="66"/>
      <c r="M93" s="66"/>
      <c r="N93" s="66"/>
      <c r="O93" s="66"/>
      <c r="P93" s="68">
        <f t="shared" si="19"/>
        <v>8</v>
      </c>
      <c r="Q93" s="69">
        <f t="shared" si="21"/>
        <v>-1</v>
      </c>
      <c r="R93" s="70" t="str">
        <f t="shared" si="20"/>
        <v>Рычков</v>
      </c>
      <c r="S93" s="76" t="s">
        <v>10</v>
      </c>
      <c r="T93" s="77" t="s">
        <v>9</v>
      </c>
      <c r="U93" s="73">
        <f t="shared" si="16"/>
        <v>0</v>
      </c>
      <c r="V93" s="62">
        <f t="shared" si="18"/>
        <v>0</v>
      </c>
      <c r="W93" s="62"/>
      <c r="X93" s="74" t="s">
        <v>34</v>
      </c>
      <c r="Y93" s="7"/>
      <c r="Z93" s="7"/>
      <c r="AA93" s="7"/>
      <c r="AB93" s="13"/>
      <c r="AC93" s="13"/>
      <c r="AD93" s="13"/>
    </row>
    <row r="94" s="21" customFormat="1" ht="14.4">
      <c r="A94" s="203" t="s">
        <v>39</v>
      </c>
      <c r="B94" s="65" t="s">
        <v>32</v>
      </c>
      <c r="C94" s="65" t="s">
        <v>33</v>
      </c>
      <c r="D94" s="65"/>
      <c r="E94" s="65"/>
      <c r="F94" s="65"/>
      <c r="G94" s="65"/>
      <c r="H94" s="65"/>
      <c r="I94" s="65"/>
      <c r="J94" s="65"/>
      <c r="K94" s="65"/>
      <c r="L94" s="66"/>
      <c r="M94" s="66"/>
      <c r="N94" s="66"/>
      <c r="O94" s="66"/>
      <c r="P94" s="68">
        <f t="shared" si="19"/>
        <v>8</v>
      </c>
      <c r="Q94" s="69">
        <f t="shared" si="21"/>
        <v>-1</v>
      </c>
      <c r="R94" s="70" t="str">
        <f t="shared" si="20"/>
        <v>Игумнов</v>
      </c>
      <c r="S94" s="76" t="s">
        <v>10</v>
      </c>
      <c r="T94" s="77" t="s">
        <v>9</v>
      </c>
      <c r="U94" s="73">
        <f t="shared" si="16"/>
        <v>0</v>
      </c>
      <c r="V94" s="62">
        <f t="shared" si="18"/>
        <v>0</v>
      </c>
      <c r="W94" s="62"/>
      <c r="X94" s="79" t="s">
        <v>34</v>
      </c>
      <c r="Y94" s="7"/>
      <c r="Z94" s="7"/>
      <c r="AA94" s="7"/>
      <c r="AB94" s="13"/>
      <c r="AC94" s="13"/>
      <c r="AD94" s="13"/>
    </row>
    <row r="95" s="21" customFormat="1" ht="14.4">
      <c r="A95" s="203" t="s">
        <v>40</v>
      </c>
      <c r="B95" s="65" t="s">
        <v>32</v>
      </c>
      <c r="C95" s="65" t="s">
        <v>33</v>
      </c>
      <c r="D95" s="65"/>
      <c r="E95" s="65"/>
      <c r="F95" s="65"/>
      <c r="G95" s="65"/>
      <c r="H95" s="65"/>
      <c r="I95" s="65"/>
      <c r="J95" s="65"/>
      <c r="K95" s="65"/>
      <c r="L95" s="66"/>
      <c r="M95" s="66"/>
      <c r="N95" s="66"/>
      <c r="O95" s="66"/>
      <c r="P95" s="68">
        <f t="shared" si="19"/>
        <v>8</v>
      </c>
      <c r="Q95" s="69">
        <f t="shared" si="21"/>
        <v>-1</v>
      </c>
      <c r="R95" s="70" t="str">
        <f t="shared" si="20"/>
        <v>Душин</v>
      </c>
      <c r="S95" s="76" t="s">
        <v>10</v>
      </c>
      <c r="T95" s="77" t="s">
        <v>9</v>
      </c>
      <c r="U95" s="73">
        <f t="shared" si="16"/>
        <v>0</v>
      </c>
      <c r="V95" s="62">
        <f t="shared" si="18"/>
        <v>0</v>
      </c>
      <c r="W95" s="62"/>
      <c r="X95" s="74" t="s">
        <v>38</v>
      </c>
      <c r="Y95" s="7"/>
      <c r="Z95" s="7"/>
      <c r="AA95" s="7"/>
      <c r="AB95" s="13"/>
      <c r="AC95" s="13"/>
      <c r="AD95" s="13"/>
    </row>
    <row r="96" s="21" customFormat="1" ht="14.4">
      <c r="A96" s="203" t="s">
        <v>42</v>
      </c>
      <c r="B96" s="65" t="s">
        <v>32</v>
      </c>
      <c r="C96" s="65" t="s">
        <v>33</v>
      </c>
      <c r="D96" s="65"/>
      <c r="E96" s="65"/>
      <c r="F96" s="65"/>
      <c r="G96" s="65"/>
      <c r="H96" s="65"/>
      <c r="I96" s="65"/>
      <c r="J96" s="65"/>
      <c r="K96" s="65"/>
      <c r="L96" s="66"/>
      <c r="M96" s="66"/>
      <c r="N96" s="66"/>
      <c r="O96" s="66"/>
      <c r="P96" s="68">
        <f t="shared" si="19"/>
        <v>8</v>
      </c>
      <c r="Q96" s="69">
        <f t="shared" si="21"/>
        <v>-1</v>
      </c>
      <c r="R96" s="70" t="str">
        <f t="shared" si="20"/>
        <v>Юращик</v>
      </c>
      <c r="S96" s="76" t="s">
        <v>10</v>
      </c>
      <c r="T96" s="77" t="s">
        <v>9</v>
      </c>
      <c r="U96" s="73"/>
      <c r="V96" s="62"/>
      <c r="W96" s="62"/>
      <c r="X96" s="74" t="s">
        <v>38</v>
      </c>
      <c r="Y96" s="7"/>
      <c r="Z96" s="7"/>
      <c r="AA96" s="7"/>
      <c r="AB96" s="13"/>
      <c r="AC96" s="13"/>
      <c r="AD96" s="13"/>
    </row>
    <row r="97" s="21" customFormat="1" ht="14.4">
      <c r="A97" s="204" t="s">
        <v>43</v>
      </c>
      <c r="B97" s="76"/>
      <c r="C97" s="76" t="s">
        <v>4</v>
      </c>
      <c r="D97" s="67"/>
      <c r="E97" s="67"/>
      <c r="F97" s="67"/>
      <c r="G97" s="67"/>
      <c r="H97" s="131"/>
      <c r="I97" s="131"/>
      <c r="J97" s="87"/>
      <c r="K97" s="87"/>
      <c r="L97" s="82"/>
      <c r="M97" s="82"/>
      <c r="N97" s="66"/>
      <c r="O97" s="66"/>
      <c r="P97" s="68">
        <f t="shared" si="19"/>
        <v>12</v>
      </c>
      <c r="Q97" s="69">
        <f t="shared" si="21"/>
        <v>-5</v>
      </c>
      <c r="R97" s="70" t="s">
        <v>43</v>
      </c>
      <c r="S97" s="149" t="s">
        <v>12</v>
      </c>
      <c r="T97" s="84" t="s">
        <v>11</v>
      </c>
      <c r="U97" s="85">
        <f t="shared" ref="U96:U103" si="22">COUNTIF(T97,B97)+COUNTIF(T97,D97)+COUNTIF(T97,F97)+COUNTIF(T97,H97)+COUNTIF(T97,J97)+COUNTIF(T97,L97)+COUNTIF(T97,N97)</f>
        <v>0</v>
      </c>
      <c r="V97" s="86">
        <f t="shared" si="18"/>
        <v>0</v>
      </c>
      <c r="W97" s="86"/>
      <c r="X97" s="74" t="s">
        <v>44</v>
      </c>
      <c r="Y97" s="80"/>
      <c r="Z97" s="80"/>
      <c r="AA97" s="80"/>
      <c r="AB97" s="13"/>
      <c r="AC97" s="13"/>
      <c r="AD97" s="13"/>
    </row>
    <row r="98" s="21" customFormat="1" ht="14.4">
      <c r="A98" s="205" t="s">
        <v>45</v>
      </c>
      <c r="B98" s="66"/>
      <c r="C98" s="66"/>
      <c r="D98" s="66"/>
      <c r="E98" s="66"/>
      <c r="F98" s="83"/>
      <c r="G98" s="83"/>
      <c r="H98" s="66"/>
      <c r="I98" s="66"/>
      <c r="J98" s="82"/>
      <c r="K98" s="82"/>
      <c r="L98" s="78"/>
      <c r="M98" s="78"/>
      <c r="N98" s="78"/>
      <c r="O98" s="78"/>
      <c r="P98" s="68">
        <f t="shared" si="19"/>
        <v>0</v>
      </c>
      <c r="Q98" s="69">
        <f t="shared" si="21"/>
        <v>5</v>
      </c>
      <c r="R98" s="70" t="str">
        <f t="shared" si="20"/>
        <v>Пузырь</v>
      </c>
      <c r="S98" s="76" t="s">
        <v>10</v>
      </c>
      <c r="T98" s="77" t="s">
        <v>9</v>
      </c>
      <c r="U98" s="73">
        <f t="shared" si="22"/>
        <v>0</v>
      </c>
      <c r="V98" s="62">
        <f t="shared" si="18"/>
        <v>0</v>
      </c>
      <c r="W98" s="62"/>
      <c r="X98" s="74" t="s">
        <v>34</v>
      </c>
      <c r="Y98" s="7"/>
      <c r="Z98" s="7"/>
      <c r="AA98" s="7"/>
      <c r="AB98" s="13"/>
      <c r="AC98" s="13"/>
      <c r="AD98" s="13"/>
    </row>
    <row r="99" s="21" customFormat="1" ht="14.4">
      <c r="A99" s="205" t="s">
        <v>46</v>
      </c>
      <c r="B99" s="83"/>
      <c r="C99" s="83" t="s">
        <v>33</v>
      </c>
      <c r="D99" s="67"/>
      <c r="E99" s="67"/>
      <c r="F99" s="67"/>
      <c r="G99" s="67"/>
      <c r="H99" s="78"/>
      <c r="I99" s="78"/>
      <c r="J99" s="78"/>
      <c r="K99" s="78"/>
      <c r="L99" s="82"/>
      <c r="M99" s="82"/>
      <c r="N99" s="66"/>
      <c r="O99" s="66"/>
      <c r="P99" s="68">
        <f t="shared" si="19"/>
        <v>8</v>
      </c>
      <c r="Q99" s="69">
        <f t="shared" si="21"/>
        <v>-1</v>
      </c>
      <c r="R99" s="70" t="str">
        <f t="shared" si="20"/>
        <v>Голышев</v>
      </c>
      <c r="S99" s="76" t="s">
        <v>10</v>
      </c>
      <c r="T99" s="77" t="s">
        <v>9</v>
      </c>
      <c r="U99" s="73">
        <f t="shared" si="22"/>
        <v>0</v>
      </c>
      <c r="V99" s="62">
        <f t="shared" si="18"/>
        <v>0</v>
      </c>
      <c r="W99" s="62"/>
      <c r="X99" s="74" t="s">
        <v>34</v>
      </c>
      <c r="Y99" s="7"/>
      <c r="Z99" s="7"/>
      <c r="AA99" s="7"/>
      <c r="AB99" s="13"/>
      <c r="AC99" s="13"/>
      <c r="AD99" s="13"/>
    </row>
    <row r="100" s="21" customFormat="1" ht="14.4">
      <c r="A100" s="205" t="s">
        <v>47</v>
      </c>
      <c r="B100" s="67"/>
      <c r="C100" s="67"/>
      <c r="D100" s="78"/>
      <c r="E100" s="78"/>
      <c r="F100" s="78"/>
      <c r="G100" s="78"/>
      <c r="H100" s="67"/>
      <c r="I100" s="67"/>
      <c r="J100" s="66"/>
      <c r="K100" s="66"/>
      <c r="L100" s="83"/>
      <c r="M100" s="83"/>
      <c r="N100" s="83"/>
      <c r="O100" s="83"/>
      <c r="P100" s="68">
        <f t="shared" si="19"/>
        <v>0</v>
      </c>
      <c r="Q100" s="69">
        <f t="shared" si="21"/>
        <v>7</v>
      </c>
      <c r="R100" s="70" t="str">
        <f t="shared" si="20"/>
        <v>Торубара</v>
      </c>
      <c r="S100" s="76" t="s">
        <v>10</v>
      </c>
      <c r="T100" s="77" t="s">
        <v>9</v>
      </c>
      <c r="U100" s="73">
        <f t="shared" si="22"/>
        <v>0</v>
      </c>
      <c r="V100" s="62">
        <f t="shared" si="18"/>
        <v>0</v>
      </c>
      <c r="W100" s="62"/>
      <c r="X100" s="74" t="s">
        <v>34</v>
      </c>
      <c r="Y100" s="7"/>
      <c r="Z100" s="7"/>
      <c r="AA100" s="7"/>
      <c r="AB100" s="13"/>
      <c r="AC100" s="13"/>
      <c r="AD100" s="13"/>
    </row>
    <row r="101" s="21" customFormat="1" ht="14.4">
      <c r="A101" s="205" t="s">
        <v>48</v>
      </c>
      <c r="B101" s="120"/>
      <c r="C101" s="120" t="s">
        <v>33</v>
      </c>
      <c r="D101" s="120"/>
      <c r="E101" s="120"/>
      <c r="F101" s="120"/>
      <c r="G101" s="120"/>
      <c r="H101" s="183"/>
      <c r="I101" s="120"/>
      <c r="J101" s="196"/>
      <c r="K101" s="196"/>
      <c r="L101" s="120"/>
      <c r="M101" s="120"/>
      <c r="N101" s="120"/>
      <c r="O101" s="120"/>
      <c r="P101" s="68">
        <f t="shared" si="19"/>
        <v>8</v>
      </c>
      <c r="Q101" s="69">
        <f t="shared" si="21"/>
        <v>-13</v>
      </c>
      <c r="R101" s="70" t="str">
        <f t="shared" si="20"/>
        <v>Стрыгин</v>
      </c>
      <c r="S101" s="71" t="s">
        <v>8</v>
      </c>
      <c r="T101" s="72" t="s">
        <v>7</v>
      </c>
      <c r="U101" s="73">
        <f t="shared" si="22"/>
        <v>0</v>
      </c>
      <c r="V101" s="62">
        <f t="shared" si="18"/>
        <v>0</v>
      </c>
      <c r="W101" s="62"/>
      <c r="X101" s="74" t="s">
        <v>49</v>
      </c>
      <c r="Y101" s="7"/>
      <c r="Z101" s="7"/>
      <c r="AA101" s="7"/>
      <c r="AB101" s="13"/>
      <c r="AC101" s="13"/>
      <c r="AD101" s="13"/>
    </row>
    <row r="102" s="21" customFormat="1" ht="14.4">
      <c r="A102" s="205" t="s">
        <v>50</v>
      </c>
      <c r="B102" s="78"/>
      <c r="C102" s="78" t="s">
        <v>53</v>
      </c>
      <c r="D102" s="66"/>
      <c r="E102" s="66"/>
      <c r="F102" s="82"/>
      <c r="G102" s="82"/>
      <c r="H102" s="87"/>
      <c r="I102" s="87"/>
      <c r="J102" s="83"/>
      <c r="K102" s="83"/>
      <c r="L102" s="82"/>
      <c r="M102" s="82"/>
      <c r="N102" s="82"/>
      <c r="O102" s="82"/>
      <c r="P102" s="68">
        <f t="shared" si="19"/>
        <v>10</v>
      </c>
      <c r="Q102" s="69">
        <f t="shared" si="21"/>
        <v>-3</v>
      </c>
      <c r="R102" s="70" t="str">
        <f t="shared" si="20"/>
        <v>Фрик</v>
      </c>
      <c r="S102" s="71" t="s">
        <v>12</v>
      </c>
      <c r="T102" s="72" t="s">
        <v>11</v>
      </c>
      <c r="U102" s="73">
        <f t="shared" si="22"/>
        <v>0</v>
      </c>
      <c r="V102" s="62">
        <f t="shared" si="18"/>
        <v>0</v>
      </c>
      <c r="W102" s="62"/>
      <c r="X102" s="74" t="s">
        <v>44</v>
      </c>
      <c r="Y102" s="7"/>
      <c r="Z102" s="7"/>
      <c r="AA102" s="7"/>
      <c r="AB102" s="13"/>
      <c r="AC102" s="13"/>
      <c r="AD102" s="13"/>
    </row>
    <row r="103" s="21" customFormat="1" ht="14.4">
      <c r="A103" s="206" t="s">
        <v>51</v>
      </c>
      <c r="B103" s="66"/>
      <c r="C103" s="66"/>
      <c r="D103" s="83"/>
      <c r="E103" s="83"/>
      <c r="F103" s="66"/>
      <c r="G103" s="66"/>
      <c r="H103" s="67"/>
      <c r="I103" s="67"/>
      <c r="J103" s="66"/>
      <c r="K103" s="66"/>
      <c r="L103" s="78"/>
      <c r="M103" s="78"/>
      <c r="N103" s="78"/>
      <c r="O103" s="78"/>
      <c r="P103" s="68">
        <f t="shared" si="19"/>
        <v>0</v>
      </c>
      <c r="Q103" s="69">
        <f t="shared" si="21"/>
        <v>7</v>
      </c>
      <c r="R103" s="70" t="str">
        <f t="shared" si="20"/>
        <v>Истрашкин</v>
      </c>
      <c r="S103" s="71" t="s">
        <v>10</v>
      </c>
      <c r="T103" s="72" t="s">
        <v>9</v>
      </c>
      <c r="U103" s="73">
        <f t="shared" si="22"/>
        <v>0</v>
      </c>
      <c r="V103" s="62">
        <f t="shared" si="18"/>
        <v>0</v>
      </c>
      <c r="W103" s="62"/>
      <c r="X103" s="74" t="s">
        <v>34</v>
      </c>
      <c r="Y103" s="7"/>
      <c r="Z103" s="7"/>
      <c r="AA103" s="7"/>
      <c r="AB103" s="13"/>
      <c r="AC103" s="13"/>
      <c r="AD103" s="13"/>
    </row>
    <row r="104" s="21" customFormat="1" ht="14.4">
      <c r="A104" s="207"/>
      <c r="B104" s="53">
        <v>46356</v>
      </c>
      <c r="C104" s="53"/>
      <c r="D104" s="53">
        <v>46357</v>
      </c>
      <c r="E104" s="53"/>
      <c r="F104" s="53">
        <v>46358</v>
      </c>
      <c r="G104" s="53"/>
      <c r="H104" s="53">
        <v>46359</v>
      </c>
      <c r="I104" s="53"/>
      <c r="J104" s="53">
        <v>46360</v>
      </c>
      <c r="K104" s="53"/>
      <c r="L104" s="53">
        <v>46361</v>
      </c>
      <c r="M104" s="53"/>
      <c r="N104" s="53">
        <v>46362</v>
      </c>
      <c r="O104" s="54"/>
      <c r="P104" s="152"/>
      <c r="Q104" s="136"/>
      <c r="R104" s="137"/>
      <c r="S104" s="138"/>
      <c r="T104" s="138"/>
      <c r="U104" s="60" t="s">
        <v>27</v>
      </c>
      <c r="V104" s="61" t="s">
        <v>28</v>
      </c>
      <c r="W104" s="62" t="s">
        <v>29</v>
      </c>
      <c r="X104" s="7"/>
      <c r="Y104" s="7"/>
      <c r="Z104" s="7"/>
      <c r="AA104" s="7"/>
      <c r="AB104" s="13"/>
      <c r="AC104" s="13"/>
      <c r="AD104" s="13"/>
    </row>
    <row r="105" s="21" customFormat="1" ht="14.4">
      <c r="A105" s="139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39"/>
      <c r="Q105" s="127"/>
      <c r="R105" s="139"/>
      <c r="S105" s="139"/>
      <c r="T105" s="139"/>
      <c r="U105" s="127"/>
      <c r="V105" s="127"/>
      <c r="W105" s="128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21"/>
      <c r="Y643" s="7"/>
      <c r="Z643" s="7"/>
      <c r="AA643" s="7"/>
      <c r="AB643" s="13"/>
      <c r="AC643" s="13"/>
      <c r="AD643" s="13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154"/>
      <c r="R644" s="21"/>
      <c r="S644" s="21"/>
      <c r="T644" s="21"/>
      <c r="U644" s="154"/>
      <c r="V644" s="154"/>
      <c r="W644" s="154"/>
      <c r="X644" s="21"/>
      <c r="Y644" s="21"/>
      <c r="Z644" s="21"/>
      <c r="AA644" s="21"/>
      <c r="AB644" s="21"/>
      <c r="AC644" s="21"/>
      <c r="AD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54"/>
      <c r="R645" s="21"/>
      <c r="S645" s="21"/>
      <c r="T645" s="21"/>
      <c r="U645" s="154"/>
      <c r="V645" s="154"/>
      <c r="W645" s="154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54"/>
      <c r="R646" s="21"/>
      <c r="S646" s="21"/>
      <c r="T646" s="21"/>
      <c r="U646" s="154"/>
      <c r="V646" s="154"/>
      <c r="W646" s="154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54"/>
      <c r="R647" s="21"/>
      <c r="S647" s="21"/>
      <c r="T647" s="21"/>
      <c r="U647" s="154"/>
      <c r="V647" s="154"/>
      <c r="W647" s="154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</sheetData>
  <mergeCells count="15">
    <mergeCell ref="A41:Q41"/>
    <mergeCell ref="P42:Q42"/>
    <mergeCell ref="P58:Q58"/>
    <mergeCell ref="P74:Q74"/>
    <mergeCell ref="P90:Q90"/>
    <mergeCell ref="A9:Q9"/>
    <mergeCell ref="U9:V9"/>
    <mergeCell ref="P10:Q10"/>
    <mergeCell ref="A25:Q25"/>
    <mergeCell ref="P26:Q26"/>
    <mergeCell ref="F1:J1"/>
    <mergeCell ref="F2:K5"/>
    <mergeCell ref="N6:P7"/>
    <mergeCell ref="F7:J7"/>
    <mergeCell ref="L1:N5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8" zoomScale="100" workbookViewId="0">
      <selection activeCell="L78" activeCellId="0" sqref="L78"/>
    </sheetView>
  </sheetViews>
  <sheetFormatPr defaultRowHeight="13.800000000000001"/>
  <cols>
    <col customWidth="1" min="1" max="1" width="14"/>
    <col customWidth="1" min="2" max="2" width="12.88671875"/>
    <col customWidth="1" min="3" max="3" width="5.5546875"/>
    <col customWidth="1" min="4" max="4" width="12.33203125"/>
    <col customWidth="1" min="5" max="5" width="5.5546875"/>
    <col customWidth="1" min="6" max="6" width="12.109375"/>
    <col customWidth="1" min="7" max="7" width="5.5546875"/>
    <col customWidth="1" min="8" max="8" width="11.109375"/>
    <col customWidth="1" min="9" max="9" width="5.5546875"/>
    <col customWidth="1" min="10" max="10" width="11.6640625"/>
    <col customWidth="1" min="11" max="11" width="5.5546875"/>
    <col customWidth="1" min="12" max="12" width="11.44140625"/>
    <col customWidth="1" min="13" max="13" width="5.5546875"/>
    <col customWidth="1" min="14" max="14" width="12.5546875"/>
    <col customWidth="1" min="15" max="16" width="5.5546875"/>
    <col customWidth="1" min="17" max="17" width="7.88671875"/>
    <col customWidth="1" min="18" max="18" width="12.6640625"/>
  </cols>
  <sheetData>
    <row r="1" s="21" customFormat="1" ht="14.4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4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4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4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4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4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4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399999999999999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4">
      <c r="A10" s="49"/>
      <c r="B10" s="43" t="s">
        <v>17</v>
      </c>
      <c r="C10" s="44"/>
      <c r="D10" s="43" t="s">
        <v>18</v>
      </c>
      <c r="E10" s="44"/>
      <c r="F10" s="43" t="s">
        <v>19</v>
      </c>
      <c r="G10" s="44"/>
      <c r="H10" s="43" t="s">
        <v>20</v>
      </c>
      <c r="I10" s="44"/>
      <c r="J10" s="45" t="s">
        <v>21</v>
      </c>
      <c r="K10" s="46"/>
      <c r="L10" s="43" t="s">
        <v>22</v>
      </c>
      <c r="M10" s="44"/>
      <c r="N10" s="43" t="s">
        <v>23</v>
      </c>
      <c r="O10" s="44"/>
      <c r="P10" s="208" t="s">
        <v>24</v>
      </c>
      <c r="Q10" s="209"/>
      <c r="R10" s="49">
        <v>176</v>
      </c>
      <c r="S10" s="49"/>
      <c r="T10" s="49"/>
      <c r="U10" s="50">
        <v>176</v>
      </c>
      <c r="V10" s="50"/>
      <c r="W10" s="50"/>
      <c r="X10" s="51"/>
      <c r="Y10" s="7"/>
      <c r="Z10" s="7"/>
      <c r="AA10" s="7"/>
      <c r="AB10" s="13"/>
      <c r="AC10" s="13"/>
      <c r="AD10" s="13"/>
    </row>
    <row r="11" ht="14.4">
      <c r="A11" s="143"/>
      <c r="B11" s="210">
        <v>46293</v>
      </c>
      <c r="C11" s="211"/>
      <c r="D11" s="210">
        <v>46294</v>
      </c>
      <c r="E11" s="211"/>
      <c r="F11" s="210">
        <v>46295</v>
      </c>
      <c r="G11" s="211"/>
      <c r="H11" s="210">
        <v>46296</v>
      </c>
      <c r="I11" s="211"/>
      <c r="J11" s="210">
        <v>46297</v>
      </c>
      <c r="K11" s="211"/>
      <c r="L11" s="210">
        <v>46298</v>
      </c>
      <c r="M11" s="211"/>
      <c r="N11" s="210">
        <v>46299</v>
      </c>
      <c r="O11" s="212"/>
      <c r="P11" s="213" t="s">
        <v>25</v>
      </c>
      <c r="Q11" s="214" t="s">
        <v>26</v>
      </c>
      <c r="R11" s="215"/>
      <c r="S11" s="216"/>
      <c r="T11" s="216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4">
      <c r="A12" s="217" t="s">
        <v>35</v>
      </c>
      <c r="B12" s="65"/>
      <c r="C12" s="65"/>
      <c r="D12" s="65"/>
      <c r="E12" s="65"/>
      <c r="F12" s="65" t="s">
        <v>32</v>
      </c>
      <c r="G12" s="65" t="s">
        <v>33</v>
      </c>
      <c r="H12" s="65" t="s">
        <v>32</v>
      </c>
      <c r="I12" s="65" t="s">
        <v>33</v>
      </c>
      <c r="J12" s="65" t="s">
        <v>32</v>
      </c>
      <c r="K12" s="65" t="s">
        <v>33</v>
      </c>
      <c r="L12" s="66"/>
      <c r="M12" s="66"/>
      <c r="N12" s="66"/>
      <c r="O12" s="66"/>
      <c r="P12" s="218">
        <f t="shared" ref="P12:P75" si="23">C12+E12+G12+I12+K12+M12+O12</f>
        <v>24</v>
      </c>
      <c r="Q12" s="62">
        <f>R10-P12</f>
        <v>152</v>
      </c>
      <c r="R12" s="219" t="str">
        <f t="shared" ref="R12:R75" si="24">A12</f>
        <v>Рычков</v>
      </c>
      <c r="S12" s="76" t="s">
        <v>10</v>
      </c>
      <c r="T12" s="77" t="s">
        <v>9</v>
      </c>
      <c r="U12" s="73">
        <f t="shared" ref="U12:U28" si="25">COUNTIF(T12,B12)+COUNTIF(T12,D12)+COUNTIF(T12,F12)+COUNTIF(T12,H12)+COUNTIF(T12,J12)+COUNTIF(T12,L12)+COUNTIF(T12,N12)</f>
        <v>0</v>
      </c>
      <c r="V12" s="62">
        <f t="shared" ref="V12:V28" si="26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4">
      <c r="A13" s="203" t="s">
        <v>39</v>
      </c>
      <c r="B13" s="65"/>
      <c r="C13" s="65"/>
      <c r="D13" s="65"/>
      <c r="E13" s="65"/>
      <c r="F13" s="65" t="s">
        <v>32</v>
      </c>
      <c r="G13" s="65" t="s">
        <v>33</v>
      </c>
      <c r="H13" s="65" t="s">
        <v>32</v>
      </c>
      <c r="I13" s="65" t="s">
        <v>33</v>
      </c>
      <c r="J13" s="65" t="s">
        <v>32</v>
      </c>
      <c r="K13" s="65" t="s">
        <v>33</v>
      </c>
      <c r="L13" s="66"/>
      <c r="M13" s="66"/>
      <c r="N13" s="66"/>
      <c r="O13" s="66"/>
      <c r="P13" s="218">
        <f t="shared" si="23"/>
        <v>24</v>
      </c>
      <c r="Q13" s="62">
        <f>R10-P13</f>
        <v>152</v>
      </c>
      <c r="R13" s="219" t="str">
        <f t="shared" si="24"/>
        <v>Игумнов</v>
      </c>
      <c r="S13" s="76" t="s">
        <v>10</v>
      </c>
      <c r="T13" s="77" t="s">
        <v>9</v>
      </c>
      <c r="U13" s="73">
        <f>COUNTIF(T13,B13)+COUNTIF(T13,D13)+COUNTIF(T13,F13)+COUNTIF(T13,H13)+COUNTIF(T13,J13)+COUNTIF(T13,L13)+COUNTIF(T13,#REF!)</f>
        <v>0</v>
      </c>
      <c r="V13" s="62">
        <f>COUNTIF(S13,B13)+COUNTIF(S13,D13)+COUNTIF(S13,F13)+COUNTIF(S13,H13)+COUNTIF(S13,J13)+COUNTIF(S13,L13)+COUNTIF(S13,#REF!)</f>
        <v>0</v>
      </c>
      <c r="W13" s="62"/>
      <c r="X13" s="79" t="s">
        <v>34</v>
      </c>
      <c r="Y13" s="7"/>
      <c r="Z13" s="80"/>
      <c r="AA13" s="80"/>
      <c r="AB13" s="13"/>
      <c r="AC13" s="13"/>
      <c r="AD13" s="13"/>
    </row>
    <row r="14" ht="14.4">
      <c r="A14" s="203" t="s">
        <v>40</v>
      </c>
      <c r="B14" s="65"/>
      <c r="C14" s="65"/>
      <c r="D14" s="65"/>
      <c r="E14" s="65"/>
      <c r="F14" s="65" t="s">
        <v>32</v>
      </c>
      <c r="G14" s="65" t="s">
        <v>33</v>
      </c>
      <c r="H14" s="65" t="s">
        <v>32</v>
      </c>
      <c r="I14" s="65" t="s">
        <v>33</v>
      </c>
      <c r="J14" s="65" t="s">
        <v>32</v>
      </c>
      <c r="K14" s="65" t="s">
        <v>33</v>
      </c>
      <c r="L14" s="66"/>
      <c r="M14" s="66"/>
      <c r="N14" s="87"/>
      <c r="O14" s="66"/>
      <c r="P14" s="220">
        <f t="shared" si="23"/>
        <v>24</v>
      </c>
      <c r="Q14" s="221">
        <f>R10-P14</f>
        <v>152</v>
      </c>
      <c r="R14" s="222" t="str">
        <f t="shared" si="24"/>
        <v>Душин</v>
      </c>
      <c r="S14" s="76" t="s">
        <v>10</v>
      </c>
      <c r="T14" s="77" t="s">
        <v>9</v>
      </c>
      <c r="U14" s="73">
        <f>COUNTIF(T14,B14)+COUNTIF(T14,D14)+COUNTIF(T14,F14)+COUNTIF(T14,H14)+COUNTIF(T14,J14)+COUNTIF(T14,L14)+COUNTIF(T14,#REF!)</f>
        <v>0</v>
      </c>
      <c r="V14" s="62">
        <f>COUNTIF(S14,B14)+COUNTIF(S14,D14)+COUNTIF(S14,F14)+COUNTIF(S14,H14)+COUNTIF(S14,J14)+COUNTIF(S14,L14)+COUNTIF(S14,#REF!)</f>
        <v>0</v>
      </c>
      <c r="W14" s="62"/>
      <c r="X14" s="74" t="s">
        <v>38</v>
      </c>
      <c r="Y14" s="80"/>
      <c r="Z14" s="80"/>
      <c r="AA14" s="80"/>
      <c r="AB14" s="13"/>
      <c r="AC14" s="13"/>
      <c r="AD14" s="13"/>
    </row>
    <row r="15" ht="14.4">
      <c r="A15" s="203" t="s">
        <v>42</v>
      </c>
      <c r="B15" s="65"/>
      <c r="C15" s="65"/>
      <c r="D15" s="65"/>
      <c r="E15" s="65"/>
      <c r="F15" s="65" t="s">
        <v>32</v>
      </c>
      <c r="G15" s="65" t="s">
        <v>33</v>
      </c>
      <c r="H15" s="65" t="s">
        <v>32</v>
      </c>
      <c r="I15" s="65" t="s">
        <v>33</v>
      </c>
      <c r="J15" s="65" t="s">
        <v>32</v>
      </c>
      <c r="K15" s="65" t="s">
        <v>33</v>
      </c>
      <c r="L15" s="66"/>
      <c r="M15" s="66"/>
      <c r="N15" s="87"/>
      <c r="O15" s="66"/>
      <c r="P15" s="68">
        <f t="shared" si="23"/>
        <v>24</v>
      </c>
      <c r="Q15" s="69">
        <f>R10-P15</f>
        <v>152</v>
      </c>
      <c r="R15" s="70" t="str">
        <f t="shared" si="24"/>
        <v>Юращик</v>
      </c>
      <c r="S15" s="76" t="s">
        <v>10</v>
      </c>
      <c r="T15" s="77" t="s">
        <v>9</v>
      </c>
      <c r="U15" s="73">
        <f t="shared" ref="U15:U16" si="27">COUNTIF(T15,B15)+COUNTIF(T15,D15)+COUNTIF(T15,F15)+COUNTIF(T15,H15)+COUNTIF(T15,J15)+COUNTIF(T15,L15)+COUNTIF(T15,N13)</f>
        <v>0</v>
      </c>
      <c r="V15" s="62">
        <f t="shared" ref="V15:V16" si="28">COUNTIF(S15,B15)+COUNTIF(S15,D15)+COUNTIF(S15,F15)+COUNTIF(S15,H15)+COUNTIF(S15,J15)+COUNTIF(S15,L15)+COUNTIF(S15,N13)</f>
        <v>0</v>
      </c>
      <c r="W15" s="62"/>
      <c r="X15" s="74" t="s">
        <v>38</v>
      </c>
      <c r="Y15" s="80"/>
      <c r="Z15" s="80"/>
      <c r="AA15" s="80"/>
      <c r="AB15" s="13"/>
      <c r="AC15" s="13"/>
      <c r="AD15" s="13"/>
    </row>
    <row r="16" ht="14.4">
      <c r="A16" s="202" t="s">
        <v>31</v>
      </c>
      <c r="B16" s="65"/>
      <c r="C16" s="65"/>
      <c r="D16" s="65"/>
      <c r="E16" s="65"/>
      <c r="F16" s="198" t="s">
        <v>32</v>
      </c>
      <c r="G16" s="65" t="s">
        <v>33</v>
      </c>
      <c r="H16" s="198" t="s">
        <v>32</v>
      </c>
      <c r="I16" s="65" t="s">
        <v>33</v>
      </c>
      <c r="J16" s="198" t="s">
        <v>32</v>
      </c>
      <c r="K16" s="65" t="s">
        <v>33</v>
      </c>
      <c r="L16" s="66"/>
      <c r="M16" s="66"/>
      <c r="N16" s="66"/>
      <c r="O16" s="66"/>
      <c r="P16" s="68">
        <f t="shared" si="23"/>
        <v>24</v>
      </c>
      <c r="Q16" s="69">
        <f>R10-P16</f>
        <v>152</v>
      </c>
      <c r="R16" s="70" t="s">
        <v>31</v>
      </c>
      <c r="S16" s="76" t="s">
        <v>10</v>
      </c>
      <c r="T16" s="77" t="s">
        <v>9</v>
      </c>
      <c r="U16" s="73">
        <f t="shared" si="27"/>
        <v>0</v>
      </c>
      <c r="V16" s="62">
        <f t="shared" si="28"/>
        <v>0</v>
      </c>
      <c r="W16" s="62"/>
      <c r="X16" s="74"/>
      <c r="Y16" s="80"/>
      <c r="Z16" s="80"/>
      <c r="AA16" s="80"/>
      <c r="AB16" s="13"/>
      <c r="AC16" s="13"/>
      <c r="AD16" s="13"/>
    </row>
    <row r="17" ht="14.4">
      <c r="A17" s="204" t="s">
        <v>43</v>
      </c>
      <c r="B17" s="131"/>
      <c r="C17" s="131"/>
      <c r="D17" s="87"/>
      <c r="E17" s="87"/>
      <c r="F17" s="223"/>
      <c r="G17" s="224"/>
      <c r="H17" s="225"/>
      <c r="I17" s="226">
        <v>12</v>
      </c>
      <c r="J17" s="78"/>
      <c r="K17" s="78" t="s">
        <v>4</v>
      </c>
      <c r="L17" s="82"/>
      <c r="M17" s="82"/>
      <c r="N17" s="66"/>
      <c r="O17" s="66"/>
      <c r="P17" s="68">
        <f t="shared" si="23"/>
        <v>24</v>
      </c>
      <c r="Q17" s="69">
        <f>U10-P17</f>
        <v>152</v>
      </c>
      <c r="R17" s="70" t="s">
        <v>43</v>
      </c>
      <c r="S17" s="149" t="s">
        <v>12</v>
      </c>
      <c r="T17" s="84" t="s">
        <v>11</v>
      </c>
      <c r="U17" s="227">
        <f t="shared" si="25"/>
        <v>0</v>
      </c>
      <c r="V17" s="86">
        <f t="shared" si="26"/>
        <v>0</v>
      </c>
      <c r="W17" s="227"/>
      <c r="X17" s="74" t="s">
        <v>44</v>
      </c>
      <c r="Y17" s="80"/>
      <c r="Z17" s="80"/>
      <c r="AA17" s="80"/>
      <c r="AB17" s="13"/>
      <c r="AC17" s="13"/>
      <c r="AD17" s="13"/>
    </row>
    <row r="18" ht="14.4">
      <c r="A18" s="205" t="s">
        <v>45</v>
      </c>
      <c r="B18" s="87"/>
      <c r="C18" s="87"/>
      <c r="D18" s="225"/>
      <c r="E18" s="225"/>
      <c r="F18" s="78"/>
      <c r="G18" s="78" t="s">
        <v>4</v>
      </c>
      <c r="H18" s="66"/>
      <c r="I18" s="66"/>
      <c r="J18" s="82"/>
      <c r="K18" s="82"/>
      <c r="L18" s="87"/>
      <c r="M18" s="87"/>
      <c r="N18" s="83"/>
      <c r="O18" s="83" t="s">
        <v>4</v>
      </c>
      <c r="P18" s="68">
        <f t="shared" si="23"/>
        <v>24</v>
      </c>
      <c r="Q18" s="69">
        <f>U10-P18</f>
        <v>152</v>
      </c>
      <c r="R18" s="70" t="str">
        <f t="shared" si="24"/>
        <v>Пузырь</v>
      </c>
      <c r="S18" s="76" t="s">
        <v>10</v>
      </c>
      <c r="T18" s="77" t="s">
        <v>9</v>
      </c>
      <c r="U18" s="73">
        <f t="shared" si="25"/>
        <v>0</v>
      </c>
      <c r="V18" s="62">
        <f t="shared" si="26"/>
        <v>0</v>
      </c>
      <c r="W18" s="62"/>
      <c r="X18" s="74" t="s">
        <v>34</v>
      </c>
      <c r="Y18" s="80"/>
      <c r="Z18" s="80"/>
      <c r="AA18" s="80"/>
      <c r="AB18" s="13"/>
      <c r="AC18" s="13"/>
      <c r="AD18" s="13"/>
    </row>
    <row r="19" ht="14.4">
      <c r="A19" s="205" t="s">
        <v>46</v>
      </c>
      <c r="B19" s="87"/>
      <c r="C19" s="87"/>
      <c r="D19" s="87"/>
      <c r="E19" s="87"/>
      <c r="F19" s="87"/>
      <c r="G19" s="87"/>
      <c r="H19" s="225"/>
      <c r="I19" s="225">
        <v>12</v>
      </c>
      <c r="J19" s="89"/>
      <c r="K19" s="78" t="s">
        <v>4</v>
      </c>
      <c r="L19" s="82"/>
      <c r="M19" s="82"/>
      <c r="N19" s="66"/>
      <c r="O19" s="66"/>
      <c r="P19" s="68">
        <f t="shared" si="23"/>
        <v>24</v>
      </c>
      <c r="Q19" s="69">
        <f>U10-P19</f>
        <v>152</v>
      </c>
      <c r="R19" s="70" t="str">
        <f t="shared" si="24"/>
        <v>Голышев</v>
      </c>
      <c r="S19" s="76" t="s">
        <v>10</v>
      </c>
      <c r="T19" s="77" t="s">
        <v>9</v>
      </c>
      <c r="U19" s="73">
        <f>COUNTIF(T19,B19)+COUNTIF(T19,D19)+COUNTIF(T19,J19)+COUNTIF(T19,H19)+COUNTIF(T19,#REF!)+COUNTIF(T19,L19)+COUNTIF(T19,N19)</f>
        <v>0</v>
      </c>
      <c r="V19" s="62">
        <f>COUNTIF(S19,B19)+COUNTIF(S19,D19)+COUNTIF(S19,J19)+COUNTIF(S19,H19)+COUNTIF(S19,#REF!)+COUNTIF(S19,L19)+COUNTIF(S19,N19)</f>
        <v>0</v>
      </c>
      <c r="W19" s="62"/>
      <c r="X19" s="74" t="s">
        <v>34</v>
      </c>
      <c r="Y19" s="80"/>
      <c r="Z19" s="7"/>
      <c r="AA19" s="7"/>
      <c r="AB19" s="13"/>
      <c r="AC19" s="13"/>
      <c r="AD19" s="13"/>
    </row>
    <row r="20" ht="14.4">
      <c r="A20" s="205" t="s">
        <v>47</v>
      </c>
      <c r="B20" s="131"/>
      <c r="C20" s="131"/>
      <c r="D20" s="131"/>
      <c r="E20" s="131"/>
      <c r="F20" s="87"/>
      <c r="G20" s="87"/>
      <c r="I20" s="67"/>
      <c r="J20" s="66"/>
      <c r="K20" s="66"/>
      <c r="L20" s="76"/>
      <c r="M20" s="76" t="s">
        <v>4</v>
      </c>
      <c r="N20" s="78"/>
      <c r="O20" s="78" t="s">
        <v>4</v>
      </c>
      <c r="P20" s="68">
        <f t="shared" si="23"/>
        <v>24</v>
      </c>
      <c r="Q20" s="69">
        <f>U10-P20</f>
        <v>152</v>
      </c>
      <c r="R20" s="70" t="str">
        <f t="shared" si="24"/>
        <v>Торубара</v>
      </c>
      <c r="S20" s="76" t="s">
        <v>10</v>
      </c>
      <c r="T20" s="77" t="s">
        <v>9</v>
      </c>
      <c r="U20" s="73">
        <f t="shared" si="25"/>
        <v>0</v>
      </c>
      <c r="V20" s="62">
        <f t="shared" si="26"/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ht="14.4">
      <c r="A21" s="205" t="s">
        <v>48</v>
      </c>
      <c r="B21" s="87"/>
      <c r="C21" s="87"/>
      <c r="D21" s="131"/>
      <c r="E21" s="131"/>
      <c r="F21" s="83"/>
      <c r="G21" s="83" t="s">
        <v>4</v>
      </c>
      <c r="H21" s="87"/>
      <c r="I21" s="87"/>
      <c r="J21" s="82"/>
      <c r="K21" s="82"/>
      <c r="L21" s="78"/>
      <c r="M21" s="78" t="s">
        <v>4</v>
      </c>
      <c r="N21" s="78"/>
      <c r="O21" s="78" t="s">
        <v>4</v>
      </c>
      <c r="P21" s="68">
        <f t="shared" si="23"/>
        <v>36</v>
      </c>
      <c r="Q21" s="69">
        <f>U10-P21</f>
        <v>140</v>
      </c>
      <c r="R21" s="70" t="str">
        <f t="shared" si="24"/>
        <v>Стрыгин</v>
      </c>
      <c r="S21" s="71" t="s">
        <v>8</v>
      </c>
      <c r="T21" s="72" t="s">
        <v>7</v>
      </c>
      <c r="U21" s="73">
        <f t="shared" si="25"/>
        <v>0</v>
      </c>
      <c r="V21" s="62">
        <f t="shared" si="26"/>
        <v>0</v>
      </c>
      <c r="W21" s="62"/>
      <c r="X21" s="74" t="s">
        <v>49</v>
      </c>
      <c r="Y21" s="7"/>
      <c r="Z21" s="7"/>
      <c r="AA21" s="7"/>
      <c r="AB21" s="13"/>
      <c r="AC21" s="13"/>
      <c r="AD21" s="13"/>
    </row>
    <row r="22" ht="14.4">
      <c r="A22" s="205" t="s">
        <v>50</v>
      </c>
      <c r="B22" s="225"/>
      <c r="C22" s="225"/>
      <c r="D22" s="87"/>
      <c r="E22" s="87"/>
      <c r="F22" s="82"/>
      <c r="G22" s="82"/>
      <c r="H22" s="83"/>
      <c r="I22" s="83" t="s">
        <v>4</v>
      </c>
      <c r="J22" s="83"/>
      <c r="K22" s="83" t="s">
        <v>4</v>
      </c>
      <c r="L22" s="82"/>
      <c r="M22" s="82"/>
      <c r="N22" s="82"/>
      <c r="O22" s="82"/>
      <c r="P22" s="68">
        <f t="shared" si="23"/>
        <v>24</v>
      </c>
      <c r="Q22" s="69">
        <f>U10-P22</f>
        <v>152</v>
      </c>
      <c r="R22" s="70" t="str">
        <f t="shared" si="24"/>
        <v>Фрик</v>
      </c>
      <c r="S22" s="71" t="s">
        <v>12</v>
      </c>
      <c r="T22" s="72" t="s">
        <v>11</v>
      </c>
      <c r="U22" s="73">
        <v>2</v>
      </c>
      <c r="V22" s="62">
        <f t="shared" si="26"/>
        <v>0</v>
      </c>
      <c r="W22" s="62"/>
      <c r="X22" s="74" t="s">
        <v>44</v>
      </c>
      <c r="Y22" s="7"/>
      <c r="Z22" s="7"/>
      <c r="AA22" s="7"/>
      <c r="AB22" s="13"/>
      <c r="AC22" s="13"/>
      <c r="AD22" s="13"/>
    </row>
    <row r="23" ht="14.4">
      <c r="A23" s="206" t="s">
        <v>51</v>
      </c>
      <c r="B23" s="87"/>
      <c r="C23" s="87"/>
      <c r="D23" s="87"/>
      <c r="E23" s="87"/>
      <c r="F23" s="89"/>
      <c r="G23" s="78" t="s">
        <v>4</v>
      </c>
      <c r="J23" s="156"/>
      <c r="K23" s="174" t="s">
        <v>33</v>
      </c>
      <c r="L23" s="156"/>
      <c r="M23" s="156" t="s">
        <v>4</v>
      </c>
      <c r="N23" s="156"/>
      <c r="O23" s="156" t="s">
        <v>4</v>
      </c>
      <c r="P23" s="228">
        <f t="shared" si="23"/>
        <v>44</v>
      </c>
      <c r="Q23" s="229">
        <f>U10-P23</f>
        <v>132</v>
      </c>
      <c r="R23" s="230" t="str">
        <f t="shared" si="24"/>
        <v>Истрашкин</v>
      </c>
      <c r="S23" s="71" t="s">
        <v>10</v>
      </c>
      <c r="T23" s="72" t="s">
        <v>9</v>
      </c>
      <c r="U23" s="73">
        <f t="shared" si="25"/>
        <v>0</v>
      </c>
      <c r="V23" s="62">
        <f t="shared" si="26"/>
        <v>0</v>
      </c>
      <c r="W23" s="50"/>
      <c r="X23" s="74" t="s">
        <v>34</v>
      </c>
      <c r="Y23" s="7"/>
      <c r="Z23" s="7"/>
      <c r="AA23" s="7"/>
      <c r="AB23" s="13"/>
      <c r="AC23" s="13"/>
      <c r="AD23" s="13"/>
    </row>
    <row r="24" ht="14.4">
      <c r="A24" s="207"/>
      <c r="B24" s="210">
        <v>46293</v>
      </c>
      <c r="C24" s="211"/>
      <c r="D24" s="210">
        <v>46294</v>
      </c>
      <c r="E24" s="211"/>
      <c r="F24" s="210">
        <v>46295</v>
      </c>
      <c r="G24" s="211"/>
      <c r="H24" s="210">
        <v>46296</v>
      </c>
      <c r="I24" s="211"/>
      <c r="J24" s="210">
        <v>46297</v>
      </c>
      <c r="K24" s="211"/>
      <c r="L24" s="210">
        <v>46298</v>
      </c>
      <c r="M24" s="211"/>
      <c r="N24" s="210">
        <v>46299</v>
      </c>
      <c r="O24" s="231"/>
      <c r="P24" s="232"/>
      <c r="Q24" s="233"/>
      <c r="R24" s="49"/>
      <c r="S24" s="161"/>
      <c r="T24" s="161"/>
      <c r="U24" s="60" t="s">
        <v>27</v>
      </c>
      <c r="V24" s="61" t="s">
        <v>28</v>
      </c>
      <c r="W24" s="62" t="s">
        <v>29</v>
      </c>
      <c r="X24" s="96"/>
      <c r="Y24" s="7"/>
      <c r="Z24" s="7"/>
      <c r="AA24" s="7"/>
      <c r="AB24" s="13"/>
      <c r="AC24" s="13"/>
      <c r="AD24" s="13"/>
    </row>
    <row r="25" ht="14.4">
      <c r="A25" s="162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4"/>
      <c r="R25" s="165"/>
      <c r="S25" s="165"/>
      <c r="T25" s="165"/>
      <c r="U25" s="100"/>
      <c r="V25" s="100"/>
      <c r="W25" s="100"/>
      <c r="X25" s="7"/>
      <c r="Y25" s="7"/>
      <c r="Z25" s="7"/>
      <c r="AA25" s="7"/>
      <c r="AB25" s="13"/>
      <c r="AC25" s="13"/>
      <c r="AD25" s="13"/>
    </row>
    <row r="26" ht="14.4">
      <c r="A26" s="165"/>
      <c r="B26" s="167" t="s">
        <v>17</v>
      </c>
      <c r="C26" s="167"/>
      <c r="D26" s="167" t="s">
        <v>18</v>
      </c>
      <c r="E26" s="167"/>
      <c r="F26" s="167" t="s">
        <v>19</v>
      </c>
      <c r="G26" s="167"/>
      <c r="H26" s="167" t="s">
        <v>20</v>
      </c>
      <c r="I26" s="167"/>
      <c r="J26" s="168" t="s">
        <v>21</v>
      </c>
      <c r="K26" s="168"/>
      <c r="L26" s="167" t="s">
        <v>22</v>
      </c>
      <c r="M26" s="167"/>
      <c r="N26" s="167" t="s">
        <v>23</v>
      </c>
      <c r="O26" s="167"/>
      <c r="P26" s="234" t="s">
        <v>24</v>
      </c>
      <c r="Q26" s="235"/>
      <c r="R26" s="165"/>
      <c r="S26" s="165"/>
      <c r="T26" s="165"/>
      <c r="U26" s="100"/>
      <c r="V26" s="100"/>
      <c r="W26" s="100"/>
      <c r="X26" s="51"/>
      <c r="Y26" s="7"/>
      <c r="Z26" s="7"/>
      <c r="AA26" s="7"/>
      <c r="AB26" s="13"/>
      <c r="AC26" s="13"/>
      <c r="AD26" s="13"/>
    </row>
    <row r="27" ht="14.4">
      <c r="A27" s="165"/>
      <c r="B27" s="210">
        <v>46300</v>
      </c>
      <c r="C27" s="211"/>
      <c r="D27" s="210">
        <v>46301</v>
      </c>
      <c r="E27" s="211"/>
      <c r="F27" s="210">
        <v>46302</v>
      </c>
      <c r="G27" s="211"/>
      <c r="H27" s="210">
        <v>46303</v>
      </c>
      <c r="I27" s="211"/>
      <c r="J27" s="210">
        <v>46304</v>
      </c>
      <c r="K27" s="211"/>
      <c r="L27" s="210">
        <v>46305</v>
      </c>
      <c r="M27" s="211"/>
      <c r="N27" s="210">
        <v>46306</v>
      </c>
      <c r="O27" s="212"/>
      <c r="P27" s="236" t="s">
        <v>25</v>
      </c>
      <c r="Q27" s="237" t="s">
        <v>26</v>
      </c>
      <c r="R27" s="238"/>
      <c r="S27" s="239"/>
      <c r="T27" s="239"/>
      <c r="U27" s="15" t="s">
        <v>27</v>
      </c>
      <c r="V27" s="106" t="s">
        <v>28</v>
      </c>
      <c r="W27" s="100" t="s">
        <v>29</v>
      </c>
      <c r="X27" s="63" t="s">
        <v>30</v>
      </c>
      <c r="Y27" s="7"/>
      <c r="Z27" s="7"/>
      <c r="AA27" s="7"/>
      <c r="AB27" s="13"/>
      <c r="AC27" s="13"/>
      <c r="AD27" s="13"/>
    </row>
    <row r="28" ht="14.4">
      <c r="A28" s="203" t="s">
        <v>35</v>
      </c>
      <c r="B28" s="65" t="s">
        <v>32</v>
      </c>
      <c r="C28" s="65" t="s">
        <v>33</v>
      </c>
      <c r="D28" s="65" t="s">
        <v>32</v>
      </c>
      <c r="E28" s="65" t="s">
        <v>33</v>
      </c>
      <c r="F28" s="65" t="s">
        <v>32</v>
      </c>
      <c r="G28" s="65" t="s">
        <v>33</v>
      </c>
      <c r="H28" s="65" t="s">
        <v>32</v>
      </c>
      <c r="I28" s="65" t="s">
        <v>33</v>
      </c>
      <c r="J28" s="65" t="s">
        <v>32</v>
      </c>
      <c r="K28" s="65" t="s">
        <v>33</v>
      </c>
      <c r="L28" s="66"/>
      <c r="M28" s="66"/>
      <c r="N28" s="66"/>
      <c r="O28" s="66"/>
      <c r="P28" s="220">
        <f t="shared" si="23"/>
        <v>40</v>
      </c>
      <c r="Q28" s="221">
        <f t="shared" ref="Q28:Q87" si="29">Q12-P28</f>
        <v>112</v>
      </c>
      <c r="R28" s="222" t="str">
        <f t="shared" si="24"/>
        <v>Рычков</v>
      </c>
      <c r="S28" s="76" t="s">
        <v>10</v>
      </c>
      <c r="T28" s="77" t="s">
        <v>9</v>
      </c>
      <c r="U28" s="240">
        <f t="shared" si="25"/>
        <v>0</v>
      </c>
      <c r="V28" s="221">
        <f t="shared" si="26"/>
        <v>0</v>
      </c>
      <c r="W28" s="221"/>
      <c r="X28" s="74" t="s">
        <v>34</v>
      </c>
      <c r="Y28" s="7"/>
      <c r="Z28" s="7"/>
      <c r="AA28" s="7"/>
      <c r="AB28" s="13"/>
      <c r="AC28" s="13"/>
      <c r="AD28" s="13"/>
    </row>
    <row r="29" ht="14.4">
      <c r="A29" s="203" t="s">
        <v>39</v>
      </c>
      <c r="B29" s="65" t="s">
        <v>32</v>
      </c>
      <c r="C29" s="65" t="s">
        <v>33</v>
      </c>
      <c r="D29" s="65" t="s">
        <v>32</v>
      </c>
      <c r="E29" s="65" t="s">
        <v>33</v>
      </c>
      <c r="F29" s="65" t="s">
        <v>32</v>
      </c>
      <c r="G29" s="65" t="s">
        <v>33</v>
      </c>
      <c r="H29" s="65" t="s">
        <v>32</v>
      </c>
      <c r="I29" s="65" t="s">
        <v>33</v>
      </c>
      <c r="J29" s="65" t="s">
        <v>32</v>
      </c>
      <c r="K29" s="65" t="s">
        <v>33</v>
      </c>
      <c r="L29" s="66"/>
      <c r="M29" s="66"/>
      <c r="N29" s="87"/>
      <c r="O29" s="66"/>
      <c r="P29" s="68">
        <f t="shared" si="23"/>
        <v>40</v>
      </c>
      <c r="Q29" s="69">
        <f t="shared" si="29"/>
        <v>112</v>
      </c>
      <c r="R29" s="70" t="str">
        <f t="shared" si="24"/>
        <v>Игумнов</v>
      </c>
      <c r="S29" s="76" t="s">
        <v>10</v>
      </c>
      <c r="T29" s="77" t="s">
        <v>9</v>
      </c>
      <c r="U29" s="69">
        <f>COUNTIF(T29,B29)+COUNTIF(T29,D29)+COUNTIF(T29,F29)+COUNTIF(T29,H29)+COUNTIF(T29,J29)+COUNTIF(T29,L29)+COUNTIF(T29,N30)</f>
        <v>0</v>
      </c>
      <c r="V29" s="69">
        <f>COUNTIF(S29,B29)+COUNTIF(S29,D29)+COUNTIF(S29,F29)+COUNTIF(S29,H29)+COUNTIF(S29,J29)+COUNTIF(S29,L29)+COUNTIF(S29,N30)</f>
        <v>0</v>
      </c>
      <c r="W29" s="69"/>
      <c r="X29" s="241" t="s">
        <v>34</v>
      </c>
      <c r="Y29" s="7"/>
      <c r="Z29" s="80"/>
      <c r="AA29" s="80"/>
      <c r="AB29" s="13"/>
      <c r="AC29" s="13"/>
      <c r="AD29" s="13"/>
    </row>
    <row r="30" ht="14.4">
      <c r="A30" s="203" t="s">
        <v>40</v>
      </c>
      <c r="B30" s="65" t="s">
        <v>32</v>
      </c>
      <c r="C30" s="65" t="s">
        <v>33</v>
      </c>
      <c r="D30" s="65" t="s">
        <v>32</v>
      </c>
      <c r="E30" s="65" t="s">
        <v>33</v>
      </c>
      <c r="F30" s="65" t="s">
        <v>32</v>
      </c>
      <c r="G30" s="65" t="s">
        <v>33</v>
      </c>
      <c r="H30" s="65" t="s">
        <v>32</v>
      </c>
      <c r="I30" s="65" t="s">
        <v>33</v>
      </c>
      <c r="J30" s="65" t="s">
        <v>32</v>
      </c>
      <c r="K30" s="65" t="s">
        <v>33</v>
      </c>
      <c r="L30" s="66"/>
      <c r="M30" s="66"/>
      <c r="N30" s="66"/>
      <c r="O30" s="66"/>
      <c r="P30" s="68">
        <f t="shared" si="23"/>
        <v>40</v>
      </c>
      <c r="Q30" s="69">
        <f t="shared" si="29"/>
        <v>112</v>
      </c>
      <c r="R30" s="70" t="str">
        <f t="shared" si="24"/>
        <v>Душин</v>
      </c>
      <c r="S30" s="76" t="s">
        <v>10</v>
      </c>
      <c r="T30" s="77" t="s">
        <v>9</v>
      </c>
      <c r="U30" s="69">
        <f>COUNTIF(T30,B30)+COUNTIF(T30,D30)+COUNTIF(T30,F30)+COUNTIF(T30,H30)+COUNTIF(T30,J30)+COUNTIF(T30,L30)+COUNTIF(T30,#REF!)</f>
        <v>0</v>
      </c>
      <c r="V30" s="69">
        <f>COUNTIF(S30,B30)+COUNTIF(S30,D30)+COUNTIF(S30,F30)+COUNTIF(S30,H30)+COUNTIF(S30,J30)+COUNTIF(S30,L30)+COUNTIF(S30,#REF!)</f>
        <v>0</v>
      </c>
      <c r="W30" s="69"/>
      <c r="X30" s="242" t="s">
        <v>38</v>
      </c>
      <c r="Y30" s="80"/>
      <c r="Z30" s="80"/>
      <c r="AA30" s="80"/>
      <c r="AB30" s="13"/>
      <c r="AC30" s="13"/>
      <c r="AD30" s="13"/>
    </row>
    <row r="31" ht="14.4">
      <c r="A31" s="203" t="s">
        <v>42</v>
      </c>
      <c r="B31" s="65" t="s">
        <v>54</v>
      </c>
      <c r="C31" s="198" t="s">
        <v>33</v>
      </c>
      <c r="D31" s="65" t="s">
        <v>54</v>
      </c>
      <c r="E31" s="198" t="s">
        <v>33</v>
      </c>
      <c r="F31" s="65" t="s">
        <v>54</v>
      </c>
      <c r="G31" s="198" t="s">
        <v>33</v>
      </c>
      <c r="H31" s="65" t="s">
        <v>54</v>
      </c>
      <c r="I31" s="198" t="s">
        <v>33</v>
      </c>
      <c r="J31" s="65" t="s">
        <v>54</v>
      </c>
      <c r="K31" s="198" t="s">
        <v>33</v>
      </c>
      <c r="L31" s="66"/>
      <c r="M31" s="66"/>
      <c r="N31" s="66"/>
      <c r="O31" s="66"/>
      <c r="P31" s="68">
        <f t="shared" si="23"/>
        <v>40</v>
      </c>
      <c r="Q31" s="69">
        <f t="shared" si="29"/>
        <v>112</v>
      </c>
      <c r="R31" s="70" t="str">
        <f t="shared" si="24"/>
        <v>Юращик</v>
      </c>
      <c r="S31" s="76" t="s">
        <v>10</v>
      </c>
      <c r="T31" s="77" t="s">
        <v>9</v>
      </c>
      <c r="U31" s="69">
        <f t="shared" ref="U31:U87" si="30">COUNTIF(T31,B31)+COUNTIF(T31,D31)+COUNTIF(T31,F31)+COUNTIF(T31,H31)+COUNTIF(T31,J31)+COUNTIF(T31,L31)+COUNTIF(T31,N31)</f>
        <v>0</v>
      </c>
      <c r="V31" s="69">
        <f t="shared" ref="V31:V61" si="31">COUNTIF(S31,B31)+COUNTIF(S31,D31)+COUNTIF(S31,F31)+COUNTIF(S31,H31)+COUNTIF(S31,J31)+COUNTIF(S31,L31)+COUNTIF(S31,N31)</f>
        <v>0</v>
      </c>
      <c r="W31" s="69"/>
      <c r="X31" s="242" t="s">
        <v>38</v>
      </c>
      <c r="Y31" s="80"/>
      <c r="Z31" s="80"/>
      <c r="AA31" s="80"/>
      <c r="AB31" s="13"/>
      <c r="AC31" s="13"/>
      <c r="AD31" s="13"/>
    </row>
    <row r="32" ht="14.4">
      <c r="A32" s="202" t="s">
        <v>31</v>
      </c>
      <c r="B32" s="65" t="s">
        <v>32</v>
      </c>
      <c r="C32" s="65" t="s">
        <v>33</v>
      </c>
      <c r="D32" s="198" t="s">
        <v>32</v>
      </c>
      <c r="E32" s="65" t="s">
        <v>33</v>
      </c>
      <c r="F32" s="198" t="s">
        <v>32</v>
      </c>
      <c r="G32" s="65" t="s">
        <v>33</v>
      </c>
      <c r="H32" s="198" t="s">
        <v>32</v>
      </c>
      <c r="I32" s="65" t="s">
        <v>33</v>
      </c>
      <c r="J32" s="198" t="s">
        <v>32</v>
      </c>
      <c r="K32" s="65" t="s">
        <v>33</v>
      </c>
      <c r="L32" s="66"/>
      <c r="M32" s="66"/>
      <c r="N32" s="66"/>
      <c r="O32" s="66"/>
      <c r="P32" s="68">
        <f t="shared" si="23"/>
        <v>40</v>
      </c>
      <c r="Q32" s="69">
        <f t="shared" si="29"/>
        <v>112</v>
      </c>
      <c r="R32" s="70" t="s">
        <v>31</v>
      </c>
      <c r="S32" s="173" t="s">
        <v>10</v>
      </c>
      <c r="T32" s="77" t="s">
        <v>9</v>
      </c>
      <c r="U32" s="69">
        <f t="shared" si="30"/>
        <v>0</v>
      </c>
      <c r="V32" s="69">
        <f t="shared" si="31"/>
        <v>0</v>
      </c>
      <c r="W32" s="69"/>
      <c r="X32" s="242"/>
      <c r="Y32" s="80"/>
      <c r="Z32" s="80"/>
      <c r="AA32" s="80"/>
      <c r="AB32" s="13"/>
      <c r="AC32" s="13"/>
      <c r="AD32" s="13"/>
    </row>
    <row r="33" ht="14.4">
      <c r="A33" s="204" t="s">
        <v>43</v>
      </c>
      <c r="B33" s="77"/>
      <c r="C33" s="77" t="s">
        <v>4</v>
      </c>
      <c r="D33" s="83"/>
      <c r="E33" s="83" t="s">
        <v>4</v>
      </c>
      <c r="F33" s="66"/>
      <c r="G33" s="66"/>
      <c r="H33" s="66"/>
      <c r="I33" s="66"/>
      <c r="J33" s="76"/>
      <c r="K33" s="76" t="s">
        <v>4</v>
      </c>
      <c r="L33" s="87"/>
      <c r="M33" s="87"/>
      <c r="N33" s="67"/>
      <c r="O33" s="67"/>
      <c r="P33" s="68">
        <f t="shared" si="23"/>
        <v>36</v>
      </c>
      <c r="Q33" s="69">
        <f t="shared" si="29"/>
        <v>116</v>
      </c>
      <c r="R33" s="70" t="s">
        <v>43</v>
      </c>
      <c r="S33" s="71" t="s">
        <v>12</v>
      </c>
      <c r="T33" s="72" t="s">
        <v>11</v>
      </c>
      <c r="U33" s="69">
        <f t="shared" si="30"/>
        <v>0</v>
      </c>
      <c r="V33" s="69">
        <f t="shared" si="31"/>
        <v>0</v>
      </c>
      <c r="W33" s="69"/>
      <c r="X33" s="242" t="s">
        <v>44</v>
      </c>
      <c r="Y33" s="80"/>
      <c r="Z33" s="80"/>
      <c r="AA33" s="80"/>
      <c r="AB33" s="13"/>
      <c r="AC33" s="13"/>
      <c r="AD33" s="13"/>
    </row>
    <row r="34" ht="14.4">
      <c r="A34" s="205" t="s">
        <v>45</v>
      </c>
      <c r="B34" s="87"/>
      <c r="C34" s="87"/>
      <c r="D34" s="66"/>
      <c r="E34" s="66"/>
      <c r="F34" s="76"/>
      <c r="G34" s="76" t="s">
        <v>4</v>
      </c>
      <c r="H34" s="76"/>
      <c r="I34" s="76" t="s">
        <v>4</v>
      </c>
      <c r="J34" s="82"/>
      <c r="K34" s="82"/>
      <c r="L34" s="66"/>
      <c r="M34" s="66"/>
      <c r="N34" s="83"/>
      <c r="O34" s="83" t="s">
        <v>4</v>
      </c>
      <c r="P34" s="68">
        <f t="shared" si="23"/>
        <v>36</v>
      </c>
      <c r="Q34" s="69">
        <f t="shared" si="29"/>
        <v>116</v>
      </c>
      <c r="R34" s="70" t="str">
        <f t="shared" si="24"/>
        <v>Пузырь</v>
      </c>
      <c r="S34" s="76" t="s">
        <v>10</v>
      </c>
      <c r="T34" s="77" t="s">
        <v>9</v>
      </c>
      <c r="U34" s="69">
        <f t="shared" si="30"/>
        <v>0</v>
      </c>
      <c r="V34" s="69">
        <f t="shared" si="31"/>
        <v>0</v>
      </c>
      <c r="W34" s="69"/>
      <c r="X34" s="242" t="s">
        <v>34</v>
      </c>
      <c r="Y34" s="80"/>
      <c r="Z34" s="7"/>
      <c r="AA34" s="7"/>
      <c r="AB34" s="13"/>
      <c r="AC34" s="13"/>
      <c r="AD34" s="13"/>
    </row>
    <row r="35" ht="14.4">
      <c r="A35" s="205" t="s">
        <v>46</v>
      </c>
      <c r="B35" s="77"/>
      <c r="C35" s="77" t="s">
        <v>4</v>
      </c>
      <c r="D35" s="83"/>
      <c r="E35" s="83" t="s">
        <v>4</v>
      </c>
      <c r="F35" s="66"/>
      <c r="G35" s="66"/>
      <c r="H35" s="66"/>
      <c r="I35" s="66"/>
      <c r="J35" s="76"/>
      <c r="K35" s="76" t="s">
        <v>4</v>
      </c>
      <c r="L35" s="76"/>
      <c r="M35" s="76" t="s">
        <v>4</v>
      </c>
      <c r="N35" s="67"/>
      <c r="O35" s="67"/>
      <c r="P35" s="68">
        <f t="shared" si="23"/>
        <v>48</v>
      </c>
      <c r="Q35" s="69">
        <f t="shared" si="29"/>
        <v>104</v>
      </c>
      <c r="R35" s="70" t="str">
        <f t="shared" si="24"/>
        <v>Голышев</v>
      </c>
      <c r="S35" s="76" t="s">
        <v>10</v>
      </c>
      <c r="T35" s="77" t="s">
        <v>9</v>
      </c>
      <c r="U35" s="69">
        <f t="shared" si="30"/>
        <v>0</v>
      </c>
      <c r="V35" s="69">
        <f t="shared" si="31"/>
        <v>0</v>
      </c>
      <c r="W35" s="69"/>
      <c r="X35" s="242" t="s">
        <v>34</v>
      </c>
      <c r="Y35" s="80"/>
      <c r="Z35" s="7"/>
      <c r="AA35" s="7"/>
      <c r="AB35" s="13"/>
      <c r="AC35" s="13"/>
      <c r="AD35" s="13"/>
    </row>
    <row r="36" ht="14.4">
      <c r="A36" s="205" t="s">
        <v>47</v>
      </c>
      <c r="B36" s="66"/>
      <c r="C36" s="66"/>
      <c r="D36" s="66"/>
      <c r="E36" s="66"/>
      <c r="F36" s="83"/>
      <c r="G36" s="83" t="s">
        <v>4</v>
      </c>
      <c r="H36" s="112"/>
      <c r="I36" s="83" t="s">
        <v>4</v>
      </c>
      <c r="J36" s="67"/>
      <c r="K36" s="67"/>
      <c r="L36" s="112"/>
      <c r="M36" s="83" t="s">
        <v>4</v>
      </c>
      <c r="N36" s="83"/>
      <c r="O36" s="83" t="s">
        <v>4</v>
      </c>
      <c r="P36" s="68">
        <f t="shared" si="23"/>
        <v>48</v>
      </c>
      <c r="Q36" s="69">
        <f t="shared" si="29"/>
        <v>104</v>
      </c>
      <c r="R36" s="70" t="str">
        <f t="shared" si="24"/>
        <v>Торубара</v>
      </c>
      <c r="S36" s="76" t="s">
        <v>10</v>
      </c>
      <c r="T36" s="77" t="s">
        <v>9</v>
      </c>
      <c r="U36" s="69">
        <f t="shared" si="30"/>
        <v>0</v>
      </c>
      <c r="V36" s="69">
        <f t="shared" si="31"/>
        <v>0</v>
      </c>
      <c r="W36" s="69"/>
      <c r="X36" s="242" t="s">
        <v>34</v>
      </c>
      <c r="Y36" s="7"/>
      <c r="Z36" s="7"/>
      <c r="AA36" s="7"/>
      <c r="AB36" s="13"/>
      <c r="AC36" s="13"/>
      <c r="AD36" s="13"/>
    </row>
    <row r="37" ht="14.4">
      <c r="A37" s="205" t="s">
        <v>48</v>
      </c>
      <c r="B37" s="82"/>
      <c r="C37" s="82"/>
      <c r="D37" s="82"/>
      <c r="E37" s="82"/>
      <c r="F37" s="83"/>
      <c r="G37" s="83" t="s">
        <v>4</v>
      </c>
      <c r="H37" s="83"/>
      <c r="I37" s="83" t="s">
        <v>4</v>
      </c>
      <c r="J37" s="66"/>
      <c r="K37" s="66"/>
      <c r="L37" s="82"/>
      <c r="M37" s="82"/>
      <c r="N37" s="243"/>
      <c r="O37" s="243" t="s">
        <v>4</v>
      </c>
      <c r="P37" s="68">
        <f t="shared" si="23"/>
        <v>36</v>
      </c>
      <c r="Q37" s="69">
        <f t="shared" si="29"/>
        <v>104</v>
      </c>
      <c r="R37" s="70" t="str">
        <f t="shared" si="24"/>
        <v>Стрыгин</v>
      </c>
      <c r="S37" s="71" t="s">
        <v>8</v>
      </c>
      <c r="T37" s="72" t="s">
        <v>7</v>
      </c>
      <c r="U37" s="69">
        <f t="shared" si="30"/>
        <v>0</v>
      </c>
      <c r="V37" s="69">
        <f t="shared" si="31"/>
        <v>0</v>
      </c>
      <c r="W37" s="69"/>
      <c r="X37" s="242" t="s">
        <v>49</v>
      </c>
      <c r="Y37" s="7"/>
      <c r="Z37" s="7"/>
      <c r="AA37" s="7"/>
      <c r="AB37" s="13"/>
      <c r="AC37" s="13"/>
      <c r="AD37" s="13"/>
    </row>
    <row r="38" ht="14.4">
      <c r="A38" s="205" t="s">
        <v>50</v>
      </c>
      <c r="B38" s="76"/>
      <c r="C38" s="76" t="s">
        <v>4</v>
      </c>
      <c r="D38" s="76"/>
      <c r="E38" s="76" t="s">
        <v>4</v>
      </c>
      <c r="F38" s="66"/>
      <c r="G38" s="66"/>
      <c r="H38" s="66"/>
      <c r="I38" s="66"/>
      <c r="J38" s="83"/>
      <c r="K38" s="83" t="s">
        <v>4</v>
      </c>
      <c r="L38" s="87"/>
      <c r="M38" s="87"/>
      <c r="N38" s="66"/>
      <c r="O38" s="66"/>
      <c r="P38" s="228">
        <f t="shared" si="23"/>
        <v>36</v>
      </c>
      <c r="Q38" s="229">
        <f t="shared" si="29"/>
        <v>116</v>
      </c>
      <c r="R38" s="230" t="str">
        <f t="shared" si="24"/>
        <v>Фрик</v>
      </c>
      <c r="S38" s="71" t="s">
        <v>12</v>
      </c>
      <c r="T38" s="72" t="s">
        <v>11</v>
      </c>
      <c r="U38" s="244">
        <f t="shared" si="30"/>
        <v>0</v>
      </c>
      <c r="V38" s="229">
        <f t="shared" si="31"/>
        <v>0</v>
      </c>
      <c r="W38" s="229"/>
      <c r="X38" s="74" t="s">
        <v>44</v>
      </c>
      <c r="Y38" s="7"/>
      <c r="Z38" s="7"/>
      <c r="AA38" s="7"/>
      <c r="AB38" s="13"/>
      <c r="AC38" s="13"/>
      <c r="AD38" s="13"/>
    </row>
    <row r="39" ht="14.4">
      <c r="A39" s="206" t="s">
        <v>51</v>
      </c>
      <c r="B39" s="66"/>
      <c r="C39" s="66"/>
      <c r="D39" s="66"/>
      <c r="E39" s="66"/>
      <c r="F39" s="243"/>
      <c r="G39" s="243" t="s">
        <v>4</v>
      </c>
      <c r="H39" s="78"/>
      <c r="I39" s="78" t="s">
        <v>4</v>
      </c>
      <c r="J39" s="66"/>
      <c r="K39" s="66"/>
      <c r="L39" s="67"/>
      <c r="M39" s="67"/>
      <c r="N39" s="243"/>
      <c r="O39" s="243" t="s">
        <v>4</v>
      </c>
      <c r="P39" s="218">
        <f t="shared" si="23"/>
        <v>36</v>
      </c>
      <c r="Q39" s="62">
        <f t="shared" si="29"/>
        <v>96</v>
      </c>
      <c r="R39" s="219" t="str">
        <f t="shared" si="24"/>
        <v>Истрашкин</v>
      </c>
      <c r="S39" s="71" t="s">
        <v>10</v>
      </c>
      <c r="T39" s="72" t="s">
        <v>9</v>
      </c>
      <c r="U39" s="73">
        <f t="shared" si="30"/>
        <v>0</v>
      </c>
      <c r="V39" s="62">
        <f t="shared" si="31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4">
      <c r="A40" s="245"/>
      <c r="B40" s="210">
        <v>46300</v>
      </c>
      <c r="C40" s="211"/>
      <c r="D40" s="210">
        <v>46301</v>
      </c>
      <c r="E40" s="211"/>
      <c r="F40" s="210">
        <v>46302</v>
      </c>
      <c r="G40" s="211"/>
      <c r="H40" s="210">
        <v>46303</v>
      </c>
      <c r="I40" s="211"/>
      <c r="J40" s="210">
        <v>46304</v>
      </c>
      <c r="K40" s="211"/>
      <c r="L40" s="210">
        <v>46305</v>
      </c>
      <c r="M40" s="211"/>
      <c r="N40" s="210">
        <v>46306</v>
      </c>
      <c r="O40" s="231"/>
      <c r="P40" s="246"/>
      <c r="Q40" s="247"/>
      <c r="R40" s="245"/>
      <c r="S40" s="178"/>
      <c r="T40" s="178"/>
      <c r="U40" s="100"/>
      <c r="V40" s="100"/>
      <c r="W40" s="100"/>
      <c r="X40" s="7"/>
      <c r="Y40" s="7"/>
      <c r="Z40" s="7"/>
      <c r="AA40" s="7"/>
      <c r="AB40" s="13"/>
      <c r="AC40" s="13"/>
      <c r="AD40" s="13"/>
    </row>
    <row r="41" ht="14.4">
      <c r="A41" s="162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4"/>
      <c r="R41" s="165"/>
      <c r="S41" s="165"/>
      <c r="T41" s="165"/>
      <c r="U41" s="100"/>
      <c r="V41" s="100"/>
      <c r="W41" s="100"/>
      <c r="X41" s="51"/>
      <c r="Y41" s="7"/>
      <c r="Z41" s="7"/>
      <c r="AA41" s="7"/>
      <c r="AB41" s="13"/>
      <c r="AC41" s="13"/>
      <c r="AD41" s="13"/>
    </row>
    <row r="42" ht="14.4">
      <c r="A42" s="143"/>
      <c r="B42" s="43" t="s">
        <v>17</v>
      </c>
      <c r="C42" s="142"/>
      <c r="D42" s="43" t="s">
        <v>18</v>
      </c>
      <c r="E42" s="142"/>
      <c r="F42" s="43" t="s">
        <v>19</v>
      </c>
      <c r="G42" s="43"/>
      <c r="H42" s="43" t="s">
        <v>20</v>
      </c>
      <c r="I42" s="142"/>
      <c r="J42" s="43" t="s">
        <v>21</v>
      </c>
      <c r="K42" s="43"/>
      <c r="L42" s="43" t="s">
        <v>22</v>
      </c>
      <c r="M42" s="43"/>
      <c r="N42" s="43" t="s">
        <v>23</v>
      </c>
      <c r="O42" s="43"/>
      <c r="P42" s="208" t="s">
        <v>24</v>
      </c>
      <c r="Q42" s="209"/>
      <c r="R42" s="143"/>
      <c r="S42" s="143"/>
      <c r="T42" s="143"/>
      <c r="U42" s="62"/>
      <c r="V42" s="62"/>
      <c r="W42" s="62"/>
      <c r="X42" s="63"/>
      <c r="Y42" s="7"/>
      <c r="Z42" s="7"/>
      <c r="AA42" s="7"/>
      <c r="AB42" s="13"/>
      <c r="AC42" s="13"/>
      <c r="AD42" s="13"/>
    </row>
    <row r="43" ht="14.4">
      <c r="A43" s="248"/>
      <c r="B43" s="53">
        <v>46307</v>
      </c>
      <c r="C43" s="53"/>
      <c r="D43" s="53">
        <v>46308</v>
      </c>
      <c r="E43" s="53"/>
      <c r="F43" s="53">
        <v>46309</v>
      </c>
      <c r="G43" s="53"/>
      <c r="H43" s="53">
        <v>46310</v>
      </c>
      <c r="I43" s="53"/>
      <c r="J43" s="53">
        <v>46311</v>
      </c>
      <c r="K43" s="53"/>
      <c r="L43" s="53">
        <v>46312</v>
      </c>
      <c r="M43" s="53"/>
      <c r="N43" s="53">
        <v>46313</v>
      </c>
      <c r="O43" s="212"/>
      <c r="P43" s="213" t="s">
        <v>25</v>
      </c>
      <c r="Q43" s="214" t="s">
        <v>26</v>
      </c>
      <c r="R43" s="249"/>
      <c r="S43" s="147"/>
      <c r="T43" s="147"/>
      <c r="U43" s="60" t="s">
        <v>27</v>
      </c>
      <c r="V43" s="61" t="s">
        <v>28</v>
      </c>
      <c r="W43" s="62" t="s">
        <v>29</v>
      </c>
      <c r="X43" s="63" t="s">
        <v>30</v>
      </c>
      <c r="Y43" s="7"/>
      <c r="Z43" s="7"/>
      <c r="AA43" s="7"/>
      <c r="AB43" s="13"/>
      <c r="AC43" s="13"/>
      <c r="AD43" s="13"/>
    </row>
    <row r="44" ht="14.4">
      <c r="A44" s="217" t="s">
        <v>35</v>
      </c>
      <c r="B44" s="65" t="s">
        <v>32</v>
      </c>
      <c r="C44" s="65" t="s">
        <v>33</v>
      </c>
      <c r="D44" s="65" t="s">
        <v>32</v>
      </c>
      <c r="E44" s="65" t="s">
        <v>33</v>
      </c>
      <c r="F44" s="65" t="s">
        <v>32</v>
      </c>
      <c r="G44" s="65" t="s">
        <v>33</v>
      </c>
      <c r="H44" s="65" t="s">
        <v>32</v>
      </c>
      <c r="I44" s="65" t="s">
        <v>33</v>
      </c>
      <c r="J44" s="65" t="s">
        <v>32</v>
      </c>
      <c r="K44" s="65" t="s">
        <v>33</v>
      </c>
      <c r="L44" s="66"/>
      <c r="M44" s="66"/>
      <c r="N44" s="66"/>
      <c r="O44" s="66"/>
      <c r="P44" s="218">
        <f t="shared" si="23"/>
        <v>40</v>
      </c>
      <c r="Q44" s="62">
        <f t="shared" si="29"/>
        <v>72</v>
      </c>
      <c r="R44" s="219" t="str">
        <f t="shared" si="24"/>
        <v>Рычков</v>
      </c>
      <c r="S44" s="76" t="s">
        <v>10</v>
      </c>
      <c r="T44" s="77" t="s">
        <v>9</v>
      </c>
      <c r="U44" s="73">
        <f t="shared" si="30"/>
        <v>0</v>
      </c>
      <c r="V44" s="62">
        <f t="shared" si="31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4">
      <c r="A45" s="203" t="s">
        <v>39</v>
      </c>
      <c r="B45" s="65" t="s">
        <v>32</v>
      </c>
      <c r="C45" s="65" t="s">
        <v>33</v>
      </c>
      <c r="D45" s="65" t="s">
        <v>32</v>
      </c>
      <c r="E45" s="65" t="s">
        <v>33</v>
      </c>
      <c r="F45" s="65" t="s">
        <v>32</v>
      </c>
      <c r="G45" s="65" t="s">
        <v>33</v>
      </c>
      <c r="H45" s="65" t="s">
        <v>32</v>
      </c>
      <c r="I45" s="65" t="s">
        <v>33</v>
      </c>
      <c r="J45" s="65" t="s">
        <v>32</v>
      </c>
      <c r="K45" s="65" t="s">
        <v>33</v>
      </c>
      <c r="L45" s="66"/>
      <c r="M45" s="66"/>
      <c r="N45" s="66"/>
      <c r="O45" s="66"/>
      <c r="P45" s="218">
        <f t="shared" si="23"/>
        <v>40</v>
      </c>
      <c r="Q45" s="221">
        <f t="shared" si="29"/>
        <v>72</v>
      </c>
      <c r="R45" s="222" t="str">
        <f t="shared" si="24"/>
        <v>Игумнов</v>
      </c>
      <c r="S45" s="76" t="s">
        <v>10</v>
      </c>
      <c r="T45" s="77" t="s">
        <v>9</v>
      </c>
      <c r="U45" s="240">
        <f t="shared" si="30"/>
        <v>0</v>
      </c>
      <c r="V45" s="221">
        <f t="shared" si="31"/>
        <v>0</v>
      </c>
      <c r="W45" s="221"/>
      <c r="X45" s="79" t="s">
        <v>34</v>
      </c>
      <c r="Y45" s="7"/>
      <c r="Z45" s="7"/>
      <c r="AA45" s="7"/>
      <c r="AB45" s="13"/>
      <c r="AC45" s="13"/>
      <c r="AD45" s="13"/>
    </row>
    <row r="46" ht="14.4">
      <c r="A46" s="203" t="s">
        <v>40</v>
      </c>
      <c r="B46" s="65" t="s">
        <v>32</v>
      </c>
      <c r="C46" s="65" t="s">
        <v>33</v>
      </c>
      <c r="D46" s="65" t="s">
        <v>32</v>
      </c>
      <c r="E46" s="65" t="s">
        <v>33</v>
      </c>
      <c r="F46" s="65" t="s">
        <v>32</v>
      </c>
      <c r="G46" s="65" t="s">
        <v>33</v>
      </c>
      <c r="H46" s="65" t="s">
        <v>32</v>
      </c>
      <c r="I46" s="65" t="s">
        <v>33</v>
      </c>
      <c r="J46" s="65" t="s">
        <v>32</v>
      </c>
      <c r="K46" s="65" t="s">
        <v>33</v>
      </c>
      <c r="L46" s="66"/>
      <c r="M46" s="66"/>
      <c r="N46" s="66"/>
      <c r="O46" s="66"/>
      <c r="P46" s="68">
        <f t="shared" si="23"/>
        <v>40</v>
      </c>
      <c r="Q46" s="69">
        <f t="shared" si="29"/>
        <v>72</v>
      </c>
      <c r="R46" s="70" t="str">
        <f t="shared" si="24"/>
        <v>Душин</v>
      </c>
      <c r="S46" s="76" t="s">
        <v>10</v>
      </c>
      <c r="T46" s="77" t="s">
        <v>9</v>
      </c>
      <c r="U46" s="69">
        <f t="shared" si="30"/>
        <v>0</v>
      </c>
      <c r="V46" s="69">
        <f t="shared" si="31"/>
        <v>0</v>
      </c>
      <c r="W46" s="69"/>
      <c r="X46" s="242" t="s">
        <v>38</v>
      </c>
      <c r="Y46" s="7"/>
      <c r="Z46" s="7"/>
      <c r="AA46" s="7"/>
      <c r="AB46" s="13"/>
      <c r="AC46" s="13"/>
      <c r="AD46" s="13"/>
    </row>
    <row r="47" ht="14.4">
      <c r="A47" s="203" t="s">
        <v>42</v>
      </c>
      <c r="B47" s="65" t="s">
        <v>54</v>
      </c>
      <c r="C47" s="65" t="s">
        <v>33</v>
      </c>
      <c r="D47" s="65" t="s">
        <v>54</v>
      </c>
      <c r="E47" s="65" t="s">
        <v>33</v>
      </c>
      <c r="F47" s="65" t="s">
        <v>54</v>
      </c>
      <c r="G47" s="65" t="s">
        <v>33</v>
      </c>
      <c r="H47" s="65" t="s">
        <v>54</v>
      </c>
      <c r="I47" s="65" t="s">
        <v>33</v>
      </c>
      <c r="J47" s="65" t="s">
        <v>54</v>
      </c>
      <c r="K47" s="65" t="s">
        <v>33</v>
      </c>
      <c r="L47" s="87"/>
      <c r="M47" s="87"/>
      <c r="N47" s="87"/>
      <c r="O47" s="87"/>
      <c r="P47" s="68">
        <f t="shared" si="23"/>
        <v>40</v>
      </c>
      <c r="Q47" s="69">
        <f t="shared" si="29"/>
        <v>72</v>
      </c>
      <c r="R47" s="70" t="str">
        <f t="shared" si="24"/>
        <v>Юращик</v>
      </c>
      <c r="S47" s="76" t="s">
        <v>10</v>
      </c>
      <c r="T47" s="77" t="s">
        <v>9</v>
      </c>
      <c r="U47" s="69">
        <f t="shared" si="30"/>
        <v>0</v>
      </c>
      <c r="V47" s="69">
        <f t="shared" si="31"/>
        <v>0</v>
      </c>
      <c r="W47" s="69"/>
      <c r="X47" s="242" t="s">
        <v>38</v>
      </c>
      <c r="Y47" s="7"/>
      <c r="Z47" s="7"/>
      <c r="AA47" s="7"/>
      <c r="AB47" s="13"/>
      <c r="AC47" s="13"/>
      <c r="AD47" s="13"/>
    </row>
    <row r="48" ht="14.4">
      <c r="A48" s="202" t="s">
        <v>31</v>
      </c>
      <c r="B48" s="65" t="s">
        <v>32</v>
      </c>
      <c r="C48" s="65" t="s">
        <v>33</v>
      </c>
      <c r="D48" s="65" t="s">
        <v>32</v>
      </c>
      <c r="E48" s="65" t="s">
        <v>33</v>
      </c>
      <c r="F48" s="65" t="s">
        <v>32</v>
      </c>
      <c r="G48" s="65" t="s">
        <v>33</v>
      </c>
      <c r="H48" s="65" t="s">
        <v>32</v>
      </c>
      <c r="I48" s="65" t="s">
        <v>33</v>
      </c>
      <c r="J48" s="65" t="s">
        <v>32</v>
      </c>
      <c r="K48" s="198" t="s">
        <v>33</v>
      </c>
      <c r="L48" s="87"/>
      <c r="M48" s="87"/>
      <c r="N48" s="87"/>
      <c r="O48" s="87"/>
      <c r="P48" s="68">
        <f t="shared" si="23"/>
        <v>40</v>
      </c>
      <c r="Q48" s="69">
        <f t="shared" si="29"/>
        <v>72</v>
      </c>
      <c r="R48" s="70" t="s">
        <v>31</v>
      </c>
      <c r="S48" s="173" t="s">
        <v>10</v>
      </c>
      <c r="T48" s="77" t="s">
        <v>9</v>
      </c>
      <c r="U48" s="69">
        <f t="shared" si="30"/>
        <v>0</v>
      </c>
      <c r="V48" s="69">
        <f t="shared" si="31"/>
        <v>0</v>
      </c>
      <c r="W48" s="69"/>
      <c r="X48" s="242"/>
      <c r="Y48" s="7"/>
      <c r="Z48" s="7"/>
      <c r="AA48" s="7"/>
      <c r="AB48" s="13"/>
      <c r="AC48" s="13"/>
      <c r="AD48" s="13"/>
    </row>
    <row r="49" ht="14.4">
      <c r="A49" s="204" t="s">
        <v>43</v>
      </c>
      <c r="B49" s="66"/>
      <c r="C49" s="66"/>
      <c r="D49" s="77"/>
      <c r="E49" s="77" t="s">
        <v>4</v>
      </c>
      <c r="F49" s="83"/>
      <c r="G49" s="83" t="s">
        <v>4</v>
      </c>
      <c r="H49" s="66"/>
      <c r="I49" s="66"/>
      <c r="J49" s="66"/>
      <c r="K49" s="66"/>
      <c r="L49" s="76"/>
      <c r="M49" s="76" t="s">
        <v>4</v>
      </c>
      <c r="N49" s="76"/>
      <c r="O49" s="76" t="s">
        <v>4</v>
      </c>
      <c r="P49" s="68">
        <f t="shared" si="23"/>
        <v>48</v>
      </c>
      <c r="Q49" s="69">
        <f t="shared" si="29"/>
        <v>68</v>
      </c>
      <c r="R49" s="70" t="s">
        <v>43</v>
      </c>
      <c r="S49" s="71" t="s">
        <v>12</v>
      </c>
      <c r="T49" s="72" t="s">
        <v>11</v>
      </c>
      <c r="U49" s="69">
        <f t="shared" si="30"/>
        <v>0</v>
      </c>
      <c r="V49" s="69">
        <f t="shared" si="31"/>
        <v>0</v>
      </c>
      <c r="W49" s="69"/>
      <c r="X49" s="242" t="s">
        <v>44</v>
      </c>
      <c r="Y49" s="80"/>
      <c r="Z49" s="80"/>
      <c r="AA49" s="80"/>
      <c r="AB49" s="13"/>
      <c r="AC49" s="13"/>
      <c r="AD49" s="13"/>
    </row>
    <row r="50" ht="14.4">
      <c r="A50" s="250" t="s">
        <v>45</v>
      </c>
      <c r="B50" s="83"/>
      <c r="C50" s="83" t="s">
        <v>4</v>
      </c>
      <c r="D50" s="66"/>
      <c r="E50" s="66"/>
      <c r="F50" s="66"/>
      <c r="G50" s="66"/>
      <c r="H50" s="77"/>
      <c r="I50" s="77" t="s">
        <v>4</v>
      </c>
      <c r="J50" s="77"/>
      <c r="K50" s="77" t="s">
        <v>33</v>
      </c>
      <c r="L50" s="251"/>
      <c r="M50" s="77" t="s">
        <v>4</v>
      </c>
      <c r="N50" s="66"/>
      <c r="O50" s="66"/>
      <c r="P50" s="68">
        <f t="shared" si="23"/>
        <v>44</v>
      </c>
      <c r="Q50" s="69">
        <f t="shared" si="29"/>
        <v>72</v>
      </c>
      <c r="R50" s="70" t="str">
        <f t="shared" si="24"/>
        <v>Пузырь</v>
      </c>
      <c r="S50" s="76" t="s">
        <v>10</v>
      </c>
      <c r="T50" s="77" t="s">
        <v>9</v>
      </c>
      <c r="U50" s="69">
        <f t="shared" si="30"/>
        <v>0</v>
      </c>
      <c r="V50" s="69">
        <f t="shared" si="31"/>
        <v>0</v>
      </c>
      <c r="W50" s="69"/>
      <c r="X50" s="242" t="s">
        <v>34</v>
      </c>
      <c r="Y50" s="7"/>
      <c r="Z50" s="7"/>
      <c r="AA50" s="7"/>
      <c r="AB50" s="13"/>
      <c r="AC50" s="13"/>
      <c r="AD50" s="13"/>
    </row>
    <row r="51" ht="14.4">
      <c r="A51" s="250" t="s">
        <v>46</v>
      </c>
      <c r="B51" s="66"/>
      <c r="C51" s="66"/>
      <c r="D51" s="77"/>
      <c r="E51" s="77" t="s">
        <v>4</v>
      </c>
      <c r="F51" s="83"/>
      <c r="G51" s="83" t="s">
        <v>4</v>
      </c>
      <c r="H51" s="66"/>
      <c r="I51" s="66"/>
      <c r="J51" s="66"/>
      <c r="K51" s="66"/>
      <c r="L51" s="76"/>
      <c r="M51" s="76" t="s">
        <v>4</v>
      </c>
      <c r="N51" s="76"/>
      <c r="O51" s="76" t="s">
        <v>4</v>
      </c>
      <c r="P51" s="68">
        <f t="shared" si="23"/>
        <v>48</v>
      </c>
      <c r="Q51" s="69">
        <f t="shared" si="29"/>
        <v>56</v>
      </c>
      <c r="R51" s="70" t="str">
        <f t="shared" si="24"/>
        <v>Голышев</v>
      </c>
      <c r="S51" s="76" t="s">
        <v>10</v>
      </c>
      <c r="T51" s="77" t="s">
        <v>9</v>
      </c>
      <c r="U51" s="69">
        <f t="shared" si="30"/>
        <v>0</v>
      </c>
      <c r="V51" s="69">
        <f t="shared" si="31"/>
        <v>0</v>
      </c>
      <c r="W51" s="69"/>
      <c r="X51" s="242" t="s">
        <v>34</v>
      </c>
      <c r="Y51" s="7"/>
      <c r="Z51" s="7"/>
      <c r="AA51" s="7"/>
      <c r="AB51" s="13"/>
      <c r="AC51" s="13"/>
      <c r="AD51" s="13"/>
    </row>
    <row r="52" ht="14.4">
      <c r="A52" s="250" t="s">
        <v>47</v>
      </c>
      <c r="B52" s="87"/>
      <c r="C52" s="87"/>
      <c r="D52" s="225"/>
      <c r="E52" s="76">
        <v>8</v>
      </c>
      <c r="F52" s="225"/>
      <c r="G52" s="225">
        <v>12</v>
      </c>
      <c r="H52" s="225"/>
      <c r="I52" s="225">
        <v>12</v>
      </c>
      <c r="J52" s="87"/>
      <c r="K52" s="87"/>
      <c r="L52" s="87"/>
      <c r="M52" s="87"/>
      <c r="N52" s="131"/>
      <c r="O52" s="131">
        <v>12</v>
      </c>
      <c r="P52" s="68">
        <f t="shared" si="23"/>
        <v>44</v>
      </c>
      <c r="Q52" s="69">
        <f t="shared" si="29"/>
        <v>60</v>
      </c>
      <c r="R52" s="70" t="str">
        <f t="shared" si="24"/>
        <v>Торубара</v>
      </c>
      <c r="S52" s="76" t="s">
        <v>10</v>
      </c>
      <c r="T52" s="77" t="s">
        <v>9</v>
      </c>
      <c r="U52" s="69">
        <f t="shared" si="30"/>
        <v>0</v>
      </c>
      <c r="V52" s="69">
        <f t="shared" si="31"/>
        <v>0</v>
      </c>
      <c r="W52" s="69"/>
      <c r="X52" s="242" t="s">
        <v>34</v>
      </c>
      <c r="Y52" s="7"/>
      <c r="Z52" s="7"/>
      <c r="AA52" s="7"/>
      <c r="AB52" s="13"/>
      <c r="AC52" s="13"/>
      <c r="AD52" s="13"/>
    </row>
    <row r="53" ht="14.4">
      <c r="A53" s="250" t="s">
        <v>48</v>
      </c>
      <c r="B53" s="243"/>
      <c r="C53" s="243" t="s">
        <v>4</v>
      </c>
      <c r="D53" s="82"/>
      <c r="E53" s="82"/>
      <c r="F53" s="66"/>
      <c r="G53" s="66"/>
      <c r="H53" s="243"/>
      <c r="I53" s="243" t="s">
        <v>4</v>
      </c>
      <c r="J53" s="243"/>
      <c r="K53" s="243" t="s">
        <v>4</v>
      </c>
      <c r="L53" s="82"/>
      <c r="M53" s="82"/>
      <c r="N53" s="82"/>
      <c r="O53" s="82"/>
      <c r="P53" s="68">
        <f t="shared" si="23"/>
        <v>36</v>
      </c>
      <c r="Q53" s="69">
        <f t="shared" si="29"/>
        <v>68</v>
      </c>
      <c r="R53" s="70" t="str">
        <f t="shared" si="24"/>
        <v>Стрыгин</v>
      </c>
      <c r="S53" s="71" t="s">
        <v>8</v>
      </c>
      <c r="T53" s="72" t="s">
        <v>7</v>
      </c>
      <c r="U53" s="69">
        <f t="shared" si="30"/>
        <v>0</v>
      </c>
      <c r="V53" s="69">
        <f t="shared" si="31"/>
        <v>0</v>
      </c>
      <c r="W53" s="69"/>
      <c r="X53" s="242" t="s">
        <v>49</v>
      </c>
      <c r="Y53" s="7"/>
      <c r="Z53" s="7"/>
      <c r="AA53" s="7"/>
      <c r="AB53" s="13"/>
      <c r="AC53" s="13"/>
      <c r="AD53" s="13"/>
    </row>
    <row r="54" ht="14.4">
      <c r="A54" s="250" t="s">
        <v>50</v>
      </c>
      <c r="B54" s="66"/>
      <c r="C54" s="66"/>
      <c r="D54" s="76"/>
      <c r="E54" s="76" t="s">
        <v>4</v>
      </c>
      <c r="F54" s="76"/>
      <c r="G54" s="76" t="s">
        <v>4</v>
      </c>
      <c r="H54" s="66"/>
      <c r="I54" s="66"/>
      <c r="J54" s="66"/>
      <c r="K54" s="66"/>
      <c r="L54" s="83"/>
      <c r="M54" s="83" t="s">
        <v>4</v>
      </c>
      <c r="N54" s="83"/>
      <c r="O54" s="83" t="s">
        <v>4</v>
      </c>
      <c r="P54" s="68">
        <f t="shared" si="23"/>
        <v>48</v>
      </c>
      <c r="Q54" s="69">
        <f t="shared" si="29"/>
        <v>68</v>
      </c>
      <c r="R54" s="70" t="str">
        <f t="shared" si="24"/>
        <v>Фрик</v>
      </c>
      <c r="S54" s="71" t="s">
        <v>12</v>
      </c>
      <c r="T54" s="72" t="s">
        <v>11</v>
      </c>
      <c r="U54" s="69">
        <f t="shared" si="30"/>
        <v>0</v>
      </c>
      <c r="V54" s="69">
        <f t="shared" si="31"/>
        <v>0</v>
      </c>
      <c r="W54" s="69"/>
      <c r="X54" s="242" t="s">
        <v>44</v>
      </c>
      <c r="Y54" s="7"/>
      <c r="Z54" s="7"/>
      <c r="AA54" s="7"/>
      <c r="AB54" s="13"/>
      <c r="AC54" s="13"/>
      <c r="AD54" s="13"/>
    </row>
    <row r="55" ht="14.4">
      <c r="A55" s="252" t="s">
        <v>51</v>
      </c>
      <c r="B55" s="76"/>
      <c r="C55" s="78" t="s">
        <v>4</v>
      </c>
      <c r="D55" s="67"/>
      <c r="E55" s="66"/>
      <c r="F55" s="67"/>
      <c r="G55" s="67"/>
      <c r="H55" s="83"/>
      <c r="I55" s="83" t="s">
        <v>33</v>
      </c>
      <c r="J55" s="83"/>
      <c r="K55" s="83" t="s">
        <v>4</v>
      </c>
      <c r="L55" s="66"/>
      <c r="M55" s="66"/>
      <c r="N55" s="67"/>
      <c r="O55" s="67"/>
      <c r="P55" s="228">
        <f t="shared" si="23"/>
        <v>32</v>
      </c>
      <c r="Q55" s="229">
        <f t="shared" si="29"/>
        <v>64</v>
      </c>
      <c r="R55" s="230" t="str">
        <f t="shared" si="24"/>
        <v>Истрашкин</v>
      </c>
      <c r="S55" s="71" t="s">
        <v>10</v>
      </c>
      <c r="T55" s="72" t="s">
        <v>9</v>
      </c>
      <c r="U55" s="244">
        <f t="shared" si="30"/>
        <v>0</v>
      </c>
      <c r="V55" s="229">
        <f t="shared" si="31"/>
        <v>0</v>
      </c>
      <c r="W55" s="229"/>
      <c r="X55" s="74" t="s">
        <v>34</v>
      </c>
      <c r="Y55" s="7"/>
      <c r="Z55" s="7"/>
      <c r="AA55" s="7"/>
      <c r="AB55" s="13"/>
      <c r="AC55" s="13"/>
      <c r="AD55" s="13"/>
    </row>
    <row r="56" ht="14.4">
      <c r="A56" s="207"/>
      <c r="B56" s="53">
        <v>46307</v>
      </c>
      <c r="C56" s="53"/>
      <c r="D56" s="53">
        <v>46308</v>
      </c>
      <c r="E56" s="53"/>
      <c r="F56" s="53">
        <v>46309</v>
      </c>
      <c r="G56" s="53"/>
      <c r="H56" s="53">
        <v>46310</v>
      </c>
      <c r="I56" s="53"/>
      <c r="J56" s="53">
        <v>46311</v>
      </c>
      <c r="K56" s="53"/>
      <c r="L56" s="53">
        <v>46312</v>
      </c>
      <c r="M56" s="53"/>
      <c r="N56" s="53">
        <v>46313</v>
      </c>
      <c r="O56" s="212"/>
      <c r="P56" s="253"/>
      <c r="Q56" s="254"/>
      <c r="R56" s="207"/>
      <c r="S56" s="138"/>
      <c r="T56" s="138"/>
      <c r="U56" s="60" t="s">
        <v>27</v>
      </c>
      <c r="V56" s="61" t="s">
        <v>28</v>
      </c>
      <c r="W56" s="62" t="s">
        <v>29</v>
      </c>
      <c r="X56" s="7"/>
      <c r="Y56" s="7"/>
      <c r="Z56" s="7"/>
      <c r="AA56" s="7"/>
      <c r="AB56" s="13"/>
      <c r="AC56" s="13"/>
      <c r="AD56" s="13"/>
    </row>
    <row r="57" ht="14.4">
      <c r="A57" s="165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65"/>
      <c r="Q57" s="165"/>
      <c r="R57" s="193"/>
      <c r="S57" s="127"/>
      <c r="T57" s="127"/>
      <c r="U57" s="127"/>
      <c r="V57" s="127"/>
      <c r="W57" s="128"/>
      <c r="X57" s="7"/>
      <c r="Y57" s="7"/>
      <c r="Z57" s="7"/>
      <c r="AA57" s="7"/>
      <c r="AB57" s="13"/>
      <c r="AC57" s="13"/>
      <c r="AD57" s="13"/>
    </row>
    <row r="58" ht="14.4">
      <c r="A58" s="143"/>
      <c r="B58" s="43" t="s">
        <v>17</v>
      </c>
      <c r="C58" s="142"/>
      <c r="D58" s="43" t="s">
        <v>18</v>
      </c>
      <c r="E58" s="142"/>
      <c r="F58" s="43" t="s">
        <v>19</v>
      </c>
      <c r="G58" s="43"/>
      <c r="H58" s="43" t="s">
        <v>20</v>
      </c>
      <c r="I58" s="142"/>
      <c r="J58" s="45" t="s">
        <v>21</v>
      </c>
      <c r="K58" s="45"/>
      <c r="L58" s="43" t="s">
        <v>22</v>
      </c>
      <c r="M58" s="43"/>
      <c r="N58" s="43" t="s">
        <v>23</v>
      </c>
      <c r="O58" s="43"/>
      <c r="P58" s="208" t="s">
        <v>24</v>
      </c>
      <c r="Q58" s="209"/>
      <c r="R58" s="143"/>
      <c r="S58" s="143"/>
      <c r="T58" s="143"/>
      <c r="U58" s="62"/>
      <c r="V58" s="62"/>
      <c r="W58" s="62"/>
      <c r="X58" s="51"/>
      <c r="Y58" s="7"/>
      <c r="Z58" s="7"/>
      <c r="AA58" s="7"/>
      <c r="AB58" s="13"/>
      <c r="AC58" s="13"/>
      <c r="AD58" s="13"/>
    </row>
    <row r="59" ht="14.4">
      <c r="A59" s="248"/>
      <c r="B59" s="53">
        <v>46314</v>
      </c>
      <c r="C59" s="53"/>
      <c r="D59" s="53">
        <v>46315</v>
      </c>
      <c r="E59" s="53"/>
      <c r="F59" s="53">
        <v>46316</v>
      </c>
      <c r="G59" s="53"/>
      <c r="H59" s="53">
        <v>46317</v>
      </c>
      <c r="I59" s="53"/>
      <c r="J59" s="53">
        <v>46318</v>
      </c>
      <c r="K59" s="53"/>
      <c r="L59" s="53">
        <v>46319</v>
      </c>
      <c r="M59" s="53"/>
      <c r="N59" s="53">
        <v>46320</v>
      </c>
      <c r="O59" s="212"/>
      <c r="P59" s="213" t="s">
        <v>25</v>
      </c>
      <c r="Q59" s="214" t="s">
        <v>26</v>
      </c>
      <c r="R59" s="249"/>
      <c r="S59" s="147"/>
      <c r="T59" s="147"/>
      <c r="U59" s="60" t="s">
        <v>27</v>
      </c>
      <c r="V59" s="61" t="s">
        <v>28</v>
      </c>
      <c r="W59" s="62" t="s">
        <v>29</v>
      </c>
      <c r="X59" s="63" t="s">
        <v>30</v>
      </c>
      <c r="Y59" s="7"/>
      <c r="Z59" s="7"/>
      <c r="AA59" s="7"/>
      <c r="AB59" s="13"/>
      <c r="AC59" s="13"/>
      <c r="AD59" s="13"/>
    </row>
    <row r="60" ht="14.4">
      <c r="A60" s="203" t="s">
        <v>35</v>
      </c>
      <c r="B60" s="65" t="s">
        <v>32</v>
      </c>
      <c r="C60" s="65" t="s">
        <v>33</v>
      </c>
      <c r="D60" s="65" t="s">
        <v>32</v>
      </c>
      <c r="E60" s="65" t="s">
        <v>33</v>
      </c>
      <c r="F60" s="65" t="s">
        <v>32</v>
      </c>
      <c r="G60" s="65" t="s">
        <v>33</v>
      </c>
      <c r="H60" s="65" t="s">
        <v>32</v>
      </c>
      <c r="I60" s="65" t="s">
        <v>33</v>
      </c>
      <c r="J60" s="65" t="s">
        <v>32</v>
      </c>
      <c r="K60" s="65" t="s">
        <v>33</v>
      </c>
      <c r="L60" s="66"/>
      <c r="M60" s="66"/>
      <c r="N60" s="66"/>
      <c r="O60" s="66"/>
      <c r="P60" s="218">
        <f t="shared" si="23"/>
        <v>40</v>
      </c>
      <c r="Q60" s="62">
        <f t="shared" si="29"/>
        <v>32</v>
      </c>
      <c r="R60" s="219" t="str">
        <f t="shared" si="24"/>
        <v>Рычков</v>
      </c>
      <c r="S60" s="76" t="s">
        <v>10</v>
      </c>
      <c r="T60" s="77" t="s">
        <v>9</v>
      </c>
      <c r="U60" s="73">
        <f t="shared" si="30"/>
        <v>0</v>
      </c>
      <c r="V60" s="62">
        <f t="shared" si="31"/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4">
      <c r="A61" s="203" t="s">
        <v>39</v>
      </c>
      <c r="B61" s="122"/>
      <c r="C61" s="122" t="s">
        <v>33</v>
      </c>
      <c r="D61" s="122"/>
      <c r="E61" s="122" t="s">
        <v>33</v>
      </c>
      <c r="F61" s="122"/>
      <c r="G61" s="122" t="s">
        <v>33</v>
      </c>
      <c r="H61" s="122"/>
      <c r="I61" s="122" t="s">
        <v>33</v>
      </c>
      <c r="J61" s="122"/>
      <c r="K61" s="122" t="s">
        <v>33</v>
      </c>
      <c r="L61" s="122"/>
      <c r="M61" s="122"/>
      <c r="N61" s="122"/>
      <c r="O61" s="122"/>
      <c r="P61" s="220">
        <f t="shared" si="23"/>
        <v>40</v>
      </c>
      <c r="Q61" s="221">
        <f t="shared" si="29"/>
        <v>32</v>
      </c>
      <c r="R61" s="222" t="str">
        <f t="shared" si="24"/>
        <v>Игумнов</v>
      </c>
      <c r="S61" s="76" t="s">
        <v>10</v>
      </c>
      <c r="T61" s="77" t="s">
        <v>9</v>
      </c>
      <c r="U61" s="240">
        <f t="shared" si="30"/>
        <v>0</v>
      </c>
      <c r="V61" s="221">
        <f t="shared" si="31"/>
        <v>0</v>
      </c>
      <c r="W61" s="221"/>
      <c r="X61" s="79" t="s">
        <v>34</v>
      </c>
      <c r="Y61" s="7"/>
      <c r="Z61" s="7"/>
      <c r="AA61" s="7"/>
      <c r="AB61" s="13"/>
      <c r="AC61" s="13"/>
      <c r="AD61" s="13"/>
    </row>
    <row r="62" ht="14.4">
      <c r="A62" s="203" t="s">
        <v>40</v>
      </c>
      <c r="B62" s="255" t="s">
        <v>32</v>
      </c>
      <c r="C62" s="255" t="s">
        <v>33</v>
      </c>
      <c r="D62" s="255" t="s">
        <v>32</v>
      </c>
      <c r="E62" s="255" t="s">
        <v>33</v>
      </c>
      <c r="F62" s="255" t="s">
        <v>32</v>
      </c>
      <c r="G62" s="255" t="s">
        <v>33</v>
      </c>
      <c r="H62" s="255" t="s">
        <v>32</v>
      </c>
      <c r="I62" s="255" t="s">
        <v>33</v>
      </c>
      <c r="J62" s="255" t="s">
        <v>32</v>
      </c>
      <c r="K62" s="255" t="s">
        <v>33</v>
      </c>
      <c r="L62" s="256"/>
      <c r="M62" s="256"/>
      <c r="N62" s="256"/>
      <c r="O62" s="256"/>
      <c r="P62" s="68">
        <f t="shared" si="23"/>
        <v>40</v>
      </c>
      <c r="Q62" s="69">
        <f t="shared" si="29"/>
        <v>32</v>
      </c>
      <c r="R62" s="70" t="str">
        <f t="shared" si="24"/>
        <v>Душин</v>
      </c>
      <c r="S62" s="76" t="s">
        <v>10</v>
      </c>
      <c r="T62" s="77" t="s">
        <v>9</v>
      </c>
      <c r="U62" s="69">
        <f t="shared" si="30"/>
        <v>0</v>
      </c>
      <c r="V62" s="69">
        <f>COUNTIF(U62,C62)+COUNTIF(U62,E62)+COUNTIF(U62,G62)+COUNTIF(U62,I62)+COUNTIF(U62,K62)+COUNTIF(U62,M62)+COUNTIF(U62,O62)</f>
        <v>2</v>
      </c>
      <c r="W62" s="69"/>
      <c r="X62" s="242" t="s">
        <v>38</v>
      </c>
      <c r="Y62" s="7"/>
      <c r="Z62" s="7"/>
      <c r="AA62" s="7"/>
      <c r="AB62" s="13"/>
      <c r="AC62" s="13"/>
      <c r="AD62" s="13"/>
    </row>
    <row r="63" ht="14.4">
      <c r="A63" s="203" t="s">
        <v>42</v>
      </c>
      <c r="B63" s="120"/>
      <c r="C63" s="120" t="s">
        <v>33</v>
      </c>
      <c r="D63" s="120"/>
      <c r="E63" s="120" t="s">
        <v>33</v>
      </c>
      <c r="F63" s="120"/>
      <c r="G63" s="120" t="s">
        <v>33</v>
      </c>
      <c r="H63" s="120"/>
      <c r="I63" s="120" t="s">
        <v>33</v>
      </c>
      <c r="J63" s="120"/>
      <c r="K63" s="120" t="s">
        <v>33</v>
      </c>
      <c r="L63" s="120"/>
      <c r="M63" s="120"/>
      <c r="N63" s="120"/>
      <c r="O63" s="120"/>
      <c r="P63" s="68">
        <f t="shared" si="23"/>
        <v>40</v>
      </c>
      <c r="Q63" s="69">
        <f t="shared" si="29"/>
        <v>32</v>
      </c>
      <c r="R63" s="70" t="str">
        <f t="shared" si="24"/>
        <v>Юращик</v>
      </c>
      <c r="S63" s="76" t="s">
        <v>10</v>
      </c>
      <c r="T63" s="77" t="s">
        <v>9</v>
      </c>
      <c r="U63" s="69"/>
      <c r="V63" s="69"/>
      <c r="W63" s="69"/>
      <c r="X63" s="242" t="s">
        <v>38</v>
      </c>
      <c r="Y63" s="7"/>
      <c r="Z63" s="7"/>
      <c r="AA63" s="7"/>
      <c r="AB63" s="13"/>
      <c r="AC63" s="13"/>
      <c r="AD63" s="13"/>
    </row>
    <row r="64" ht="14.4">
      <c r="A64" s="202" t="s">
        <v>31</v>
      </c>
      <c r="B64" s="65" t="s">
        <v>32</v>
      </c>
      <c r="C64" s="198" t="s">
        <v>33</v>
      </c>
      <c r="D64" s="65" t="s">
        <v>32</v>
      </c>
      <c r="E64" s="198" t="s">
        <v>33</v>
      </c>
      <c r="F64" s="65" t="s">
        <v>32</v>
      </c>
      <c r="G64" s="198" t="s">
        <v>33</v>
      </c>
      <c r="H64" s="65" t="s">
        <v>32</v>
      </c>
      <c r="I64" s="198" t="s">
        <v>33</v>
      </c>
      <c r="J64" s="65" t="s">
        <v>32</v>
      </c>
      <c r="K64" s="198" t="s">
        <v>33</v>
      </c>
      <c r="L64" s="87"/>
      <c r="M64" s="87"/>
      <c r="N64" s="87"/>
      <c r="O64" s="87"/>
      <c r="P64" s="68">
        <f t="shared" si="23"/>
        <v>40</v>
      </c>
      <c r="Q64" s="69">
        <f t="shared" si="29"/>
        <v>32</v>
      </c>
      <c r="R64" s="70" t="s">
        <v>31</v>
      </c>
      <c r="S64" s="173" t="s">
        <v>10</v>
      </c>
      <c r="T64" s="77" t="s">
        <v>9</v>
      </c>
      <c r="U64" s="69"/>
      <c r="V64" s="69"/>
      <c r="W64" s="69"/>
      <c r="X64" s="242"/>
      <c r="Y64" s="7"/>
      <c r="Z64" s="7"/>
      <c r="AA64" s="7"/>
      <c r="AB64" s="13"/>
      <c r="AC64" s="13"/>
      <c r="AD64" s="13"/>
    </row>
    <row r="65" ht="14.4">
      <c r="A65" s="204" t="s">
        <v>43</v>
      </c>
      <c r="B65" s="67"/>
      <c r="C65" s="67"/>
      <c r="D65" s="67"/>
      <c r="E65" s="67"/>
      <c r="F65" s="77"/>
      <c r="G65" s="77" t="s">
        <v>55</v>
      </c>
      <c r="H65" s="83"/>
      <c r="I65" s="83" t="s">
        <v>56</v>
      </c>
      <c r="J65" s="112"/>
      <c r="K65" s="83" t="s">
        <v>4</v>
      </c>
      <c r="L65" s="67"/>
      <c r="M65" s="67"/>
      <c r="N65" s="76"/>
      <c r="O65" s="76" t="s">
        <v>4</v>
      </c>
      <c r="P65" s="68">
        <f t="shared" si="23"/>
        <v>40</v>
      </c>
      <c r="Q65" s="69">
        <f t="shared" si="29"/>
        <v>28</v>
      </c>
      <c r="R65" s="70" t="s">
        <v>43</v>
      </c>
      <c r="S65" s="71" t="s">
        <v>12</v>
      </c>
      <c r="T65" s="72" t="s">
        <v>11</v>
      </c>
      <c r="U65" s="69">
        <f t="shared" si="30"/>
        <v>0</v>
      </c>
      <c r="V65" s="69">
        <f t="shared" ref="V65:V87" si="32">COUNTIF(S65,B65)+COUNTIF(S65,D65)+COUNTIF(S65,F65)+COUNTIF(S65,H65)+COUNTIF(S65,J65)+COUNTIF(S65,L65)+COUNTIF(S65,N65)</f>
        <v>0</v>
      </c>
      <c r="W65" s="69"/>
      <c r="X65" s="242" t="s">
        <v>44</v>
      </c>
      <c r="Y65" s="80"/>
      <c r="Z65" s="80"/>
      <c r="AA65" s="80"/>
      <c r="AB65" s="13"/>
      <c r="AC65" s="13"/>
      <c r="AD65" s="13"/>
    </row>
    <row r="66" ht="14.4">
      <c r="A66" s="205" t="s">
        <v>45</v>
      </c>
      <c r="B66" s="78"/>
      <c r="C66" s="78" t="s">
        <v>4</v>
      </c>
      <c r="D66" s="78"/>
      <c r="E66" s="78" t="s">
        <v>4</v>
      </c>
      <c r="F66" s="82"/>
      <c r="G66" s="82"/>
      <c r="H66" s="82"/>
      <c r="I66" s="82"/>
      <c r="J66" s="77"/>
      <c r="K66" s="83" t="s">
        <v>4</v>
      </c>
      <c r="L66" s="77"/>
      <c r="M66" s="83" t="s">
        <v>4</v>
      </c>
      <c r="N66" s="251"/>
      <c r="O66" s="77" t="s">
        <v>33</v>
      </c>
      <c r="P66" s="68">
        <f t="shared" si="23"/>
        <v>56</v>
      </c>
      <c r="Q66" s="69">
        <f t="shared" si="29"/>
        <v>16</v>
      </c>
      <c r="R66" s="70" t="str">
        <f t="shared" si="24"/>
        <v>Пузырь</v>
      </c>
      <c r="S66" s="76" t="s">
        <v>10</v>
      </c>
      <c r="T66" s="77" t="s">
        <v>9</v>
      </c>
      <c r="U66" s="69">
        <f t="shared" si="30"/>
        <v>0</v>
      </c>
      <c r="V66" s="69">
        <f t="shared" si="32"/>
        <v>0</v>
      </c>
      <c r="W66" s="69"/>
      <c r="X66" s="242" t="s">
        <v>34</v>
      </c>
      <c r="Y66" s="7"/>
      <c r="Z66" s="7"/>
      <c r="AA66" s="7"/>
      <c r="AB66" s="13"/>
      <c r="AC66" s="13"/>
      <c r="AD66" s="13"/>
    </row>
    <row r="67" ht="14.4">
      <c r="A67" s="205" t="s">
        <v>46</v>
      </c>
      <c r="B67" s="67"/>
      <c r="C67" s="67"/>
      <c r="D67" s="67"/>
      <c r="E67" s="67"/>
      <c r="F67" s="77"/>
      <c r="G67" s="77" t="s">
        <v>4</v>
      </c>
      <c r="H67" s="83"/>
      <c r="I67" s="83" t="s">
        <v>57</v>
      </c>
      <c r="J67" s="66"/>
      <c r="K67" s="66"/>
      <c r="L67" s="67"/>
      <c r="M67" s="67"/>
      <c r="N67" s="76"/>
      <c r="O67" s="76" t="s">
        <v>4</v>
      </c>
      <c r="P67" s="68">
        <f t="shared" si="23"/>
        <v>28</v>
      </c>
      <c r="Q67" s="69">
        <f t="shared" si="29"/>
        <v>28</v>
      </c>
      <c r="R67" s="70" t="str">
        <f t="shared" si="24"/>
        <v>Голышев</v>
      </c>
      <c r="S67" s="76" t="s">
        <v>10</v>
      </c>
      <c r="T67" s="77" t="s">
        <v>9</v>
      </c>
      <c r="U67" s="69">
        <f t="shared" si="30"/>
        <v>0</v>
      </c>
      <c r="V67" s="69">
        <f t="shared" si="32"/>
        <v>0</v>
      </c>
      <c r="W67" s="69"/>
      <c r="X67" s="242" t="s">
        <v>34</v>
      </c>
      <c r="Y67" s="7"/>
      <c r="Z67" s="7"/>
      <c r="AA67" s="7"/>
      <c r="AB67" s="13"/>
      <c r="AC67" s="13"/>
      <c r="AD67" s="13"/>
    </row>
    <row r="68" ht="14.4">
      <c r="A68" s="205" t="s">
        <v>47</v>
      </c>
      <c r="B68" s="110"/>
      <c r="C68" s="110" t="s">
        <v>4</v>
      </c>
      <c r="D68" s="150"/>
      <c r="E68" s="150"/>
      <c r="F68" s="109"/>
      <c r="G68" s="109"/>
      <c r="H68" s="257"/>
      <c r="I68" s="107" t="s">
        <v>33</v>
      </c>
      <c r="J68" s="257"/>
      <c r="K68" s="107" t="s">
        <v>4</v>
      </c>
      <c r="L68" s="107"/>
      <c r="M68" s="107" t="s">
        <v>4</v>
      </c>
      <c r="N68" s="109"/>
      <c r="O68" s="109"/>
      <c r="P68" s="68">
        <f t="shared" si="23"/>
        <v>44</v>
      </c>
      <c r="Q68" s="69">
        <f t="shared" si="29"/>
        <v>16</v>
      </c>
      <c r="R68" s="70" t="str">
        <f t="shared" si="24"/>
        <v>Торубара</v>
      </c>
      <c r="S68" s="76" t="s">
        <v>10</v>
      </c>
      <c r="T68" s="77" t="s">
        <v>9</v>
      </c>
      <c r="U68" s="69">
        <f t="shared" si="30"/>
        <v>0</v>
      </c>
      <c r="V68" s="69">
        <f t="shared" si="32"/>
        <v>0</v>
      </c>
      <c r="W68" s="69"/>
      <c r="X68" s="242" t="s">
        <v>34</v>
      </c>
      <c r="Y68" s="7"/>
      <c r="Z68" s="7"/>
      <c r="AA68" s="7"/>
      <c r="AB68" s="13"/>
      <c r="AC68" s="13"/>
      <c r="AD68" s="13"/>
    </row>
    <row r="69" ht="14.4">
      <c r="A69" s="205" t="s">
        <v>48</v>
      </c>
      <c r="B69" s="83"/>
      <c r="C69" s="83" t="s">
        <v>4</v>
      </c>
      <c r="D69" s="156"/>
      <c r="E69" s="156" t="s">
        <v>4</v>
      </c>
      <c r="F69" s="87"/>
      <c r="G69" s="87"/>
      <c r="H69" s="66"/>
      <c r="I69" s="66"/>
      <c r="J69" s="243"/>
      <c r="K69" s="243" t="s">
        <v>4</v>
      </c>
      <c r="L69" s="78"/>
      <c r="M69" s="78" t="s">
        <v>4</v>
      </c>
      <c r="N69" s="66"/>
      <c r="O69" s="66"/>
      <c r="P69" s="68">
        <f t="shared" si="23"/>
        <v>48</v>
      </c>
      <c r="Q69" s="69">
        <f t="shared" si="29"/>
        <v>20</v>
      </c>
      <c r="R69" s="70" t="str">
        <f t="shared" si="24"/>
        <v>Стрыгин</v>
      </c>
      <c r="S69" s="71" t="s">
        <v>8</v>
      </c>
      <c r="T69" s="72" t="s">
        <v>7</v>
      </c>
      <c r="U69" s="69">
        <f t="shared" si="30"/>
        <v>0</v>
      </c>
      <c r="V69" s="69">
        <f t="shared" si="32"/>
        <v>0</v>
      </c>
      <c r="W69" s="69"/>
      <c r="X69" s="242" t="s">
        <v>49</v>
      </c>
      <c r="Y69" s="7"/>
      <c r="Z69" s="7"/>
      <c r="AA69" s="7"/>
      <c r="AB69" s="13"/>
      <c r="AC69" s="13"/>
      <c r="AD69" s="13"/>
    </row>
    <row r="70" ht="14.4">
      <c r="A70" s="205" t="s">
        <v>50</v>
      </c>
      <c r="B70" s="109"/>
      <c r="C70" s="109"/>
      <c r="D70" s="108"/>
      <c r="E70" s="108"/>
      <c r="F70" s="257"/>
      <c r="G70" s="257" t="s">
        <v>4</v>
      </c>
      <c r="H70" s="257"/>
      <c r="I70" s="257" t="s">
        <v>4</v>
      </c>
      <c r="J70" s="109"/>
      <c r="K70" s="109"/>
      <c r="L70" s="109"/>
      <c r="M70" s="109"/>
      <c r="N70" s="110"/>
      <c r="O70" s="110" t="s">
        <v>4</v>
      </c>
      <c r="P70" s="68">
        <f t="shared" si="23"/>
        <v>36</v>
      </c>
      <c r="Q70" s="69">
        <f t="shared" si="29"/>
        <v>32</v>
      </c>
      <c r="R70" s="70" t="str">
        <f t="shared" si="24"/>
        <v>Фрик</v>
      </c>
      <c r="S70" s="71" t="s">
        <v>12</v>
      </c>
      <c r="T70" s="72" t="s">
        <v>11</v>
      </c>
      <c r="U70" s="69">
        <f t="shared" si="30"/>
        <v>0</v>
      </c>
      <c r="V70" s="69">
        <f t="shared" si="32"/>
        <v>0</v>
      </c>
      <c r="W70" s="69"/>
      <c r="X70" s="242" t="s">
        <v>44</v>
      </c>
      <c r="Y70" s="7"/>
      <c r="Z70" s="7"/>
      <c r="AA70" s="7"/>
      <c r="AB70" s="13"/>
      <c r="AC70" s="13"/>
      <c r="AD70" s="13"/>
    </row>
    <row r="71" ht="14.4">
      <c r="A71" s="206" t="s">
        <v>51</v>
      </c>
      <c r="B71" s="78"/>
      <c r="C71" s="78" t="s">
        <v>4</v>
      </c>
      <c r="D71" s="76"/>
      <c r="E71" s="78" t="s">
        <v>4</v>
      </c>
      <c r="F71" s="67"/>
      <c r="G71" s="66"/>
      <c r="H71" s="82"/>
      <c r="I71" s="82"/>
      <c r="J71" s="83"/>
      <c r="K71" s="83" t="s">
        <v>4</v>
      </c>
      <c r="L71" s="83"/>
      <c r="M71" s="83" t="s">
        <v>4</v>
      </c>
      <c r="N71" s="66"/>
      <c r="O71" s="66"/>
      <c r="P71" s="228">
        <f t="shared" si="23"/>
        <v>48</v>
      </c>
      <c r="Q71" s="229">
        <f t="shared" si="29"/>
        <v>16</v>
      </c>
      <c r="R71" s="230" t="str">
        <f t="shared" si="24"/>
        <v>Истрашкин</v>
      </c>
      <c r="S71" s="71" t="s">
        <v>10</v>
      </c>
      <c r="T71" s="72" t="s">
        <v>9</v>
      </c>
      <c r="U71" s="244">
        <f t="shared" si="30"/>
        <v>0</v>
      </c>
      <c r="V71" s="229">
        <f t="shared" si="32"/>
        <v>0</v>
      </c>
      <c r="W71" s="229"/>
      <c r="X71" s="74" t="s">
        <v>34</v>
      </c>
      <c r="Y71" s="7"/>
      <c r="Z71" s="7"/>
      <c r="AA71" s="7"/>
      <c r="AB71" s="13"/>
      <c r="AC71" s="13"/>
      <c r="AD71" s="13"/>
    </row>
    <row r="72" ht="14.4">
      <c r="A72" s="207"/>
      <c r="B72" s="53">
        <v>46314</v>
      </c>
      <c r="C72" s="53"/>
      <c r="D72" s="53">
        <v>46315</v>
      </c>
      <c r="E72" s="53"/>
      <c r="F72" s="53">
        <v>46316</v>
      </c>
      <c r="G72" s="53"/>
      <c r="H72" s="53">
        <v>46317</v>
      </c>
      <c r="I72" s="53"/>
      <c r="J72" s="53">
        <v>46318</v>
      </c>
      <c r="K72" s="53"/>
      <c r="L72" s="53">
        <v>46319</v>
      </c>
      <c r="M72" s="53"/>
      <c r="N72" s="53">
        <v>46320</v>
      </c>
      <c r="O72" s="212"/>
      <c r="P72" s="253"/>
      <c r="Q72" s="254"/>
      <c r="R72" s="207"/>
      <c r="S72" s="138"/>
      <c r="T72" s="138"/>
      <c r="U72" s="60" t="s">
        <v>27</v>
      </c>
      <c r="V72" s="61" t="s">
        <v>28</v>
      </c>
      <c r="W72" s="62" t="s">
        <v>29</v>
      </c>
      <c r="X72" s="7"/>
      <c r="Y72" s="7"/>
      <c r="Z72" s="7"/>
      <c r="AA72" s="7"/>
      <c r="AB72" s="13"/>
      <c r="AC72" s="13"/>
      <c r="AD72" s="13"/>
    </row>
    <row r="73" ht="14.4">
      <c r="A73" s="139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39"/>
      <c r="Q73" s="127"/>
      <c r="R73" s="139"/>
      <c r="S73" s="139"/>
      <c r="T73" s="139"/>
      <c r="U73" s="127"/>
      <c r="V73" s="127"/>
      <c r="W73" s="128"/>
      <c r="X73" s="7"/>
      <c r="Y73" s="7"/>
      <c r="Z73" s="7"/>
      <c r="AA73" s="7"/>
      <c r="AB73" s="13"/>
      <c r="AC73" s="13"/>
      <c r="AD73" s="13"/>
    </row>
    <row r="74" ht="14.4">
      <c r="A74" s="143"/>
      <c r="B74" s="43" t="s">
        <v>17</v>
      </c>
      <c r="C74" s="142"/>
      <c r="D74" s="43" t="s">
        <v>18</v>
      </c>
      <c r="E74" s="142"/>
      <c r="F74" s="43" t="s">
        <v>19</v>
      </c>
      <c r="G74" s="43"/>
      <c r="H74" s="43" t="s">
        <v>20</v>
      </c>
      <c r="I74" s="142"/>
      <c r="J74" s="45" t="s">
        <v>21</v>
      </c>
      <c r="K74" s="45"/>
      <c r="L74" s="43" t="s">
        <v>22</v>
      </c>
      <c r="M74" s="43"/>
      <c r="N74" s="43" t="s">
        <v>23</v>
      </c>
      <c r="O74" s="43"/>
      <c r="P74" s="208" t="s">
        <v>24</v>
      </c>
      <c r="Q74" s="209"/>
      <c r="R74" s="143"/>
      <c r="S74" s="143"/>
      <c r="T74" s="143"/>
      <c r="U74" s="62"/>
      <c r="V74" s="62"/>
      <c r="W74" s="62"/>
      <c r="X74" s="51"/>
      <c r="Y74" s="7"/>
      <c r="Z74" s="7"/>
      <c r="AA74" s="7"/>
      <c r="AB74" s="13"/>
      <c r="AC74" s="13"/>
      <c r="AD74" s="13"/>
    </row>
    <row r="75" ht="14.4">
      <c r="A75" s="248"/>
      <c r="B75" s="53">
        <v>46321</v>
      </c>
      <c r="C75" s="53"/>
      <c r="D75" s="53">
        <v>46322</v>
      </c>
      <c r="E75" s="53"/>
      <c r="F75" s="53">
        <v>46323</v>
      </c>
      <c r="G75" s="53"/>
      <c r="H75" s="53">
        <v>46324</v>
      </c>
      <c r="I75" s="53"/>
      <c r="J75" s="53">
        <v>46325</v>
      </c>
      <c r="K75" s="53"/>
      <c r="L75" s="53">
        <v>46326</v>
      </c>
      <c r="M75" s="53"/>
      <c r="N75" s="53">
        <v>46327</v>
      </c>
      <c r="O75" s="212"/>
      <c r="P75" s="213" t="s">
        <v>25</v>
      </c>
      <c r="Q75" s="214" t="s">
        <v>26</v>
      </c>
      <c r="R75" s="249"/>
      <c r="S75" s="147"/>
      <c r="T75" s="147"/>
      <c r="U75" s="60" t="s">
        <v>27</v>
      </c>
      <c r="V75" s="61" t="s">
        <v>28</v>
      </c>
      <c r="W75" s="62" t="s">
        <v>29</v>
      </c>
      <c r="X75" s="63" t="s">
        <v>30</v>
      </c>
      <c r="Y75" s="7"/>
      <c r="Z75" s="7"/>
      <c r="AA75" s="7"/>
      <c r="AB75" s="13"/>
      <c r="AC75" s="13"/>
      <c r="AD75" s="13"/>
    </row>
    <row r="76" ht="14.4">
      <c r="A76" s="217" t="s">
        <v>35</v>
      </c>
      <c r="B76" s="65" t="s">
        <v>32</v>
      </c>
      <c r="C76" s="65" t="s">
        <v>33</v>
      </c>
      <c r="D76" s="65" t="s">
        <v>32</v>
      </c>
      <c r="E76" s="65" t="s">
        <v>33</v>
      </c>
      <c r="F76" s="65" t="s">
        <v>32</v>
      </c>
      <c r="G76" s="65" t="s">
        <v>33</v>
      </c>
      <c r="H76" s="65" t="s">
        <v>32</v>
      </c>
      <c r="I76" s="65" t="s">
        <v>33</v>
      </c>
      <c r="J76" s="65" t="s">
        <v>32</v>
      </c>
      <c r="K76" s="65" t="s">
        <v>33</v>
      </c>
      <c r="L76" s="66"/>
      <c r="M76" s="66"/>
      <c r="N76" s="66"/>
      <c r="O76" s="66"/>
      <c r="P76" s="218">
        <f t="shared" ref="P76:P87" si="33">C76+E76+G76+I76+K76+M76+O76</f>
        <v>40</v>
      </c>
      <c r="Q76" s="62">
        <f t="shared" si="29"/>
        <v>-8</v>
      </c>
      <c r="R76" s="219" t="str">
        <f t="shared" ref="R76:R87" si="34">A76</f>
        <v>Рычков</v>
      </c>
      <c r="S76" s="76" t="s">
        <v>10</v>
      </c>
      <c r="T76" s="77" t="s">
        <v>9</v>
      </c>
      <c r="U76" s="73">
        <f t="shared" si="30"/>
        <v>0</v>
      </c>
      <c r="V76" s="62">
        <f t="shared" si="32"/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ht="14.4">
      <c r="A77" s="203" t="s">
        <v>39</v>
      </c>
      <c r="B77" s="65" t="s">
        <v>32</v>
      </c>
      <c r="C77" s="65" t="s">
        <v>33</v>
      </c>
      <c r="D77" s="65" t="s">
        <v>32</v>
      </c>
      <c r="E77" s="65" t="s">
        <v>33</v>
      </c>
      <c r="F77" s="65" t="s">
        <v>32</v>
      </c>
      <c r="G77" s="65" t="s">
        <v>33</v>
      </c>
      <c r="H77" s="65" t="s">
        <v>32</v>
      </c>
      <c r="I77" s="65" t="s">
        <v>33</v>
      </c>
      <c r="J77" s="65" t="s">
        <v>32</v>
      </c>
      <c r="K77" s="65" t="s">
        <v>33</v>
      </c>
      <c r="L77" s="66"/>
      <c r="M77" s="66"/>
      <c r="N77" s="66"/>
      <c r="O77" s="66"/>
      <c r="P77" s="220">
        <f t="shared" si="33"/>
        <v>40</v>
      </c>
      <c r="Q77" s="221">
        <f t="shared" si="29"/>
        <v>-8</v>
      </c>
      <c r="R77" s="222" t="str">
        <f t="shared" si="34"/>
        <v>Игумнов</v>
      </c>
      <c r="S77" s="76" t="s">
        <v>10</v>
      </c>
      <c r="T77" s="77" t="s">
        <v>9</v>
      </c>
      <c r="U77" s="240">
        <f t="shared" si="30"/>
        <v>0</v>
      </c>
      <c r="V77" s="221">
        <f t="shared" si="32"/>
        <v>0</v>
      </c>
      <c r="W77" s="221"/>
      <c r="X77" s="79" t="s">
        <v>34</v>
      </c>
      <c r="Y77" s="7"/>
      <c r="Z77" s="7"/>
      <c r="AA77" s="7"/>
      <c r="AB77" s="13"/>
      <c r="AC77" s="13"/>
      <c r="AD77" s="13"/>
    </row>
    <row r="78" ht="14.4">
      <c r="A78" s="203" t="s">
        <v>40</v>
      </c>
      <c r="B78" s="65" t="s">
        <v>32</v>
      </c>
      <c r="C78" s="65" t="s">
        <v>33</v>
      </c>
      <c r="D78" s="65" t="s">
        <v>32</v>
      </c>
      <c r="E78" s="65" t="s">
        <v>33</v>
      </c>
      <c r="F78" s="65" t="s">
        <v>32</v>
      </c>
      <c r="G78" s="65" t="s">
        <v>33</v>
      </c>
      <c r="H78" s="65" t="s">
        <v>32</v>
      </c>
      <c r="I78" s="65" t="s">
        <v>33</v>
      </c>
      <c r="J78" s="65" t="s">
        <v>32</v>
      </c>
      <c r="K78" s="65" t="s">
        <v>33</v>
      </c>
      <c r="L78" s="66"/>
      <c r="M78" s="66"/>
      <c r="N78" s="66"/>
      <c r="O78" s="66"/>
      <c r="P78" s="68">
        <f t="shared" si="33"/>
        <v>40</v>
      </c>
      <c r="Q78" s="69">
        <f t="shared" si="29"/>
        <v>-8</v>
      </c>
      <c r="R78" s="70" t="str">
        <f t="shared" si="34"/>
        <v>Душин</v>
      </c>
      <c r="S78" s="76" t="s">
        <v>10</v>
      </c>
      <c r="T78" s="77" t="s">
        <v>9</v>
      </c>
      <c r="U78" s="69">
        <f t="shared" si="30"/>
        <v>0</v>
      </c>
      <c r="V78" s="69">
        <f t="shared" si="32"/>
        <v>0</v>
      </c>
      <c r="W78" s="69"/>
      <c r="X78" s="242" t="s">
        <v>38</v>
      </c>
      <c r="Y78" s="7"/>
      <c r="Z78" s="7"/>
      <c r="AA78" s="7"/>
      <c r="AB78" s="13"/>
      <c r="AC78" s="13"/>
      <c r="AD78" s="13"/>
    </row>
    <row r="79" ht="14.4">
      <c r="A79" s="203" t="s">
        <v>42</v>
      </c>
      <c r="B79" s="65" t="s">
        <v>32</v>
      </c>
      <c r="C79" s="65" t="s">
        <v>33</v>
      </c>
      <c r="D79" s="65" t="s">
        <v>32</v>
      </c>
      <c r="E79" s="65" t="s">
        <v>33</v>
      </c>
      <c r="F79" s="65" t="s">
        <v>32</v>
      </c>
      <c r="G79" s="65" t="s">
        <v>33</v>
      </c>
      <c r="H79" s="65" t="s">
        <v>32</v>
      </c>
      <c r="I79" s="65" t="s">
        <v>33</v>
      </c>
      <c r="J79" s="65" t="s">
        <v>32</v>
      </c>
      <c r="K79" s="65" t="s">
        <v>33</v>
      </c>
      <c r="L79" s="66"/>
      <c r="M79" s="66"/>
      <c r="N79" s="66"/>
      <c r="O79" s="66"/>
      <c r="P79" s="68">
        <f t="shared" si="33"/>
        <v>40</v>
      </c>
      <c r="Q79" s="69">
        <f t="shared" si="29"/>
        <v>-8</v>
      </c>
      <c r="R79" s="70" t="str">
        <f t="shared" si="34"/>
        <v>Юращик</v>
      </c>
      <c r="S79" s="76" t="s">
        <v>10</v>
      </c>
      <c r="T79" s="77" t="s">
        <v>9</v>
      </c>
      <c r="U79" s="69">
        <f t="shared" si="30"/>
        <v>0</v>
      </c>
      <c r="V79" s="69">
        <f t="shared" si="32"/>
        <v>0</v>
      </c>
      <c r="W79" s="69"/>
      <c r="X79" s="242" t="s">
        <v>38</v>
      </c>
      <c r="Y79" s="7"/>
      <c r="Z79" s="7"/>
      <c r="AA79" s="7"/>
      <c r="AB79" s="13"/>
      <c r="AC79" s="13"/>
      <c r="AD79" s="13"/>
    </row>
    <row r="80" ht="14.4">
      <c r="A80" s="202" t="s">
        <v>31</v>
      </c>
      <c r="B80" s="65" t="s">
        <v>32</v>
      </c>
      <c r="C80" s="198" t="s">
        <v>33</v>
      </c>
      <c r="D80" s="65" t="s">
        <v>32</v>
      </c>
      <c r="E80" s="198" t="s">
        <v>33</v>
      </c>
      <c r="F80" s="65" t="s">
        <v>32</v>
      </c>
      <c r="G80" s="198" t="s">
        <v>33</v>
      </c>
      <c r="H80" s="65" t="s">
        <v>32</v>
      </c>
      <c r="I80" s="198" t="s">
        <v>33</v>
      </c>
      <c r="J80" s="65" t="s">
        <v>32</v>
      </c>
      <c r="K80" s="198" t="s">
        <v>33</v>
      </c>
      <c r="L80" s="66"/>
      <c r="M80" s="66"/>
      <c r="N80" s="66"/>
      <c r="O80" s="66"/>
      <c r="P80" s="68">
        <f t="shared" si="33"/>
        <v>40</v>
      </c>
      <c r="Q80" s="69">
        <f t="shared" si="29"/>
        <v>-8</v>
      </c>
      <c r="R80" s="70" t="s">
        <v>31</v>
      </c>
      <c r="S80" s="173" t="s">
        <v>10</v>
      </c>
      <c r="T80" s="77" t="s">
        <v>9</v>
      </c>
      <c r="U80" s="69">
        <f t="shared" si="30"/>
        <v>0</v>
      </c>
      <c r="V80" s="69">
        <f t="shared" si="32"/>
        <v>0</v>
      </c>
      <c r="W80" s="69"/>
      <c r="X80" s="242" t="s">
        <v>49</v>
      </c>
      <c r="Y80" s="7"/>
      <c r="Z80" s="7"/>
      <c r="AA80" s="7"/>
      <c r="AB80" s="13"/>
      <c r="AC80" s="13"/>
      <c r="AD80" s="13"/>
    </row>
    <row r="81" ht="14.4">
      <c r="A81" s="204" t="s">
        <v>43</v>
      </c>
      <c r="B81" s="76"/>
      <c r="C81" s="76" t="s">
        <v>4</v>
      </c>
      <c r="D81" s="67"/>
      <c r="E81" s="67"/>
      <c r="F81" s="67"/>
      <c r="G81" s="67"/>
      <c r="H81" s="131"/>
      <c r="I81" s="131">
        <v>12</v>
      </c>
      <c r="J81" s="83"/>
      <c r="K81" s="83" t="s">
        <v>4</v>
      </c>
      <c r="L81" s="82"/>
      <c r="M81" s="82"/>
      <c r="N81" s="66"/>
      <c r="O81" s="66"/>
      <c r="P81" s="68">
        <f t="shared" si="33"/>
        <v>36</v>
      </c>
      <c r="Q81" s="69">
        <f t="shared" si="29"/>
        <v>-8</v>
      </c>
      <c r="R81" s="70" t="s">
        <v>43</v>
      </c>
      <c r="S81" s="71" t="s">
        <v>12</v>
      </c>
      <c r="T81" s="72" t="s">
        <v>11</v>
      </c>
      <c r="U81" s="69">
        <f t="shared" si="30"/>
        <v>0</v>
      </c>
      <c r="V81" s="69">
        <f t="shared" si="32"/>
        <v>0</v>
      </c>
      <c r="W81" s="69"/>
      <c r="X81" s="242" t="s">
        <v>44</v>
      </c>
      <c r="Y81" s="80"/>
      <c r="Z81" s="80"/>
      <c r="AA81" s="80"/>
      <c r="AB81" s="13"/>
      <c r="AC81" s="13"/>
      <c r="AD81" s="13"/>
    </row>
    <row r="82" ht="14.4">
      <c r="A82" s="205" t="s">
        <v>45</v>
      </c>
      <c r="B82" s="66"/>
      <c r="C82" s="66"/>
      <c r="D82" s="78"/>
      <c r="E82" s="78" t="s">
        <v>4</v>
      </c>
      <c r="F82" s="78"/>
      <c r="G82" s="78" t="s">
        <v>4</v>
      </c>
      <c r="H82" s="66"/>
      <c r="I82" s="66"/>
      <c r="J82" s="82"/>
      <c r="K82" s="82"/>
      <c r="L82" s="87"/>
      <c r="M82" s="87"/>
      <c r="N82" s="87"/>
      <c r="O82" s="87"/>
      <c r="P82" s="68">
        <f t="shared" si="33"/>
        <v>24</v>
      </c>
      <c r="Q82" s="69">
        <f t="shared" si="29"/>
        <v>-8</v>
      </c>
      <c r="R82" s="70" t="str">
        <f t="shared" si="34"/>
        <v>Пузырь</v>
      </c>
      <c r="S82" s="76" t="s">
        <v>10</v>
      </c>
      <c r="T82" s="77" t="s">
        <v>9</v>
      </c>
      <c r="U82" s="69">
        <f t="shared" si="30"/>
        <v>0</v>
      </c>
      <c r="V82" s="69">
        <f t="shared" si="32"/>
        <v>0</v>
      </c>
      <c r="W82" s="69"/>
      <c r="X82" s="242" t="s">
        <v>34</v>
      </c>
      <c r="Y82" s="7"/>
      <c r="Z82" s="7"/>
      <c r="AA82" s="7"/>
      <c r="AB82" s="13"/>
      <c r="AC82" s="13"/>
      <c r="AD82" s="13"/>
    </row>
    <row r="83" ht="14.4">
      <c r="A83" s="205" t="s">
        <v>46</v>
      </c>
      <c r="B83" s="76"/>
      <c r="C83" s="76" t="s">
        <v>4</v>
      </c>
      <c r="D83" s="67"/>
      <c r="E83" s="67"/>
      <c r="F83" s="67"/>
      <c r="G83" s="67"/>
      <c r="H83" s="131"/>
      <c r="I83" s="131">
        <v>12</v>
      </c>
      <c r="J83" s="83"/>
      <c r="K83" s="83" t="s">
        <v>4</v>
      </c>
      <c r="L83" s="87"/>
      <c r="M83" s="87"/>
      <c r="N83" s="87"/>
      <c r="O83" s="87"/>
      <c r="P83" s="68">
        <f t="shared" si="33"/>
        <v>36</v>
      </c>
      <c r="Q83" s="69">
        <f t="shared" si="29"/>
        <v>-8</v>
      </c>
      <c r="R83" s="70" t="str">
        <f t="shared" si="34"/>
        <v>Голышев</v>
      </c>
      <c r="S83" s="76" t="s">
        <v>10</v>
      </c>
      <c r="T83" s="77" t="s">
        <v>9</v>
      </c>
      <c r="U83" s="69">
        <f t="shared" si="30"/>
        <v>0</v>
      </c>
      <c r="V83" s="69">
        <f t="shared" si="32"/>
        <v>0</v>
      </c>
      <c r="W83" s="69"/>
      <c r="X83" s="242" t="s">
        <v>34</v>
      </c>
      <c r="Y83" s="7"/>
      <c r="Z83" s="7"/>
      <c r="AA83" s="7"/>
      <c r="AB83" s="13"/>
      <c r="AC83" s="13"/>
      <c r="AD83" s="13"/>
    </row>
    <row r="84" ht="14.4">
      <c r="A84" s="205" t="s">
        <v>47</v>
      </c>
      <c r="B84" s="67"/>
      <c r="C84" s="67"/>
      <c r="D84" s="77"/>
      <c r="E84" s="77" t="s">
        <v>4</v>
      </c>
      <c r="F84" s="156"/>
      <c r="G84" s="156" t="s">
        <v>4</v>
      </c>
      <c r="H84" s="67"/>
      <c r="I84" s="67"/>
      <c r="J84" s="66"/>
      <c r="K84" s="66"/>
      <c r="L84" s="87"/>
      <c r="M84" s="87"/>
      <c r="N84" s="87"/>
      <c r="O84" s="87"/>
      <c r="P84" s="68">
        <f t="shared" si="33"/>
        <v>24</v>
      </c>
      <c r="Q84" s="69">
        <f t="shared" si="29"/>
        <v>-8</v>
      </c>
      <c r="R84" s="70" t="str">
        <f t="shared" si="34"/>
        <v>Торубара</v>
      </c>
      <c r="S84" s="76" t="s">
        <v>10</v>
      </c>
      <c r="T84" s="77" t="s">
        <v>9</v>
      </c>
      <c r="U84" s="69">
        <f t="shared" si="30"/>
        <v>0</v>
      </c>
      <c r="V84" s="69">
        <f t="shared" si="32"/>
        <v>0</v>
      </c>
      <c r="W84" s="69"/>
      <c r="X84" s="242" t="s">
        <v>34</v>
      </c>
      <c r="Y84" s="7"/>
      <c r="Z84" s="7"/>
      <c r="AA84" s="7"/>
      <c r="AB84" s="13"/>
      <c r="AC84" s="13"/>
      <c r="AD84" s="13"/>
    </row>
    <row r="85" ht="14.4">
      <c r="A85" s="205" t="s">
        <v>48</v>
      </c>
      <c r="B85" s="258"/>
      <c r="C85" s="259" t="s">
        <v>33</v>
      </c>
      <c r="D85" s="110"/>
      <c r="E85" s="110" t="s">
        <v>33</v>
      </c>
      <c r="F85" s="110"/>
      <c r="G85" s="110" t="s">
        <v>4</v>
      </c>
      <c r="H85" s="111"/>
      <c r="I85" s="108"/>
      <c r="J85" s="109"/>
      <c r="K85" s="109"/>
      <c r="L85" s="87"/>
      <c r="M85" s="87"/>
      <c r="N85" s="87"/>
      <c r="O85" s="87"/>
      <c r="P85" s="68">
        <f t="shared" si="33"/>
        <v>28</v>
      </c>
      <c r="Q85" s="69">
        <f t="shared" si="29"/>
        <v>-8</v>
      </c>
      <c r="R85" s="70" t="str">
        <f t="shared" si="34"/>
        <v>Стрыгин</v>
      </c>
      <c r="S85" s="71" t="s">
        <v>8</v>
      </c>
      <c r="T85" s="72" t="s">
        <v>7</v>
      </c>
      <c r="U85" s="69">
        <f t="shared" si="30"/>
        <v>0</v>
      </c>
      <c r="V85" s="69">
        <f t="shared" si="32"/>
        <v>0</v>
      </c>
      <c r="W85" s="69"/>
      <c r="X85" s="242" t="s">
        <v>49</v>
      </c>
      <c r="Y85" s="7"/>
      <c r="Z85" s="7"/>
      <c r="AA85" s="7"/>
      <c r="AB85" s="13"/>
      <c r="AC85" s="13"/>
      <c r="AD85" s="13"/>
    </row>
    <row r="86" ht="14.4">
      <c r="A86" s="205" t="s">
        <v>50</v>
      </c>
      <c r="B86" s="110"/>
      <c r="C86" s="110" t="s">
        <v>4</v>
      </c>
      <c r="D86" s="108"/>
      <c r="E86" s="108"/>
      <c r="F86" s="109"/>
      <c r="G86" s="109"/>
      <c r="H86" s="107"/>
      <c r="I86" s="107" t="s">
        <v>4</v>
      </c>
      <c r="J86" s="107"/>
      <c r="K86" s="107" t="s">
        <v>4</v>
      </c>
      <c r="L86" s="150"/>
      <c r="M86" s="150"/>
      <c r="N86" s="150"/>
      <c r="O86" s="150"/>
      <c r="P86" s="68">
        <f t="shared" si="33"/>
        <v>36</v>
      </c>
      <c r="Q86" s="69">
        <f t="shared" si="29"/>
        <v>-4</v>
      </c>
      <c r="R86" s="70" t="str">
        <f t="shared" si="34"/>
        <v>Фрик</v>
      </c>
      <c r="S86" s="71" t="s">
        <v>12</v>
      </c>
      <c r="T86" s="72" t="s">
        <v>11</v>
      </c>
      <c r="U86" s="69">
        <f t="shared" si="30"/>
        <v>0</v>
      </c>
      <c r="V86" s="69">
        <f t="shared" si="32"/>
        <v>0</v>
      </c>
      <c r="W86" s="69"/>
      <c r="X86" s="242" t="s">
        <v>44</v>
      </c>
      <c r="Y86" s="7"/>
      <c r="Z86" s="7"/>
      <c r="AA86" s="7"/>
      <c r="AB86" s="13"/>
      <c r="AC86" s="13"/>
      <c r="AD86" s="13"/>
    </row>
    <row r="87" ht="14.4">
      <c r="A87" s="206" t="s">
        <v>51</v>
      </c>
      <c r="B87" s="66"/>
      <c r="C87" s="66"/>
      <c r="D87" s="78"/>
      <c r="E87" s="78" t="s">
        <v>4</v>
      </c>
      <c r="F87" s="76"/>
      <c r="G87" s="76" t="s">
        <v>4</v>
      </c>
      <c r="H87" s="67"/>
      <c r="I87" s="67"/>
      <c r="J87" s="66"/>
      <c r="K87" s="66"/>
      <c r="L87" s="87"/>
      <c r="M87" s="87"/>
      <c r="N87" s="87"/>
      <c r="O87" s="87"/>
      <c r="P87" s="228">
        <f t="shared" si="33"/>
        <v>24</v>
      </c>
      <c r="Q87" s="229">
        <f t="shared" si="29"/>
        <v>-8</v>
      </c>
      <c r="R87" s="230" t="str">
        <f t="shared" si="34"/>
        <v>Истрашкин</v>
      </c>
      <c r="S87" s="71" t="s">
        <v>10</v>
      </c>
      <c r="T87" s="72" t="s">
        <v>9</v>
      </c>
      <c r="U87" s="244">
        <f t="shared" si="30"/>
        <v>0</v>
      </c>
      <c r="V87" s="229">
        <f t="shared" si="32"/>
        <v>0</v>
      </c>
      <c r="W87" s="229"/>
      <c r="X87" s="74" t="s">
        <v>34</v>
      </c>
      <c r="Y87" s="7"/>
      <c r="Z87" s="7"/>
      <c r="AA87" s="7"/>
      <c r="AB87" s="13"/>
      <c r="AC87" s="13"/>
      <c r="AD87" s="13"/>
    </row>
    <row r="88" ht="14.4">
      <c r="A88" s="207"/>
      <c r="B88" s="53">
        <v>46321</v>
      </c>
      <c r="C88" s="53"/>
      <c r="D88" s="53">
        <v>46322</v>
      </c>
      <c r="E88" s="53"/>
      <c r="F88" s="53">
        <v>46323</v>
      </c>
      <c r="G88" s="53"/>
      <c r="H88" s="53">
        <v>46324</v>
      </c>
      <c r="I88" s="53"/>
      <c r="J88" s="53">
        <v>46325</v>
      </c>
      <c r="K88" s="53"/>
      <c r="L88" s="53">
        <v>46326</v>
      </c>
      <c r="M88" s="53"/>
      <c r="N88" s="53">
        <v>46327</v>
      </c>
      <c r="O88" s="212"/>
      <c r="P88" s="253"/>
      <c r="Q88" s="254"/>
      <c r="R88" s="207"/>
      <c r="S88" s="138"/>
      <c r="T88" s="138"/>
      <c r="U88" s="60" t="s">
        <v>27</v>
      </c>
      <c r="V88" s="61" t="s">
        <v>28</v>
      </c>
      <c r="W88" s="62" t="s">
        <v>29</v>
      </c>
      <c r="X88" s="7"/>
      <c r="Y88" s="7"/>
      <c r="Z88" s="7"/>
      <c r="AA88" s="7"/>
      <c r="AB88" s="13"/>
      <c r="AC88" s="13"/>
      <c r="AD88" s="13"/>
    </row>
    <row r="89" ht="14.4">
      <c r="A89" s="139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39"/>
      <c r="Q89" s="127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 ht="14.4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153"/>
      <c r="R90" s="7"/>
      <c r="S90" s="7"/>
      <c r="T90" s="7"/>
      <c r="U90" s="153"/>
      <c r="V90" s="153"/>
      <c r="W90" s="12"/>
      <c r="X90" s="7"/>
      <c r="Y90" s="7"/>
      <c r="Z90" s="7"/>
      <c r="AA90" s="7"/>
      <c r="AB90" s="13"/>
      <c r="AC90" s="13"/>
      <c r="AD90" s="13"/>
    </row>
    <row r="91" ht="14.4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153"/>
      <c r="R91" s="7"/>
      <c r="S91" s="7"/>
      <c r="T91" s="7"/>
      <c r="U91" s="153"/>
      <c r="V91" s="153"/>
      <c r="W91" s="12"/>
      <c r="X91" s="7"/>
      <c r="Y91" s="7"/>
      <c r="Z91" s="7"/>
      <c r="AA91" s="7"/>
      <c r="AB91" s="13"/>
      <c r="AC91" s="13"/>
      <c r="AD91" s="13"/>
    </row>
    <row r="92" ht="14.4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153"/>
      <c r="R92" s="7"/>
      <c r="S92" s="7"/>
      <c r="T92" s="7"/>
      <c r="U92" s="153"/>
      <c r="V92" s="153"/>
      <c r="W92" s="12"/>
      <c r="X92" s="7"/>
      <c r="Y92" s="7"/>
      <c r="Z92" s="7"/>
      <c r="AA92" s="7"/>
      <c r="AB92" s="13"/>
      <c r="AC92" s="13"/>
      <c r="AD92" s="13"/>
    </row>
    <row r="93" ht="14.4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153"/>
      <c r="R93" s="7"/>
      <c r="S93" s="7"/>
      <c r="T93" s="7"/>
      <c r="U93" s="153"/>
      <c r="V93" s="153"/>
      <c r="W93" s="12"/>
      <c r="X93" s="7"/>
      <c r="Y93" s="7"/>
      <c r="Z93" s="7"/>
      <c r="AA93" s="7"/>
      <c r="AB93" s="13"/>
      <c r="AC93" s="13"/>
      <c r="AD93" s="13"/>
    </row>
    <row r="94" ht="14.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153"/>
      <c r="R94" s="7"/>
      <c r="S94" s="7"/>
      <c r="T94" s="7"/>
      <c r="U94" s="153"/>
      <c r="V94" s="153"/>
      <c r="W94" s="12"/>
      <c r="X94" s="7"/>
      <c r="Y94" s="7"/>
      <c r="Z94" s="7"/>
      <c r="AA94" s="7"/>
      <c r="AB94" s="13"/>
      <c r="AC94" s="13"/>
      <c r="AD94" s="13"/>
    </row>
    <row r="95" ht="14.4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153"/>
      <c r="R95" s="7"/>
      <c r="S95" s="7"/>
      <c r="T95" s="7"/>
      <c r="U95" s="153"/>
      <c r="V95" s="153"/>
      <c r="W95" s="12"/>
      <c r="X95" s="7"/>
      <c r="Y95" s="7"/>
      <c r="Z95" s="7"/>
      <c r="AA95" s="7"/>
      <c r="AB95" s="13"/>
      <c r="AC95" s="13"/>
      <c r="AD95" s="13"/>
    </row>
    <row r="96" ht="14.4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153"/>
      <c r="R96" s="7"/>
      <c r="S96" s="7"/>
      <c r="T96" s="7"/>
      <c r="U96" s="153"/>
      <c r="V96" s="153"/>
      <c r="W96" s="12"/>
      <c r="X96" s="7"/>
      <c r="Y96" s="7"/>
      <c r="Z96" s="7"/>
      <c r="AA96" s="7"/>
      <c r="AB96" s="13"/>
      <c r="AC96" s="13"/>
      <c r="AD96" s="13"/>
    </row>
    <row r="97" ht="14.4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153"/>
      <c r="R97" s="7"/>
      <c r="S97" s="7"/>
      <c r="T97" s="7"/>
      <c r="U97" s="153"/>
      <c r="V97" s="153"/>
      <c r="W97" s="12"/>
      <c r="X97" s="7"/>
      <c r="Y97" s="7"/>
      <c r="Z97" s="7"/>
      <c r="AA97" s="7"/>
      <c r="AB97" s="13"/>
      <c r="AC97" s="13"/>
      <c r="AD97" s="13"/>
    </row>
    <row r="98" ht="14.4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53"/>
      <c r="R98" s="7"/>
      <c r="S98" s="7"/>
      <c r="T98" s="7"/>
      <c r="U98" s="153"/>
      <c r="V98" s="153"/>
      <c r="W98" s="12"/>
      <c r="X98" s="7"/>
      <c r="Y98" s="7"/>
      <c r="Z98" s="7"/>
      <c r="AA98" s="7"/>
      <c r="AB98" s="13"/>
      <c r="AC98" s="13"/>
      <c r="AD98" s="13"/>
    </row>
    <row r="99" ht="14.4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153"/>
      <c r="R99" s="7"/>
      <c r="S99" s="7"/>
      <c r="T99" s="7"/>
      <c r="U99" s="153"/>
      <c r="V99" s="153"/>
      <c r="W99" s="12"/>
      <c r="X99" s="7"/>
      <c r="Y99" s="7"/>
      <c r="Z99" s="7"/>
      <c r="AA99" s="7"/>
      <c r="AB99" s="13"/>
      <c r="AC99" s="13"/>
      <c r="AD99" s="13"/>
    </row>
    <row r="100" ht="14.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 ht="14.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 ht="14.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 ht="14.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 ht="14.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21"/>
      <c r="Y644" s="7"/>
      <c r="Z644" s="7"/>
      <c r="AA644" s="7"/>
      <c r="AB644" s="13"/>
      <c r="AC644" s="13"/>
      <c r="AD644" s="13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54"/>
      <c r="R645" s="21"/>
      <c r="S645" s="21"/>
      <c r="T645" s="21"/>
      <c r="U645" s="154"/>
      <c r="V645" s="154"/>
      <c r="W645" s="154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54"/>
      <c r="R646" s="21"/>
      <c r="S646" s="21"/>
      <c r="T646" s="21"/>
      <c r="U646" s="154"/>
      <c r="V646" s="154"/>
      <c r="W646" s="154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54"/>
      <c r="R647" s="21"/>
      <c r="S647" s="21"/>
      <c r="T647" s="21"/>
      <c r="U647" s="154"/>
      <c r="V647" s="154"/>
      <c r="W647" s="154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</sheetData>
  <mergeCells count="14">
    <mergeCell ref="A41:Q41"/>
    <mergeCell ref="P42:Q42"/>
    <mergeCell ref="P58:Q58"/>
    <mergeCell ref="P74:Q74"/>
    <mergeCell ref="L1:N5"/>
    <mergeCell ref="A9:Q9"/>
    <mergeCell ref="U9:V9"/>
    <mergeCell ref="P10:Q10"/>
    <mergeCell ref="A25:Q25"/>
    <mergeCell ref="P26:Q26"/>
    <mergeCell ref="F1:J1"/>
    <mergeCell ref="F2:K5"/>
    <mergeCell ref="N6:P7"/>
    <mergeCell ref="F7:J7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5" zoomScale="100" workbookViewId="0">
      <selection activeCell="M56" activeCellId="0" sqref="M56"/>
    </sheetView>
  </sheetViews>
  <sheetFormatPr defaultRowHeight="13.800000000000001"/>
  <cols>
    <col customWidth="1" min="1" max="1" width="14.109375"/>
    <col customWidth="1" min="2" max="2" width="12.88671875"/>
    <col customWidth="1" min="3" max="3" width="5.88671875"/>
    <col customWidth="1" min="4" max="4" width="12.44140625"/>
    <col customWidth="1" min="5" max="5" width="5.88671875"/>
    <col customWidth="1" min="6" max="6" width="14.109375"/>
    <col customWidth="1" min="7" max="7" width="5.88671875"/>
    <col customWidth="1" min="8" max="8" width="13"/>
    <col customWidth="1" min="9" max="9" width="5.88671875"/>
    <col customWidth="1" min="10" max="10" width="11.44140625"/>
    <col customWidth="1" min="11" max="11" width="5.88671875"/>
    <col customWidth="1" min="12" max="12" width="12.5546875"/>
    <col customWidth="1" min="13" max="13" width="5.88671875"/>
    <col customWidth="1" min="14" max="14" width="13.33203125"/>
    <col customWidth="1" min="15" max="16" width="5.88671875"/>
    <col customWidth="1" min="17" max="17" width="7.109375"/>
    <col customWidth="1" min="18" max="18" width="13.6640625"/>
  </cols>
  <sheetData>
    <row r="1" s="21" customFormat="1" ht="14.4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4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4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4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4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4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4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399999999999999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4">
      <c r="A10" s="49"/>
      <c r="B10" s="43" t="s">
        <v>17</v>
      </c>
      <c r="C10" s="44"/>
      <c r="D10" s="43" t="s">
        <v>18</v>
      </c>
      <c r="E10" s="44"/>
      <c r="F10" s="43" t="s">
        <v>19</v>
      </c>
      <c r="G10" s="44"/>
      <c r="H10" s="43" t="s">
        <v>20</v>
      </c>
      <c r="I10" s="44"/>
      <c r="J10" s="45" t="s">
        <v>21</v>
      </c>
      <c r="K10" s="46"/>
      <c r="L10" s="43" t="s">
        <v>22</v>
      </c>
      <c r="M10" s="44"/>
      <c r="N10" s="43" t="s">
        <v>23</v>
      </c>
      <c r="O10" s="44"/>
      <c r="P10" s="208" t="s">
        <v>24</v>
      </c>
      <c r="Q10" s="209"/>
      <c r="R10" s="49">
        <v>176</v>
      </c>
      <c r="S10" s="49"/>
      <c r="T10" s="49"/>
      <c r="U10" s="50">
        <v>176</v>
      </c>
      <c r="V10" s="50"/>
      <c r="W10" s="50"/>
      <c r="X10" s="51"/>
      <c r="Y10" s="7"/>
      <c r="Z10" s="7"/>
      <c r="AA10" s="7"/>
      <c r="AB10" s="13"/>
      <c r="AC10" s="13"/>
      <c r="AD10" s="13"/>
    </row>
    <row r="11" ht="14.4">
      <c r="A11" s="143"/>
      <c r="B11" s="53">
        <v>46265</v>
      </c>
      <c r="C11" s="53"/>
      <c r="D11" s="53">
        <v>46266</v>
      </c>
      <c r="E11" s="53"/>
      <c r="F11" s="53">
        <v>46267</v>
      </c>
      <c r="G11" s="53"/>
      <c r="H11" s="53">
        <v>46268</v>
      </c>
      <c r="I11" s="53"/>
      <c r="J11" s="53">
        <v>46269</v>
      </c>
      <c r="K11" s="53"/>
      <c r="L11" s="53">
        <v>46270</v>
      </c>
      <c r="M11" s="53"/>
      <c r="N11" s="53">
        <v>46271</v>
      </c>
      <c r="O11" s="212"/>
      <c r="P11" s="213" t="s">
        <v>25</v>
      </c>
      <c r="Q11" s="214" t="s">
        <v>26</v>
      </c>
      <c r="R11" s="215"/>
      <c r="S11" s="216"/>
      <c r="T11" s="216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4">
      <c r="A12" s="203" t="s">
        <v>31</v>
      </c>
      <c r="B12" s="65" t="s">
        <v>32</v>
      </c>
      <c r="C12" s="65" t="s">
        <v>33</v>
      </c>
      <c r="D12" s="65" t="s">
        <v>32</v>
      </c>
      <c r="E12" s="65" t="s">
        <v>33</v>
      </c>
      <c r="F12" s="65" t="s">
        <v>32</v>
      </c>
      <c r="G12" s="65" t="s">
        <v>33</v>
      </c>
      <c r="H12" s="65" t="s">
        <v>32</v>
      </c>
      <c r="I12" s="65" t="s">
        <v>33</v>
      </c>
      <c r="J12" s="65" t="s">
        <v>32</v>
      </c>
      <c r="K12" s="65" t="s">
        <v>33</v>
      </c>
      <c r="L12" s="66"/>
      <c r="M12" s="66"/>
      <c r="N12" s="67"/>
      <c r="O12" s="67"/>
      <c r="P12" s="218">
        <f t="shared" ref="P12:P75" si="35">C12+E12+G12+I12+K12+M12+O12</f>
        <v>40</v>
      </c>
      <c r="Q12" s="62">
        <f>R10-P12</f>
        <v>136</v>
      </c>
      <c r="R12" s="219" t="str">
        <f t="shared" ref="R12:R75" si="36">A12</f>
        <v>Нетронин</v>
      </c>
      <c r="S12" s="71" t="s">
        <v>10</v>
      </c>
      <c r="T12" s="72" t="s">
        <v>9</v>
      </c>
      <c r="U12" s="73">
        <v>0</v>
      </c>
      <c r="V12" s="62"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4">
      <c r="A13" s="203" t="s">
        <v>35</v>
      </c>
      <c r="B13" s="65" t="s">
        <v>32</v>
      </c>
      <c r="C13" s="65" t="s">
        <v>33</v>
      </c>
      <c r="D13" s="65" t="s">
        <v>32</v>
      </c>
      <c r="E13" s="65" t="s">
        <v>33</v>
      </c>
      <c r="F13" s="65" t="s">
        <v>32</v>
      </c>
      <c r="G13" s="65" t="s">
        <v>33</v>
      </c>
      <c r="H13" s="65" t="s">
        <v>32</v>
      </c>
      <c r="I13" s="65" t="s">
        <v>33</v>
      </c>
      <c r="J13" s="65" t="s">
        <v>32</v>
      </c>
      <c r="K13" s="65" t="s">
        <v>33</v>
      </c>
      <c r="L13" s="66"/>
      <c r="M13" s="66"/>
      <c r="N13" s="66"/>
      <c r="O13" s="66"/>
      <c r="P13" s="218">
        <f t="shared" si="35"/>
        <v>40</v>
      </c>
      <c r="Q13" s="62">
        <f>R10-P13</f>
        <v>136</v>
      </c>
      <c r="R13" s="219" t="str">
        <f t="shared" si="36"/>
        <v>Рычков</v>
      </c>
      <c r="S13" s="76" t="s">
        <v>10</v>
      </c>
      <c r="T13" s="77" t="s">
        <v>9</v>
      </c>
      <c r="U13" s="73">
        <f t="shared" ref="U13:U76" si="37">COUNTIF(T13,B13)+COUNTIF(T13,D13)+COUNTIF(T13,F13)+COUNTIF(T13,H13)+COUNTIF(T13,J13)+COUNTIF(T13,L13)+COUNTIF(T13,N13)</f>
        <v>0</v>
      </c>
      <c r="V13" s="62">
        <f t="shared" ref="V13:V63" si="38">COUNTIF(S13,B13)+COUNTIF(S13,D13)+COUNTIF(S13,F13)+COUNTIF(S13,H13)+COUNTIF(S13,J13)+COUNTIF(S13,L13)+COUNTIF(S13,N13)</f>
        <v>0</v>
      </c>
      <c r="W13" s="62"/>
      <c r="X13" s="74" t="s">
        <v>34</v>
      </c>
      <c r="Y13" s="7"/>
      <c r="Z13" s="7"/>
      <c r="AA13" s="7"/>
      <c r="AB13" s="13"/>
      <c r="AC13" s="13"/>
      <c r="AD13" s="13"/>
    </row>
    <row r="14" ht="14.4">
      <c r="A14" s="203" t="s">
        <v>39</v>
      </c>
      <c r="B14" s="65" t="s">
        <v>32</v>
      </c>
      <c r="C14" s="65" t="s">
        <v>33</v>
      </c>
      <c r="D14" s="65" t="s">
        <v>32</v>
      </c>
      <c r="E14" s="65" t="s">
        <v>33</v>
      </c>
      <c r="F14" s="65" t="s">
        <v>32</v>
      </c>
      <c r="G14" s="65" t="s">
        <v>33</v>
      </c>
      <c r="H14" s="65" t="s">
        <v>32</v>
      </c>
      <c r="I14" s="65" t="s">
        <v>33</v>
      </c>
      <c r="J14" s="65" t="s">
        <v>32</v>
      </c>
      <c r="K14" s="65" t="s">
        <v>33</v>
      </c>
      <c r="L14" s="66"/>
      <c r="M14" s="66"/>
      <c r="N14" s="66"/>
      <c r="O14" s="66"/>
      <c r="P14" s="218">
        <f t="shared" si="35"/>
        <v>40</v>
      </c>
      <c r="Q14" s="62">
        <f>R10-P14</f>
        <v>136</v>
      </c>
      <c r="R14" s="219" t="str">
        <f t="shared" si="36"/>
        <v>Игумнов</v>
      </c>
      <c r="S14" s="76" t="s">
        <v>10</v>
      </c>
      <c r="T14" s="77" t="s">
        <v>9</v>
      </c>
      <c r="U14" s="73">
        <f t="shared" si="37"/>
        <v>0</v>
      </c>
      <c r="V14" s="62">
        <f t="shared" si="38"/>
        <v>0</v>
      </c>
      <c r="W14" s="62"/>
      <c r="X14" s="79" t="s">
        <v>34</v>
      </c>
      <c r="Y14" s="7"/>
      <c r="Z14" s="80"/>
      <c r="AA14" s="80"/>
      <c r="AB14" s="13"/>
      <c r="AC14" s="13"/>
      <c r="AD14" s="13"/>
    </row>
    <row r="15" ht="14.4">
      <c r="A15" s="203" t="s">
        <v>40</v>
      </c>
      <c r="B15" s="65" t="s">
        <v>32</v>
      </c>
      <c r="C15" s="65" t="s">
        <v>33</v>
      </c>
      <c r="D15" s="65" t="s">
        <v>32</v>
      </c>
      <c r="E15" s="65" t="s">
        <v>33</v>
      </c>
      <c r="F15" s="65" t="s">
        <v>32</v>
      </c>
      <c r="G15" s="65" t="s">
        <v>33</v>
      </c>
      <c r="H15" s="65" t="s">
        <v>32</v>
      </c>
      <c r="I15" s="65" t="s">
        <v>33</v>
      </c>
      <c r="J15" s="65" t="s">
        <v>32</v>
      </c>
      <c r="K15" s="65" t="s">
        <v>33</v>
      </c>
      <c r="L15" s="66"/>
      <c r="M15" s="66"/>
      <c r="N15" s="66"/>
      <c r="O15" s="66"/>
      <c r="P15" s="218">
        <f t="shared" si="35"/>
        <v>40</v>
      </c>
      <c r="Q15" s="62">
        <f>R10-P15</f>
        <v>136</v>
      </c>
      <c r="R15" s="219" t="str">
        <f t="shared" si="36"/>
        <v>Душин</v>
      </c>
      <c r="S15" s="76" t="s">
        <v>10</v>
      </c>
      <c r="T15" s="77" t="s">
        <v>9</v>
      </c>
      <c r="U15" s="73">
        <f t="shared" si="37"/>
        <v>0</v>
      </c>
      <c r="V15" s="62">
        <f t="shared" si="38"/>
        <v>0</v>
      </c>
      <c r="W15" s="62"/>
      <c r="X15" s="74" t="s">
        <v>38</v>
      </c>
      <c r="Y15" s="80"/>
      <c r="Z15" s="80"/>
      <c r="AA15" s="80"/>
      <c r="AB15" s="13"/>
      <c r="AC15" s="13"/>
      <c r="AD15" s="13"/>
    </row>
    <row r="16" ht="14.4">
      <c r="A16" s="203" t="s">
        <v>42</v>
      </c>
      <c r="B16" s="65" t="s">
        <v>54</v>
      </c>
      <c r="C16" s="260" t="s">
        <v>33</v>
      </c>
      <c r="D16" s="65" t="s">
        <v>54</v>
      </c>
      <c r="E16" s="260" t="s">
        <v>33</v>
      </c>
      <c r="F16" s="65" t="s">
        <v>54</v>
      </c>
      <c r="G16" s="260" t="s">
        <v>33</v>
      </c>
      <c r="H16" s="65" t="s">
        <v>54</v>
      </c>
      <c r="I16" s="260" t="s">
        <v>33</v>
      </c>
      <c r="J16" s="65" t="s">
        <v>54</v>
      </c>
      <c r="K16" s="260" t="s">
        <v>33</v>
      </c>
      <c r="L16" s="66"/>
      <c r="M16" s="66"/>
      <c r="N16" s="66"/>
      <c r="O16" s="66"/>
      <c r="P16" s="218">
        <f t="shared" si="35"/>
        <v>40</v>
      </c>
      <c r="Q16" s="62">
        <f>R10-P16</f>
        <v>136</v>
      </c>
      <c r="R16" s="219" t="str">
        <f t="shared" si="36"/>
        <v>Юращик</v>
      </c>
      <c r="S16" s="76" t="s">
        <v>10</v>
      </c>
      <c r="T16" s="77" t="s">
        <v>9</v>
      </c>
      <c r="U16" s="73">
        <f t="shared" si="37"/>
        <v>0</v>
      </c>
      <c r="V16" s="62">
        <f t="shared" si="38"/>
        <v>0</v>
      </c>
      <c r="W16" s="62"/>
      <c r="X16" s="74" t="s">
        <v>38</v>
      </c>
      <c r="Y16" s="80"/>
      <c r="Z16" s="80"/>
      <c r="AA16" s="80"/>
      <c r="AB16" s="13"/>
      <c r="AC16" s="13"/>
      <c r="AD16" s="13"/>
    </row>
    <row r="17" ht="14.4">
      <c r="A17" s="204" t="s">
        <v>43</v>
      </c>
      <c r="B17" s="71"/>
      <c r="C17" s="173"/>
      <c r="D17" s="67"/>
      <c r="E17" s="261"/>
      <c r="F17" s="67"/>
      <c r="G17" s="67"/>
      <c r="H17" s="72"/>
      <c r="I17" s="83"/>
      <c r="J17" s="72"/>
      <c r="K17" s="83"/>
      <c r="L17" s="200"/>
      <c r="M17" s="66"/>
      <c r="N17" s="66"/>
      <c r="O17" s="66"/>
      <c r="P17" s="218">
        <f t="shared" si="35"/>
        <v>0</v>
      </c>
      <c r="Q17" s="62">
        <f>U10-P17</f>
        <v>176</v>
      </c>
      <c r="R17" s="219" t="s">
        <v>43</v>
      </c>
      <c r="S17" s="149" t="s">
        <v>12</v>
      </c>
      <c r="T17" s="262" t="s">
        <v>11</v>
      </c>
      <c r="U17" s="73">
        <f t="shared" si="37"/>
        <v>0</v>
      </c>
      <c r="V17" s="227">
        <f t="shared" si="38"/>
        <v>0</v>
      </c>
      <c r="W17" s="62"/>
      <c r="X17" s="74" t="s">
        <v>44</v>
      </c>
      <c r="Y17" s="80"/>
      <c r="Z17" s="80"/>
      <c r="AA17" s="80"/>
      <c r="AB17" s="13"/>
      <c r="AC17" s="13"/>
      <c r="AD17" s="13"/>
    </row>
    <row r="18" ht="14.4">
      <c r="A18" s="205" t="s">
        <v>45</v>
      </c>
      <c r="B18" s="66"/>
      <c r="C18" s="66"/>
      <c r="D18" s="251"/>
      <c r="E18" s="83"/>
      <c r="F18" s="77"/>
      <c r="G18" s="83"/>
      <c r="H18" s="87"/>
      <c r="I18" s="87"/>
      <c r="J18" s="87"/>
      <c r="K18" s="87"/>
      <c r="L18" s="251"/>
      <c r="M18" s="83"/>
      <c r="N18" s="251"/>
      <c r="O18" s="83"/>
      <c r="P18" s="218">
        <f t="shared" si="35"/>
        <v>0</v>
      </c>
      <c r="Q18" s="62">
        <f>U10-P18</f>
        <v>176</v>
      </c>
      <c r="R18" s="219" t="str">
        <f t="shared" si="36"/>
        <v>Пузырь</v>
      </c>
      <c r="S18" s="76" t="s">
        <v>10</v>
      </c>
      <c r="T18" s="77" t="s">
        <v>9</v>
      </c>
      <c r="U18" s="73">
        <f t="shared" si="37"/>
        <v>0</v>
      </c>
      <c r="V18" s="62">
        <f t="shared" si="38"/>
        <v>0</v>
      </c>
      <c r="W18" s="62"/>
      <c r="X18" s="74" t="s">
        <v>34</v>
      </c>
      <c r="Y18" s="80"/>
      <c r="Z18" s="80"/>
      <c r="AA18" s="80"/>
      <c r="AB18" s="13"/>
      <c r="AC18" s="13"/>
      <c r="AD18" s="13"/>
    </row>
    <row r="19" ht="14.4">
      <c r="A19" s="205" t="s">
        <v>46</v>
      </c>
      <c r="B19" s="71"/>
      <c r="C19" s="76"/>
      <c r="D19" s="67"/>
      <c r="E19" s="67"/>
      <c r="F19" s="87"/>
      <c r="G19" s="87"/>
      <c r="H19" s="173"/>
      <c r="I19" s="263"/>
      <c r="J19" s="76"/>
      <c r="K19" s="78"/>
      <c r="L19" s="82"/>
      <c r="M19" s="82"/>
      <c r="N19" s="87"/>
      <c r="O19" s="87"/>
      <c r="P19" s="218">
        <f t="shared" si="35"/>
        <v>0</v>
      </c>
      <c r="Q19" s="62">
        <f>U10-P19</f>
        <v>176</v>
      </c>
      <c r="R19" s="219" t="str">
        <f t="shared" si="36"/>
        <v>Голышев</v>
      </c>
      <c r="S19" s="76" t="s">
        <v>10</v>
      </c>
      <c r="T19" s="77" t="s">
        <v>9</v>
      </c>
      <c r="U19" s="73">
        <f>COUNTIF(T19,B19)+COUNTIF(T19,D19)+COUNTIF(T19,F19)+COUNTIF(T19,H19)+COUNTIF(T19,J19)+COUNTIF(T19,L19)+COUNTIF(T19,#REF!)</f>
        <v>0</v>
      </c>
      <c r="V19" s="62">
        <f>COUNTIF(S19,B19)+COUNTIF(S19,D19)+COUNTIF(S19,F19)+COUNTIF(S19,H19)+COUNTIF(S19,J19)+COUNTIF(S19,L19)+COUNTIF(S19,#REF!)</f>
        <v>0</v>
      </c>
      <c r="W19" s="62"/>
      <c r="X19" s="74" t="s">
        <v>34</v>
      </c>
      <c r="Y19" s="80"/>
      <c r="Z19" s="7"/>
      <c r="AA19" s="7"/>
      <c r="AB19" s="13"/>
      <c r="AC19" s="13"/>
      <c r="AD19" s="13"/>
    </row>
    <row r="20" ht="14.4">
      <c r="A20" s="205" t="s">
        <v>47</v>
      </c>
      <c r="B20" s="77"/>
      <c r="C20" s="77"/>
      <c r="D20" s="251"/>
      <c r="E20" s="77"/>
      <c r="F20" s="87"/>
      <c r="G20" s="87"/>
      <c r="H20" s="67"/>
      <c r="I20" s="67"/>
      <c r="J20" s="66"/>
      <c r="K20" s="66"/>
      <c r="L20" s="264"/>
      <c r="M20" s="243"/>
      <c r="N20" s="264"/>
      <c r="O20" s="265"/>
      <c r="P20" s="218">
        <f>C20+E20+G20+I20+K20+M20+O19</f>
        <v>0</v>
      </c>
      <c r="Q20" s="62">
        <f>U10-P20</f>
        <v>176</v>
      </c>
      <c r="R20" s="219" t="str">
        <f t="shared" si="36"/>
        <v>Торубара</v>
      </c>
      <c r="S20" s="76" t="s">
        <v>10</v>
      </c>
      <c r="T20" s="77" t="s">
        <v>9</v>
      </c>
      <c r="U20" s="73">
        <f>COUNTIF(T20,B20)+COUNTIF(T20,D20)+COUNTIF(T20,F20)+COUNTIF(T20,H20)+COUNTIF(T20,J20)+COUNTIF(T20,L20)+COUNTIF(T20,N19)</f>
        <v>0</v>
      </c>
      <c r="V20" s="62">
        <f>COUNTIF(S20,B20)+COUNTIF(S20,D20)+COUNTIF(S20,F20)+COUNTIF(S20,H20)+COUNTIF(S20,J20)+COUNTIF(S20,L20)+COUNTIF(S20,N19)</f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ht="14.4">
      <c r="A21" s="205" t="s">
        <v>48</v>
      </c>
      <c r="B21" s="66"/>
      <c r="C21" s="66"/>
      <c r="D21" s="71"/>
      <c r="E21" s="78"/>
      <c r="F21" s="71"/>
      <c r="G21" s="78"/>
      <c r="H21" s="67"/>
      <c r="I21" s="66"/>
      <c r="J21" s="266"/>
      <c r="K21" s="83"/>
      <c r="L21" s="262"/>
      <c r="M21" s="83"/>
      <c r="N21" s="87"/>
      <c r="O21" s="87"/>
      <c r="P21" s="218">
        <f t="shared" si="35"/>
        <v>0</v>
      </c>
      <c r="Q21" s="62">
        <f>U10-P21</f>
        <v>176</v>
      </c>
      <c r="R21" s="219" t="str">
        <f t="shared" si="36"/>
        <v>Стрыгин</v>
      </c>
      <c r="S21" s="71" t="s">
        <v>8</v>
      </c>
      <c r="T21" s="72" t="s">
        <v>7</v>
      </c>
      <c r="U21" s="73">
        <f t="shared" si="37"/>
        <v>0</v>
      </c>
      <c r="V21" s="62">
        <f t="shared" si="38"/>
        <v>0</v>
      </c>
      <c r="W21" s="62"/>
      <c r="X21" s="74" t="s">
        <v>49</v>
      </c>
      <c r="Y21" s="7"/>
      <c r="Z21" s="7"/>
      <c r="AA21" s="7"/>
      <c r="AB21" s="13"/>
      <c r="AC21" s="13"/>
      <c r="AD21" s="13"/>
    </row>
    <row r="22" ht="14.4">
      <c r="A22" s="205" t="s">
        <v>50</v>
      </c>
      <c r="B22" s="262"/>
      <c r="C22" s="83"/>
      <c r="D22" s="66"/>
      <c r="E22" s="66"/>
      <c r="F22" s="262"/>
      <c r="G22" s="156"/>
      <c r="H22" s="262"/>
      <c r="I22" s="156"/>
      <c r="J22" s="87"/>
      <c r="K22" s="87"/>
      <c r="L22" s="82"/>
      <c r="M22" s="82"/>
      <c r="N22" s="266"/>
      <c r="O22" s="174"/>
      <c r="P22" s="218">
        <f t="shared" si="35"/>
        <v>0</v>
      </c>
      <c r="Q22" s="62">
        <f>U10-P22</f>
        <v>176</v>
      </c>
      <c r="R22" s="219" t="str">
        <f t="shared" si="36"/>
        <v>Фрик</v>
      </c>
      <c r="S22" s="71" t="s">
        <v>12</v>
      </c>
      <c r="T22" s="72" t="s">
        <v>11</v>
      </c>
      <c r="U22" s="73">
        <v>2</v>
      </c>
      <c r="V22" s="62">
        <f t="shared" si="38"/>
        <v>0</v>
      </c>
      <c r="W22" s="62"/>
      <c r="X22" s="74" t="s">
        <v>44</v>
      </c>
      <c r="Y22" s="7"/>
      <c r="Z22" s="7"/>
      <c r="AA22" s="7"/>
      <c r="AB22" s="13"/>
      <c r="AC22" s="13"/>
      <c r="AD22" s="13"/>
    </row>
    <row r="23" ht="14.4">
      <c r="A23" s="206" t="s">
        <v>51</v>
      </c>
      <c r="B23" s="66"/>
      <c r="C23" s="66"/>
      <c r="D23" s="71"/>
      <c r="E23" s="78"/>
      <c r="F23" s="71"/>
      <c r="G23" s="76"/>
      <c r="H23" s="67"/>
      <c r="I23" s="67"/>
      <c r="J23" s="71"/>
      <c r="K23" s="265"/>
      <c r="L23" s="71"/>
      <c r="M23" s="243"/>
      <c r="N23" s="71"/>
      <c r="O23" s="243"/>
      <c r="P23" s="218">
        <f t="shared" si="35"/>
        <v>0</v>
      </c>
      <c r="Q23" s="62">
        <f>U10-P23</f>
        <v>176</v>
      </c>
      <c r="R23" s="219" t="str">
        <f t="shared" si="36"/>
        <v>Истрашкин</v>
      </c>
      <c r="S23" s="71" t="s">
        <v>10</v>
      </c>
      <c r="T23" s="72" t="s">
        <v>9</v>
      </c>
      <c r="U23" s="73">
        <f t="shared" si="37"/>
        <v>0</v>
      </c>
      <c r="V23" s="62">
        <f t="shared" si="38"/>
        <v>0</v>
      </c>
      <c r="W23" s="50"/>
      <c r="X23" s="74" t="s">
        <v>34</v>
      </c>
      <c r="Y23" s="7"/>
      <c r="Z23" s="7"/>
      <c r="AA23" s="7"/>
      <c r="AB23" s="13"/>
      <c r="AC23" s="13"/>
      <c r="AD23" s="13"/>
    </row>
    <row r="24" ht="14.4">
      <c r="A24" s="207"/>
      <c r="B24" s="53">
        <v>46265</v>
      </c>
      <c r="C24" s="53"/>
      <c r="D24" s="53">
        <v>46266</v>
      </c>
      <c r="E24" s="53"/>
      <c r="F24" s="53">
        <v>46267</v>
      </c>
      <c r="G24" s="53"/>
      <c r="H24" s="53">
        <v>46268</v>
      </c>
      <c r="I24" s="53"/>
      <c r="J24" s="53">
        <v>46269</v>
      </c>
      <c r="K24" s="53"/>
      <c r="L24" s="53">
        <v>46270</v>
      </c>
      <c r="M24" s="53"/>
      <c r="N24" s="53">
        <v>46271</v>
      </c>
      <c r="O24" s="212"/>
      <c r="P24" s="232"/>
      <c r="Q24" s="233"/>
      <c r="R24" s="49"/>
      <c r="S24" s="161"/>
      <c r="T24" s="161"/>
      <c r="U24" s="60" t="s">
        <v>27</v>
      </c>
      <c r="V24" s="61" t="s">
        <v>28</v>
      </c>
      <c r="W24" s="62" t="s">
        <v>29</v>
      </c>
      <c r="X24" s="96"/>
      <c r="Y24" s="7"/>
      <c r="Z24" s="7"/>
      <c r="AA24" s="7"/>
      <c r="AB24" s="13"/>
      <c r="AC24" s="13"/>
      <c r="AD24" s="13"/>
    </row>
    <row r="25" ht="14.4">
      <c r="A25" s="162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4"/>
      <c r="R25" s="165"/>
      <c r="S25" s="165"/>
      <c r="T25" s="165"/>
      <c r="U25" s="100"/>
      <c r="V25" s="100"/>
      <c r="W25" s="100"/>
      <c r="X25" s="7"/>
      <c r="Y25" s="7"/>
      <c r="Z25" s="7"/>
      <c r="AA25" s="7"/>
      <c r="AB25" s="13"/>
      <c r="AC25" s="13"/>
      <c r="AD25" s="13"/>
    </row>
    <row r="26" ht="14.4">
      <c r="A26" s="165"/>
      <c r="B26" s="167" t="s">
        <v>17</v>
      </c>
      <c r="C26" s="167"/>
      <c r="D26" s="167" t="s">
        <v>18</v>
      </c>
      <c r="E26" s="167"/>
      <c r="F26" s="167" t="s">
        <v>19</v>
      </c>
      <c r="G26" s="167"/>
      <c r="H26" s="167" t="s">
        <v>20</v>
      </c>
      <c r="I26" s="167"/>
      <c r="J26" s="168" t="s">
        <v>21</v>
      </c>
      <c r="K26" s="168"/>
      <c r="L26" s="167" t="s">
        <v>22</v>
      </c>
      <c r="M26" s="167"/>
      <c r="N26" s="167" t="s">
        <v>23</v>
      </c>
      <c r="O26" s="167"/>
      <c r="P26" s="234" t="s">
        <v>24</v>
      </c>
      <c r="Q26" s="235"/>
      <c r="R26" s="165"/>
      <c r="S26" s="165"/>
      <c r="T26" s="165"/>
      <c r="U26" s="100"/>
      <c r="V26" s="100"/>
      <c r="W26" s="100"/>
      <c r="X26" s="51"/>
      <c r="Y26" s="7"/>
      <c r="Z26" s="7"/>
      <c r="AA26" s="7"/>
      <c r="AB26" s="13"/>
      <c r="AC26" s="13"/>
      <c r="AD26" s="13"/>
    </row>
    <row r="27" ht="14.4">
      <c r="A27" s="166"/>
      <c r="B27" s="210">
        <v>46272</v>
      </c>
      <c r="C27" s="211"/>
      <c r="D27" s="210">
        <v>46273</v>
      </c>
      <c r="E27" s="211"/>
      <c r="F27" s="210">
        <v>46274</v>
      </c>
      <c r="G27" s="211"/>
      <c r="H27" s="210">
        <v>46275</v>
      </c>
      <c r="I27" s="211"/>
      <c r="J27" s="210">
        <v>46276</v>
      </c>
      <c r="K27" s="211"/>
      <c r="L27" s="210">
        <v>46277</v>
      </c>
      <c r="M27" s="211"/>
      <c r="N27" s="210">
        <v>46278</v>
      </c>
      <c r="O27" s="212"/>
      <c r="P27" s="236" t="s">
        <v>25</v>
      </c>
      <c r="Q27" s="237" t="s">
        <v>26</v>
      </c>
      <c r="R27" s="238"/>
      <c r="S27" s="239"/>
      <c r="T27" s="239"/>
      <c r="U27" s="15" t="s">
        <v>27</v>
      </c>
      <c r="V27" s="106" t="s">
        <v>28</v>
      </c>
      <c r="W27" s="100" t="s">
        <v>29</v>
      </c>
      <c r="X27" s="63" t="s">
        <v>30</v>
      </c>
      <c r="Y27" s="7"/>
      <c r="Z27" s="7"/>
      <c r="AA27" s="7"/>
      <c r="AB27" s="13"/>
      <c r="AC27" s="13"/>
      <c r="AD27" s="13"/>
    </row>
    <row r="28" ht="14.4">
      <c r="A28" s="203" t="s">
        <v>31</v>
      </c>
      <c r="B28" s="65" t="s">
        <v>32</v>
      </c>
      <c r="C28" s="65" t="s">
        <v>33</v>
      </c>
      <c r="D28" s="65" t="s">
        <v>32</v>
      </c>
      <c r="E28" s="65" t="s">
        <v>33</v>
      </c>
      <c r="F28" s="65" t="s">
        <v>32</v>
      </c>
      <c r="G28" s="65" t="s">
        <v>33</v>
      </c>
      <c r="H28" s="65" t="s">
        <v>32</v>
      </c>
      <c r="I28" s="65" t="s">
        <v>33</v>
      </c>
      <c r="J28" s="65" t="s">
        <v>32</v>
      </c>
      <c r="K28" s="65" t="s">
        <v>33</v>
      </c>
      <c r="L28" s="67"/>
      <c r="M28" s="67"/>
      <c r="N28" s="67"/>
      <c r="O28" s="67"/>
      <c r="P28" s="218">
        <f t="shared" si="35"/>
        <v>40</v>
      </c>
      <c r="Q28" s="62">
        <f t="shared" ref="Q28:Q47" si="39">Q12-P28</f>
        <v>96</v>
      </c>
      <c r="R28" s="219" t="str">
        <f t="shared" si="36"/>
        <v>Нетронин</v>
      </c>
      <c r="S28" s="71" t="s">
        <v>10</v>
      </c>
      <c r="T28" s="72" t="s">
        <v>9</v>
      </c>
      <c r="U28" s="73">
        <v>0</v>
      </c>
      <c r="V28" s="62">
        <v>0</v>
      </c>
      <c r="W28" s="62"/>
      <c r="X28" s="74" t="s">
        <v>34</v>
      </c>
      <c r="Y28" s="7"/>
      <c r="Z28" s="7"/>
      <c r="AA28" s="7"/>
      <c r="AB28" s="13"/>
      <c r="AC28" s="13"/>
      <c r="AD28" s="13"/>
    </row>
    <row r="29" ht="14.4">
      <c r="A29" s="267" t="s">
        <v>35</v>
      </c>
      <c r="B29" s="65" t="s">
        <v>32</v>
      </c>
      <c r="C29" s="65" t="s">
        <v>33</v>
      </c>
      <c r="D29" s="65" t="s">
        <v>32</v>
      </c>
      <c r="E29" s="65" t="s">
        <v>33</v>
      </c>
      <c r="F29" s="65" t="s">
        <v>32</v>
      </c>
      <c r="G29" s="65" t="s">
        <v>33</v>
      </c>
      <c r="H29" s="65" t="s">
        <v>32</v>
      </c>
      <c r="I29" s="65" t="s">
        <v>33</v>
      </c>
      <c r="J29" s="65" t="s">
        <v>32</v>
      </c>
      <c r="K29" s="65" t="s">
        <v>33</v>
      </c>
      <c r="L29" s="66"/>
      <c r="M29" s="66"/>
      <c r="N29" s="66"/>
      <c r="O29" s="66"/>
      <c r="P29" s="218">
        <f t="shared" si="35"/>
        <v>40</v>
      </c>
      <c r="Q29" s="62">
        <f t="shared" si="39"/>
        <v>96</v>
      </c>
      <c r="R29" s="219" t="str">
        <f t="shared" si="36"/>
        <v>Рычков</v>
      </c>
      <c r="S29" s="76" t="s">
        <v>10</v>
      </c>
      <c r="T29" s="77" t="s">
        <v>9</v>
      </c>
      <c r="U29" s="73">
        <f t="shared" si="37"/>
        <v>0</v>
      </c>
      <c r="V29" s="62">
        <f t="shared" si="38"/>
        <v>0</v>
      </c>
      <c r="W29" s="62"/>
      <c r="X29" s="74" t="s">
        <v>34</v>
      </c>
      <c r="Y29" s="7"/>
      <c r="Z29" s="7"/>
      <c r="AA29" s="7"/>
      <c r="AB29" s="13"/>
      <c r="AC29" s="13"/>
      <c r="AD29" s="13"/>
    </row>
    <row r="30" ht="14.4">
      <c r="A30" s="64" t="s">
        <v>39</v>
      </c>
      <c r="B30" s="65" t="s">
        <v>32</v>
      </c>
      <c r="C30" s="65" t="s">
        <v>33</v>
      </c>
      <c r="D30" s="65" t="s">
        <v>32</v>
      </c>
      <c r="E30" s="65" t="s">
        <v>33</v>
      </c>
      <c r="F30" s="65" t="s">
        <v>32</v>
      </c>
      <c r="G30" s="65" t="s">
        <v>33</v>
      </c>
      <c r="H30" s="65" t="s">
        <v>32</v>
      </c>
      <c r="I30" s="65" t="s">
        <v>33</v>
      </c>
      <c r="J30" s="65" t="s">
        <v>32</v>
      </c>
      <c r="K30" s="65" t="s">
        <v>33</v>
      </c>
      <c r="L30" s="66"/>
      <c r="M30" s="66"/>
      <c r="N30" s="66"/>
      <c r="O30" s="66"/>
      <c r="P30" s="218">
        <f t="shared" si="35"/>
        <v>40</v>
      </c>
      <c r="Q30" s="62">
        <f t="shared" si="39"/>
        <v>96</v>
      </c>
      <c r="R30" s="219" t="str">
        <f t="shared" si="36"/>
        <v>Игумнов</v>
      </c>
      <c r="S30" s="76" t="s">
        <v>10</v>
      </c>
      <c r="T30" s="77" t="s">
        <v>9</v>
      </c>
      <c r="U30" s="73">
        <f t="shared" si="37"/>
        <v>0</v>
      </c>
      <c r="V30" s="62">
        <f t="shared" si="38"/>
        <v>0</v>
      </c>
      <c r="W30" s="62"/>
      <c r="X30" s="79" t="s">
        <v>34</v>
      </c>
      <c r="Y30" s="7"/>
      <c r="Z30" s="80"/>
      <c r="AA30" s="80"/>
      <c r="AB30" s="13"/>
      <c r="AC30" s="13"/>
      <c r="AD30" s="13"/>
    </row>
    <row r="31" ht="14.4">
      <c r="A31" s="64" t="s">
        <v>40</v>
      </c>
      <c r="B31" s="122"/>
      <c r="C31" s="122" t="s">
        <v>33</v>
      </c>
      <c r="D31" s="122"/>
      <c r="E31" s="122" t="s">
        <v>33</v>
      </c>
      <c r="F31" s="122"/>
      <c r="G31" s="122" t="s">
        <v>33</v>
      </c>
      <c r="H31" s="122"/>
      <c r="I31" s="122" t="s">
        <v>33</v>
      </c>
      <c r="J31" s="122"/>
      <c r="K31" s="122" t="s">
        <v>33</v>
      </c>
      <c r="L31" s="122"/>
      <c r="M31" s="122"/>
      <c r="N31" s="122"/>
      <c r="O31" s="122"/>
      <c r="P31" s="218">
        <f t="shared" si="35"/>
        <v>40</v>
      </c>
      <c r="Q31" s="62">
        <f t="shared" si="39"/>
        <v>96</v>
      </c>
      <c r="R31" s="219" t="str">
        <f t="shared" si="36"/>
        <v>Душин</v>
      </c>
      <c r="S31" s="76" t="s">
        <v>10</v>
      </c>
      <c r="T31" s="77" t="s">
        <v>9</v>
      </c>
      <c r="U31" s="73">
        <f t="shared" si="37"/>
        <v>0</v>
      </c>
      <c r="V31" s="62">
        <f t="shared" si="38"/>
        <v>0</v>
      </c>
      <c r="W31" s="62"/>
      <c r="X31" s="74" t="s">
        <v>38</v>
      </c>
      <c r="Y31" s="80"/>
      <c r="Z31" s="80"/>
      <c r="AA31" s="80"/>
      <c r="AB31" s="13"/>
      <c r="AC31" s="13"/>
      <c r="AD31" s="13"/>
    </row>
    <row r="32" ht="14.4">
      <c r="A32" s="64" t="s">
        <v>42</v>
      </c>
      <c r="B32" s="65" t="s">
        <v>54</v>
      </c>
      <c r="C32" s="260" t="s">
        <v>33</v>
      </c>
      <c r="D32" s="65" t="s">
        <v>54</v>
      </c>
      <c r="E32" s="260" t="s">
        <v>33</v>
      </c>
      <c r="F32" s="65" t="s">
        <v>54</v>
      </c>
      <c r="G32" s="260" t="s">
        <v>33</v>
      </c>
      <c r="H32" s="65" t="s">
        <v>54</v>
      </c>
      <c r="I32" s="260" t="s">
        <v>33</v>
      </c>
      <c r="J32" s="65" t="s">
        <v>54</v>
      </c>
      <c r="K32" s="260" t="s">
        <v>33</v>
      </c>
      <c r="L32" s="66"/>
      <c r="M32" s="66"/>
      <c r="N32" s="66"/>
      <c r="O32" s="66"/>
      <c r="P32" s="218">
        <f t="shared" si="35"/>
        <v>40</v>
      </c>
      <c r="Q32" s="62">
        <f t="shared" si="39"/>
        <v>96</v>
      </c>
      <c r="R32" s="219" t="str">
        <f t="shared" si="36"/>
        <v>Юращик</v>
      </c>
      <c r="S32" s="76" t="s">
        <v>10</v>
      </c>
      <c r="T32" s="77" t="s">
        <v>9</v>
      </c>
      <c r="U32" s="73">
        <f t="shared" si="37"/>
        <v>0</v>
      </c>
      <c r="V32" s="62">
        <f t="shared" si="38"/>
        <v>0</v>
      </c>
      <c r="W32" s="62"/>
      <c r="X32" s="74" t="s">
        <v>38</v>
      </c>
      <c r="Y32" s="80"/>
      <c r="Z32" s="80"/>
      <c r="AA32" s="80"/>
      <c r="AB32" s="13"/>
      <c r="AC32" s="13"/>
      <c r="AD32" s="13"/>
    </row>
    <row r="33" ht="14.4">
      <c r="A33" s="204" t="s">
        <v>43</v>
      </c>
      <c r="B33" s="262"/>
      <c r="C33" s="77"/>
      <c r="D33" s="262"/>
      <c r="E33" s="83"/>
      <c r="F33" s="66"/>
      <c r="G33" s="66"/>
      <c r="H33" s="266"/>
      <c r="I33" s="112"/>
      <c r="J33" s="87"/>
      <c r="K33" s="87"/>
      <c r="L33" s="87"/>
      <c r="M33" s="87"/>
      <c r="N33" s="66"/>
      <c r="O33" s="66"/>
      <c r="P33" s="218">
        <f t="shared" si="35"/>
        <v>0</v>
      </c>
      <c r="Q33" s="62">
        <f t="shared" si="39"/>
        <v>176</v>
      </c>
      <c r="R33" s="113" t="s">
        <v>43</v>
      </c>
      <c r="S33" s="149" t="s">
        <v>12</v>
      </c>
      <c r="T33" s="262" t="s">
        <v>11</v>
      </c>
      <c r="U33" s="73">
        <f t="shared" si="37"/>
        <v>0</v>
      </c>
      <c r="V33" s="227">
        <f t="shared" si="38"/>
        <v>0</v>
      </c>
      <c r="W33" s="62"/>
      <c r="X33" s="74" t="s">
        <v>44</v>
      </c>
      <c r="Y33" s="80"/>
      <c r="Z33" s="80"/>
      <c r="AA33" s="80"/>
      <c r="AB33" s="13"/>
      <c r="AC33" s="13"/>
      <c r="AD33" s="13"/>
    </row>
    <row r="34" ht="14.4">
      <c r="A34" s="81" t="s">
        <v>45</v>
      </c>
      <c r="B34" s="87"/>
      <c r="C34" s="87"/>
      <c r="D34" s="87"/>
      <c r="E34" s="87"/>
      <c r="F34" s="251"/>
      <c r="G34" s="83"/>
      <c r="H34" s="77"/>
      <c r="I34" s="83"/>
      <c r="J34" s="87"/>
      <c r="K34" s="87"/>
      <c r="L34" s="87"/>
      <c r="M34" s="87"/>
      <c r="N34" s="268"/>
      <c r="O34" s="225"/>
      <c r="P34" s="218">
        <f t="shared" si="35"/>
        <v>0</v>
      </c>
      <c r="Q34" s="62">
        <f t="shared" si="39"/>
        <v>176</v>
      </c>
      <c r="R34" s="219" t="str">
        <f t="shared" si="36"/>
        <v>Пузырь</v>
      </c>
      <c r="S34" s="76" t="s">
        <v>10</v>
      </c>
      <c r="T34" s="77" t="s">
        <v>9</v>
      </c>
      <c r="U34" s="73">
        <f t="shared" si="37"/>
        <v>0</v>
      </c>
      <c r="V34" s="62">
        <f t="shared" si="38"/>
        <v>0</v>
      </c>
      <c r="W34" s="62"/>
      <c r="X34" s="74" t="s">
        <v>34</v>
      </c>
      <c r="Y34" s="80"/>
      <c r="Z34" s="7"/>
      <c r="AA34" s="7"/>
      <c r="AB34" s="13"/>
      <c r="AC34" s="13"/>
      <c r="AD34" s="13"/>
    </row>
    <row r="35" ht="14.4">
      <c r="A35" s="81" t="s">
        <v>46</v>
      </c>
      <c r="B35" s="268"/>
      <c r="C35" s="76"/>
      <c r="D35" s="268"/>
      <c r="E35" s="78"/>
      <c r="F35" s="66"/>
      <c r="G35" s="66"/>
      <c r="H35" s="87"/>
      <c r="I35" s="87"/>
      <c r="J35" s="251"/>
      <c r="K35" s="269"/>
      <c r="L35" s="77"/>
      <c r="M35" s="77"/>
      <c r="N35" s="67"/>
      <c r="O35" s="67"/>
      <c r="P35" s="218">
        <f t="shared" si="35"/>
        <v>0</v>
      </c>
      <c r="Q35" s="62">
        <f t="shared" si="39"/>
        <v>176</v>
      </c>
      <c r="R35" s="219" t="str">
        <f t="shared" si="36"/>
        <v>Голышев</v>
      </c>
      <c r="S35" s="76" t="s">
        <v>10</v>
      </c>
      <c r="T35" s="77" t="s">
        <v>9</v>
      </c>
      <c r="U35" s="73">
        <f t="shared" si="37"/>
        <v>0</v>
      </c>
      <c r="V35" s="62">
        <f t="shared" si="38"/>
        <v>0</v>
      </c>
      <c r="W35" s="62"/>
      <c r="X35" s="74" t="s">
        <v>34</v>
      </c>
      <c r="Y35" s="80"/>
      <c r="Z35" s="7"/>
      <c r="AA35" s="7"/>
      <c r="AB35" s="13"/>
      <c r="AC35" s="13"/>
      <c r="AD35" s="13"/>
    </row>
    <row r="36" ht="14.4">
      <c r="A36" s="81" t="s">
        <v>47</v>
      </c>
      <c r="B36" s="66"/>
      <c r="C36" s="66"/>
      <c r="D36" s="251"/>
      <c r="E36" s="83"/>
      <c r="F36" s="251"/>
      <c r="G36" s="83"/>
      <c r="H36" s="87"/>
      <c r="I36" s="87"/>
      <c r="J36" s="67"/>
      <c r="K36" s="67"/>
      <c r="L36" s="66"/>
      <c r="M36" s="66"/>
      <c r="N36" s="251"/>
      <c r="O36" s="83"/>
      <c r="P36" s="218">
        <f t="shared" si="35"/>
        <v>0</v>
      </c>
      <c r="Q36" s="62">
        <f t="shared" si="39"/>
        <v>176</v>
      </c>
      <c r="R36" s="219" t="str">
        <f t="shared" si="36"/>
        <v>Торубара</v>
      </c>
      <c r="S36" s="76" t="s">
        <v>10</v>
      </c>
      <c r="T36" s="77" t="s">
        <v>9</v>
      </c>
      <c r="U36" s="73">
        <f t="shared" si="37"/>
        <v>0</v>
      </c>
      <c r="V36" s="62">
        <f t="shared" si="38"/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ht="14.4">
      <c r="A37" s="81" t="s">
        <v>48</v>
      </c>
      <c r="B37" s="82"/>
      <c r="C37" s="82"/>
      <c r="D37" s="71"/>
      <c r="E37" s="89"/>
      <c r="F37" s="71"/>
      <c r="G37" s="78"/>
      <c r="H37" s="87"/>
      <c r="I37" s="87"/>
      <c r="J37" s="66"/>
      <c r="K37" s="66"/>
      <c r="L37" s="71"/>
      <c r="M37" s="243"/>
      <c r="N37" s="71"/>
      <c r="O37" s="243"/>
      <c r="P37" s="218">
        <f t="shared" si="35"/>
        <v>0</v>
      </c>
      <c r="Q37" s="62">
        <f t="shared" si="39"/>
        <v>176</v>
      </c>
      <c r="R37" s="219" t="str">
        <f t="shared" si="36"/>
        <v>Стрыгин</v>
      </c>
      <c r="S37" s="71" t="s">
        <v>8</v>
      </c>
      <c r="T37" s="72" t="s">
        <v>7</v>
      </c>
      <c r="U37" s="73">
        <f t="shared" si="37"/>
        <v>0</v>
      </c>
      <c r="V37" s="62">
        <f t="shared" si="38"/>
        <v>0</v>
      </c>
      <c r="W37" s="62"/>
      <c r="X37" s="74" t="s">
        <v>49</v>
      </c>
      <c r="Y37" s="7"/>
      <c r="Z37" s="7"/>
      <c r="AA37" s="7"/>
      <c r="AB37" s="13"/>
      <c r="AC37" s="13"/>
      <c r="AD37" s="13"/>
    </row>
    <row r="38" ht="14.4">
      <c r="A38" s="81" t="s">
        <v>50</v>
      </c>
      <c r="B38" s="262"/>
      <c r="C38" s="77"/>
      <c r="D38" s="87"/>
      <c r="E38" s="87"/>
      <c r="F38" s="66"/>
      <c r="G38" s="66"/>
      <c r="H38" s="66"/>
      <c r="I38" s="66"/>
      <c r="J38" s="149"/>
      <c r="K38" s="89"/>
      <c r="L38" s="87"/>
      <c r="M38" s="87"/>
      <c r="N38" s="66"/>
      <c r="O38" s="66"/>
      <c r="P38" s="218">
        <f t="shared" si="35"/>
        <v>0</v>
      </c>
      <c r="Q38" s="62">
        <f t="shared" si="39"/>
        <v>176</v>
      </c>
      <c r="R38" s="219" t="str">
        <f t="shared" si="36"/>
        <v>Фрик</v>
      </c>
      <c r="S38" s="71" t="s">
        <v>12</v>
      </c>
      <c r="T38" s="72" t="s">
        <v>11</v>
      </c>
      <c r="U38" s="73">
        <f t="shared" si="37"/>
        <v>0</v>
      </c>
      <c r="V38" s="62">
        <f t="shared" si="38"/>
        <v>0</v>
      </c>
      <c r="W38" s="62"/>
      <c r="X38" s="74" t="s">
        <v>44</v>
      </c>
      <c r="Y38" s="7"/>
      <c r="Z38" s="7"/>
      <c r="AA38" s="7"/>
      <c r="AB38" s="13"/>
      <c r="AC38" s="13"/>
      <c r="AD38" s="13"/>
    </row>
    <row r="39" ht="14.4">
      <c r="A39" s="88" t="s">
        <v>51</v>
      </c>
      <c r="B39" s="66"/>
      <c r="C39" s="66"/>
      <c r="D39" s="66"/>
      <c r="E39" s="66"/>
      <c r="F39" s="268"/>
      <c r="G39" s="243"/>
      <c r="H39" s="268"/>
      <c r="I39" s="78"/>
      <c r="J39" s="66"/>
      <c r="K39" s="66"/>
      <c r="L39" s="67"/>
      <c r="M39" s="67"/>
      <c r="N39" s="251"/>
      <c r="O39" s="156"/>
      <c r="P39" s="218">
        <f t="shared" si="35"/>
        <v>0</v>
      </c>
      <c r="Q39" s="62">
        <f t="shared" si="39"/>
        <v>176</v>
      </c>
      <c r="R39" s="219" t="str">
        <f t="shared" si="36"/>
        <v>Истрашкин</v>
      </c>
      <c r="S39" s="71" t="s">
        <v>10</v>
      </c>
      <c r="T39" s="72" t="s">
        <v>9</v>
      </c>
      <c r="U39" s="73">
        <f t="shared" si="37"/>
        <v>0</v>
      </c>
      <c r="V39" s="62">
        <f t="shared" si="38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4">
      <c r="A40" s="175"/>
      <c r="B40" s="210">
        <v>46272</v>
      </c>
      <c r="C40" s="211"/>
      <c r="D40" s="210">
        <v>46273</v>
      </c>
      <c r="E40" s="211"/>
      <c r="F40" s="210">
        <v>46274</v>
      </c>
      <c r="G40" s="211"/>
      <c r="H40" s="210">
        <v>46275</v>
      </c>
      <c r="I40" s="211"/>
      <c r="J40" s="210">
        <v>46276</v>
      </c>
      <c r="K40" s="211"/>
      <c r="L40" s="210">
        <v>46277</v>
      </c>
      <c r="M40" s="211"/>
      <c r="N40" s="210">
        <v>46278</v>
      </c>
      <c r="O40" s="231"/>
      <c r="P40" s="246"/>
      <c r="Q40" s="247"/>
      <c r="R40" s="245"/>
      <c r="S40" s="178"/>
      <c r="T40" s="178"/>
      <c r="U40" s="100"/>
      <c r="V40" s="100"/>
      <c r="W40" s="100"/>
      <c r="X40" s="7"/>
      <c r="Y40" s="7"/>
      <c r="Z40" s="7"/>
      <c r="AA40" s="7"/>
      <c r="AB40" s="13"/>
      <c r="AC40" s="13"/>
      <c r="AD40" s="13"/>
    </row>
    <row r="41" ht="14.4">
      <c r="A41" s="162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4"/>
      <c r="R41" s="165"/>
      <c r="S41" s="165"/>
      <c r="T41" s="165"/>
      <c r="U41" s="100"/>
      <c r="V41" s="100"/>
      <c r="W41" s="100"/>
      <c r="X41" s="51"/>
      <c r="Y41" s="7"/>
      <c r="Z41" s="7"/>
      <c r="AA41" s="7"/>
      <c r="AB41" s="13"/>
      <c r="AC41" s="13"/>
      <c r="AD41" s="13"/>
    </row>
    <row r="42" ht="14.4">
      <c r="A42" s="143"/>
      <c r="B42" s="43" t="s">
        <v>17</v>
      </c>
      <c r="C42" s="142"/>
      <c r="D42" s="43" t="s">
        <v>18</v>
      </c>
      <c r="E42" s="142"/>
      <c r="F42" s="43" t="s">
        <v>19</v>
      </c>
      <c r="G42" s="43"/>
      <c r="H42" s="43" t="s">
        <v>20</v>
      </c>
      <c r="I42" s="142"/>
      <c r="J42" s="43" t="s">
        <v>21</v>
      </c>
      <c r="K42" s="43"/>
      <c r="L42" s="43" t="s">
        <v>22</v>
      </c>
      <c r="M42" s="43"/>
      <c r="N42" s="43" t="s">
        <v>23</v>
      </c>
      <c r="O42" s="43"/>
      <c r="P42" s="208" t="s">
        <v>24</v>
      </c>
      <c r="Q42" s="209"/>
      <c r="R42" s="143"/>
      <c r="S42" s="143"/>
      <c r="T42" s="143"/>
      <c r="U42" s="62"/>
      <c r="V42" s="62"/>
      <c r="W42" s="62"/>
      <c r="X42" s="63"/>
      <c r="Y42" s="7"/>
      <c r="Z42" s="7"/>
      <c r="AA42" s="7"/>
      <c r="AB42" s="13"/>
      <c r="AC42" s="13"/>
      <c r="AD42" s="13"/>
    </row>
    <row r="43" ht="14.4">
      <c r="A43" s="143"/>
      <c r="B43" s="210">
        <v>46279</v>
      </c>
      <c r="C43" s="211"/>
      <c r="D43" s="210">
        <v>46280</v>
      </c>
      <c r="E43" s="211"/>
      <c r="F43" s="210">
        <v>46281</v>
      </c>
      <c r="G43" s="211"/>
      <c r="H43" s="210">
        <v>46282</v>
      </c>
      <c r="I43" s="211"/>
      <c r="J43" s="210">
        <v>46283</v>
      </c>
      <c r="K43" s="211"/>
      <c r="L43" s="210">
        <v>46284</v>
      </c>
      <c r="M43" s="211"/>
      <c r="N43" s="210">
        <v>46285</v>
      </c>
      <c r="O43" s="212"/>
      <c r="P43" s="213" t="s">
        <v>25</v>
      </c>
      <c r="Q43" s="214" t="s">
        <v>26</v>
      </c>
      <c r="R43" s="249"/>
      <c r="S43" s="147"/>
      <c r="T43" s="147"/>
      <c r="U43" s="60" t="s">
        <v>27</v>
      </c>
      <c r="V43" s="61" t="s">
        <v>28</v>
      </c>
      <c r="W43" s="62" t="s">
        <v>29</v>
      </c>
      <c r="X43" s="63" t="s">
        <v>30</v>
      </c>
      <c r="Y43" s="7"/>
      <c r="Z43" s="7"/>
      <c r="AA43" s="7"/>
      <c r="AB43" s="13"/>
      <c r="AC43" s="13"/>
      <c r="AD43" s="13"/>
    </row>
    <row r="44" ht="14.4">
      <c r="A44" s="203" t="s">
        <v>31</v>
      </c>
      <c r="B44" s="65" t="s">
        <v>32</v>
      </c>
      <c r="C44" s="65" t="s">
        <v>33</v>
      </c>
      <c r="D44" s="65" t="s">
        <v>32</v>
      </c>
      <c r="E44" s="65" t="s">
        <v>33</v>
      </c>
      <c r="F44" s="65" t="s">
        <v>32</v>
      </c>
      <c r="G44" s="65" t="s">
        <v>33</v>
      </c>
      <c r="H44" s="65" t="s">
        <v>32</v>
      </c>
      <c r="I44" s="65" t="s">
        <v>33</v>
      </c>
      <c r="J44" s="65" t="s">
        <v>32</v>
      </c>
      <c r="K44" s="65" t="s">
        <v>33</v>
      </c>
      <c r="L44" s="67"/>
      <c r="M44" s="67"/>
      <c r="N44" s="67"/>
      <c r="O44" s="67"/>
      <c r="P44" s="218">
        <f t="shared" si="35"/>
        <v>40</v>
      </c>
      <c r="Q44" s="62">
        <f t="shared" si="39"/>
        <v>56</v>
      </c>
      <c r="R44" s="219" t="str">
        <f t="shared" si="36"/>
        <v>Нетронин</v>
      </c>
      <c r="S44" s="71" t="s">
        <v>10</v>
      </c>
      <c r="T44" s="72" t="s">
        <v>9</v>
      </c>
      <c r="U44" s="73">
        <f t="shared" si="37"/>
        <v>0</v>
      </c>
      <c r="V44" s="62">
        <f t="shared" si="38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4">
      <c r="A45" s="203" t="s">
        <v>35</v>
      </c>
      <c r="B45" s="148" t="s">
        <v>32</v>
      </c>
      <c r="C45" s="148" t="s">
        <v>33</v>
      </c>
      <c r="D45" s="148" t="s">
        <v>32</v>
      </c>
      <c r="E45" s="148" t="s">
        <v>33</v>
      </c>
      <c r="F45" s="270" t="s">
        <v>32</v>
      </c>
      <c r="G45" s="148" t="s">
        <v>33</v>
      </c>
      <c r="H45" s="122"/>
      <c r="I45" s="122" t="s">
        <v>33</v>
      </c>
      <c r="J45" s="122"/>
      <c r="K45" s="122" t="s">
        <v>33</v>
      </c>
      <c r="L45" s="122"/>
      <c r="M45" s="122"/>
      <c r="N45" s="122"/>
      <c r="O45" s="122"/>
      <c r="P45" s="218">
        <f t="shared" si="35"/>
        <v>40</v>
      </c>
      <c r="Q45" s="62">
        <f t="shared" si="39"/>
        <v>56</v>
      </c>
      <c r="R45" s="219" t="str">
        <f t="shared" si="36"/>
        <v>Рычков</v>
      </c>
      <c r="S45" s="76" t="s">
        <v>10</v>
      </c>
      <c r="T45" s="77" t="s">
        <v>9</v>
      </c>
      <c r="U45" s="73">
        <f t="shared" si="37"/>
        <v>0</v>
      </c>
      <c r="V45" s="62">
        <f t="shared" si="38"/>
        <v>0</v>
      </c>
      <c r="W45" s="62"/>
      <c r="X45" s="74" t="s">
        <v>34</v>
      </c>
      <c r="Y45" s="7"/>
      <c r="Z45" s="7"/>
      <c r="AA45" s="7"/>
      <c r="AB45" s="13"/>
      <c r="AC45" s="13"/>
      <c r="AD45" s="13"/>
    </row>
    <row r="46" ht="14.4">
      <c r="A46" s="203" t="s">
        <v>39</v>
      </c>
      <c r="B46" s="65" t="s">
        <v>32</v>
      </c>
      <c r="C46" s="65" t="s">
        <v>33</v>
      </c>
      <c r="D46" s="65" t="s">
        <v>32</v>
      </c>
      <c r="E46" s="65" t="s">
        <v>33</v>
      </c>
      <c r="F46" s="65" t="s">
        <v>32</v>
      </c>
      <c r="G46" s="65" t="s">
        <v>33</v>
      </c>
      <c r="H46" s="65" t="s">
        <v>32</v>
      </c>
      <c r="I46" s="65" t="s">
        <v>33</v>
      </c>
      <c r="J46" s="65" t="s">
        <v>32</v>
      </c>
      <c r="K46" s="65" t="s">
        <v>33</v>
      </c>
      <c r="L46" s="66"/>
      <c r="M46" s="66"/>
      <c r="N46" s="66"/>
      <c r="O46" s="66"/>
      <c r="P46" s="218">
        <f t="shared" si="35"/>
        <v>40</v>
      </c>
      <c r="Q46" s="62">
        <f t="shared" si="39"/>
        <v>56</v>
      </c>
      <c r="R46" s="219" t="str">
        <f t="shared" si="36"/>
        <v>Игумнов</v>
      </c>
      <c r="S46" s="76" t="s">
        <v>10</v>
      </c>
      <c r="T46" s="77" t="s">
        <v>9</v>
      </c>
      <c r="U46" s="73">
        <f t="shared" si="37"/>
        <v>0</v>
      </c>
      <c r="V46" s="62">
        <f t="shared" si="38"/>
        <v>0</v>
      </c>
      <c r="W46" s="62"/>
      <c r="X46" s="79" t="s">
        <v>34</v>
      </c>
      <c r="Y46" s="7"/>
      <c r="Z46" s="7"/>
      <c r="AA46" s="7"/>
      <c r="AB46" s="13"/>
      <c r="AC46" s="13"/>
      <c r="AD46" s="13"/>
    </row>
    <row r="47" ht="14.4">
      <c r="A47" s="271" t="s">
        <v>40</v>
      </c>
      <c r="B47" s="122"/>
      <c r="C47" s="122" t="s">
        <v>33</v>
      </c>
      <c r="D47" s="122"/>
      <c r="E47" s="122" t="s">
        <v>33</v>
      </c>
      <c r="F47" s="122"/>
      <c r="G47" s="122" t="s">
        <v>33</v>
      </c>
      <c r="H47" s="122"/>
      <c r="I47" s="122" t="s">
        <v>33</v>
      </c>
      <c r="J47" s="122"/>
      <c r="K47" s="122" t="s">
        <v>33</v>
      </c>
      <c r="L47" s="122"/>
      <c r="M47" s="122"/>
      <c r="N47" s="122"/>
      <c r="O47" s="122"/>
      <c r="P47" s="218">
        <f t="shared" si="35"/>
        <v>40</v>
      </c>
      <c r="Q47" s="62">
        <f t="shared" si="39"/>
        <v>56</v>
      </c>
      <c r="R47" s="219" t="str">
        <f t="shared" si="36"/>
        <v>Душин</v>
      </c>
      <c r="S47" s="76" t="s">
        <v>10</v>
      </c>
      <c r="T47" s="77" t="s">
        <v>9</v>
      </c>
      <c r="U47" s="73">
        <f t="shared" si="37"/>
        <v>0</v>
      </c>
      <c r="V47" s="62">
        <f t="shared" si="38"/>
        <v>0</v>
      </c>
      <c r="W47" s="62"/>
      <c r="X47" s="74" t="s">
        <v>38</v>
      </c>
      <c r="Y47" s="7"/>
      <c r="Z47" s="7"/>
      <c r="AA47" s="7"/>
      <c r="AB47" s="13"/>
      <c r="AC47" s="13"/>
      <c r="AD47" s="13"/>
    </row>
    <row r="48" ht="14.4">
      <c r="A48" s="64" t="s">
        <v>42</v>
      </c>
      <c r="B48" s="65" t="s">
        <v>32</v>
      </c>
      <c r="C48" s="65" t="s">
        <v>33</v>
      </c>
      <c r="D48" s="65" t="s">
        <v>32</v>
      </c>
      <c r="E48" s="65" t="s">
        <v>33</v>
      </c>
      <c r="F48" s="65" t="s">
        <v>32</v>
      </c>
      <c r="G48" s="65" t="s">
        <v>33</v>
      </c>
      <c r="H48" s="65" t="s">
        <v>32</v>
      </c>
      <c r="I48" s="65" t="s">
        <v>33</v>
      </c>
      <c r="J48" s="65" t="s">
        <v>32</v>
      </c>
      <c r="K48" s="65" t="s">
        <v>33</v>
      </c>
      <c r="L48" s="66"/>
      <c r="M48" s="66"/>
      <c r="N48" s="66"/>
      <c r="O48" s="66"/>
      <c r="P48" s="218">
        <f t="shared" si="35"/>
        <v>40</v>
      </c>
      <c r="Q48" s="227">
        <f t="shared" ref="Q48:Q49" si="40">Q31-P47</f>
        <v>56</v>
      </c>
      <c r="R48" s="222" t="str">
        <f t="shared" si="36"/>
        <v>Юращик</v>
      </c>
      <c r="S48" s="76" t="s">
        <v>10</v>
      </c>
      <c r="T48" s="77" t="s">
        <v>9</v>
      </c>
      <c r="U48" s="73">
        <f t="shared" si="37"/>
        <v>0</v>
      </c>
      <c r="V48" s="62">
        <f t="shared" si="38"/>
        <v>0</v>
      </c>
      <c r="W48" s="221"/>
      <c r="X48" s="74" t="s">
        <v>38</v>
      </c>
      <c r="Y48" s="7"/>
      <c r="Z48" s="7"/>
      <c r="AA48" s="7"/>
      <c r="AB48" s="13"/>
      <c r="AC48" s="13"/>
      <c r="AD48" s="13"/>
    </row>
    <row r="49" ht="14.4">
      <c r="A49" s="64" t="s">
        <v>52</v>
      </c>
      <c r="B49" s="65" t="s">
        <v>54</v>
      </c>
      <c r="C49" s="260" t="s">
        <v>33</v>
      </c>
      <c r="D49" s="65" t="s">
        <v>54</v>
      </c>
      <c r="E49" s="260" t="s">
        <v>33</v>
      </c>
      <c r="F49" s="65" t="s">
        <v>54</v>
      </c>
      <c r="G49" s="260" t="s">
        <v>33</v>
      </c>
      <c r="H49" s="65" t="s">
        <v>54</v>
      </c>
      <c r="I49" s="260" t="s">
        <v>33</v>
      </c>
      <c r="J49" s="65" t="s">
        <v>54</v>
      </c>
      <c r="K49" s="260" t="s">
        <v>33</v>
      </c>
      <c r="L49" s="66"/>
      <c r="M49" s="66"/>
      <c r="N49" s="66"/>
      <c r="O49" s="66"/>
      <c r="P49" s="218">
        <f t="shared" si="35"/>
        <v>40</v>
      </c>
      <c r="Q49" s="62">
        <f t="shared" si="40"/>
        <v>56</v>
      </c>
      <c r="R49" s="272" t="s">
        <v>52</v>
      </c>
      <c r="S49" s="71" t="s">
        <v>8</v>
      </c>
      <c r="T49" s="72" t="s">
        <v>7</v>
      </c>
      <c r="U49" s="73">
        <f t="shared" si="37"/>
        <v>0</v>
      </c>
      <c r="V49" s="62">
        <f t="shared" si="38"/>
        <v>0</v>
      </c>
      <c r="W49" s="69"/>
      <c r="X49" s="242"/>
      <c r="Y49" s="7"/>
      <c r="Z49" s="7"/>
      <c r="AA49" s="7"/>
      <c r="AB49" s="13"/>
      <c r="AC49" s="13"/>
      <c r="AD49" s="13"/>
    </row>
    <row r="50" ht="14.4">
      <c r="A50" s="204" t="s">
        <v>43</v>
      </c>
      <c r="B50" s="66"/>
      <c r="C50" s="273"/>
      <c r="D50" s="71"/>
      <c r="E50" s="76"/>
      <c r="F50" s="71"/>
      <c r="G50" s="78"/>
      <c r="H50" s="66"/>
      <c r="I50" s="66"/>
      <c r="J50" s="72"/>
      <c r="K50" s="251"/>
      <c r="L50" s="72"/>
      <c r="M50" s="77"/>
      <c r="N50" s="72"/>
      <c r="O50" s="77"/>
      <c r="P50" s="218">
        <f t="shared" si="35"/>
        <v>0</v>
      </c>
      <c r="Q50" s="62">
        <f t="shared" ref="Q50:Q64" si="41">Q33-P50</f>
        <v>176</v>
      </c>
      <c r="R50" s="113" t="s">
        <v>43</v>
      </c>
      <c r="S50" s="149" t="s">
        <v>12</v>
      </c>
      <c r="T50" s="262" t="s">
        <v>11</v>
      </c>
      <c r="U50" s="244">
        <f t="shared" si="37"/>
        <v>0</v>
      </c>
      <c r="V50" s="227">
        <f t="shared" si="38"/>
        <v>0</v>
      </c>
      <c r="W50" s="229"/>
      <c r="X50" s="74" t="s">
        <v>44</v>
      </c>
      <c r="Y50" s="7"/>
      <c r="Z50" s="7"/>
      <c r="AA50" s="7"/>
      <c r="AB50" s="13"/>
      <c r="AC50" s="13"/>
      <c r="AD50" s="13"/>
    </row>
    <row r="51" ht="14.4">
      <c r="A51" s="274" t="s">
        <v>45</v>
      </c>
      <c r="B51" s="71"/>
      <c r="C51" s="78"/>
      <c r="D51" s="200"/>
      <c r="E51" s="200"/>
      <c r="F51" s="200"/>
      <c r="G51" s="200"/>
      <c r="H51" s="251"/>
      <c r="I51" s="77"/>
      <c r="J51" s="251"/>
      <c r="K51" s="77"/>
      <c r="L51" s="275"/>
      <c r="M51" s="275"/>
      <c r="N51" s="200"/>
      <c r="O51" s="200"/>
      <c r="P51" s="218">
        <f t="shared" si="35"/>
        <v>0</v>
      </c>
      <c r="Q51" s="62">
        <f t="shared" si="41"/>
        <v>176</v>
      </c>
      <c r="R51" s="219" t="str">
        <f t="shared" si="36"/>
        <v>Пузырь</v>
      </c>
      <c r="S51" s="76" t="s">
        <v>10</v>
      </c>
      <c r="T51" s="77" t="s">
        <v>9</v>
      </c>
      <c r="U51" s="73">
        <f t="shared" si="37"/>
        <v>0</v>
      </c>
      <c r="V51" s="62">
        <f t="shared" si="38"/>
        <v>0</v>
      </c>
      <c r="W51" s="62"/>
      <c r="X51" s="74" t="s">
        <v>34</v>
      </c>
      <c r="Y51" s="7"/>
      <c r="Z51" s="7"/>
      <c r="AA51" s="7"/>
      <c r="AB51" s="13"/>
      <c r="AC51" s="13"/>
      <c r="AD51" s="13"/>
    </row>
    <row r="52" ht="14.4">
      <c r="A52" s="250" t="s">
        <v>46</v>
      </c>
      <c r="B52" s="66"/>
      <c r="C52" s="66"/>
      <c r="D52" s="268"/>
      <c r="E52" s="76"/>
      <c r="F52" s="71"/>
      <c r="G52" s="78"/>
      <c r="H52" s="66"/>
      <c r="I52" s="66"/>
      <c r="J52" s="66"/>
      <c r="K52" s="66"/>
      <c r="L52" s="251"/>
      <c r="M52" s="77"/>
      <c r="N52" s="251"/>
      <c r="O52" s="77"/>
      <c r="P52" s="218">
        <f t="shared" si="35"/>
        <v>0</v>
      </c>
      <c r="Q52" s="62">
        <f t="shared" si="41"/>
        <v>176</v>
      </c>
      <c r="R52" s="219" t="str">
        <f t="shared" si="36"/>
        <v>Голышев</v>
      </c>
      <c r="S52" s="76" t="s">
        <v>10</v>
      </c>
      <c r="T52" s="77" t="s">
        <v>9</v>
      </c>
      <c r="U52" s="73">
        <f t="shared" si="37"/>
        <v>0</v>
      </c>
      <c r="V52" s="62">
        <f t="shared" si="38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4">
      <c r="A53" s="250" t="s">
        <v>47</v>
      </c>
      <c r="B53" s="77"/>
      <c r="C53" s="77"/>
      <c r="D53" s="82"/>
      <c r="E53" s="82"/>
      <c r="F53" s="251"/>
      <c r="G53" s="77"/>
      <c r="H53" s="251"/>
      <c r="I53" s="83"/>
      <c r="J53" s="87"/>
      <c r="K53" s="87"/>
      <c r="L53" s="66"/>
      <c r="M53" s="66"/>
      <c r="N53" s="66"/>
      <c r="O53" s="66"/>
      <c r="P53" s="218">
        <f t="shared" si="35"/>
        <v>0</v>
      </c>
      <c r="Q53" s="62">
        <f t="shared" si="41"/>
        <v>176</v>
      </c>
      <c r="R53" s="219" t="str">
        <f t="shared" si="36"/>
        <v>Торубара</v>
      </c>
      <c r="S53" s="76" t="s">
        <v>10</v>
      </c>
      <c r="T53" s="77" t="s">
        <v>9</v>
      </c>
      <c r="U53" s="73">
        <f t="shared" si="37"/>
        <v>0</v>
      </c>
      <c r="V53" s="62">
        <f t="shared" si="38"/>
        <v>0</v>
      </c>
      <c r="W53" s="62"/>
      <c r="X53" s="74" t="s">
        <v>34</v>
      </c>
      <c r="Y53" s="7"/>
      <c r="Z53" s="7"/>
      <c r="AA53" s="7"/>
      <c r="AB53" s="13"/>
      <c r="AC53" s="13"/>
      <c r="AD53" s="13"/>
    </row>
    <row r="54" ht="14.4">
      <c r="A54" s="250" t="s">
        <v>48</v>
      </c>
      <c r="B54" s="71"/>
      <c r="C54" s="265"/>
      <c r="D54" s="82"/>
      <c r="E54" s="82"/>
      <c r="F54" s="66"/>
      <c r="G54" s="66"/>
      <c r="H54" s="71"/>
      <c r="I54" s="243"/>
      <c r="J54" s="268"/>
      <c r="K54" s="243"/>
      <c r="L54" s="82"/>
      <c r="M54" s="82"/>
      <c r="N54" s="82"/>
      <c r="O54" s="82"/>
      <c r="P54" s="218">
        <f t="shared" si="35"/>
        <v>0</v>
      </c>
      <c r="Q54" s="62">
        <f t="shared" si="41"/>
        <v>176</v>
      </c>
      <c r="R54" s="219" t="str">
        <f t="shared" si="36"/>
        <v>Стрыгин</v>
      </c>
      <c r="S54" s="71" t="s">
        <v>8</v>
      </c>
      <c r="T54" s="72" t="s">
        <v>7</v>
      </c>
      <c r="U54" s="73">
        <f t="shared" si="37"/>
        <v>0</v>
      </c>
      <c r="V54" s="62">
        <f t="shared" si="38"/>
        <v>0</v>
      </c>
      <c r="W54" s="62"/>
      <c r="X54" s="74" t="s">
        <v>49</v>
      </c>
      <c r="Y54" s="7"/>
      <c r="Z54" s="7"/>
      <c r="AA54" s="7"/>
      <c r="AB54" s="13"/>
      <c r="AC54" s="13"/>
      <c r="AD54" s="13"/>
    </row>
    <row r="55" ht="14.4">
      <c r="A55" s="250" t="s">
        <v>50</v>
      </c>
      <c r="B55" s="66"/>
      <c r="C55" s="66"/>
      <c r="D55" s="262"/>
      <c r="E55" s="77"/>
      <c r="F55" s="262"/>
      <c r="G55" s="77"/>
      <c r="H55" s="66"/>
      <c r="I55" s="66"/>
      <c r="J55" s="66"/>
      <c r="K55" s="66"/>
      <c r="L55" s="149"/>
      <c r="M55" s="78"/>
      <c r="N55" s="149"/>
      <c r="O55" s="78"/>
      <c r="P55" s="218">
        <f t="shared" si="35"/>
        <v>0</v>
      </c>
      <c r="Q55" s="62">
        <f t="shared" si="41"/>
        <v>176</v>
      </c>
      <c r="R55" s="219" t="str">
        <f t="shared" si="36"/>
        <v>Фрик</v>
      </c>
      <c r="S55" s="71" t="s">
        <v>12</v>
      </c>
      <c r="T55" s="72" t="s">
        <v>11</v>
      </c>
      <c r="U55" s="73">
        <f t="shared" si="37"/>
        <v>0</v>
      </c>
      <c r="V55" s="62">
        <f t="shared" si="38"/>
        <v>0</v>
      </c>
      <c r="W55" s="62"/>
      <c r="X55" s="74" t="s">
        <v>44</v>
      </c>
      <c r="Y55" s="7"/>
      <c r="Z55" s="7"/>
      <c r="AA55" s="7"/>
      <c r="AB55" s="13"/>
      <c r="AC55" s="13"/>
      <c r="AD55" s="13"/>
    </row>
    <row r="56" ht="14.4">
      <c r="A56" s="252" t="s">
        <v>51</v>
      </c>
      <c r="B56" s="123"/>
      <c r="C56" s="122"/>
      <c r="D56" s="123"/>
      <c r="E56" s="122"/>
      <c r="F56" s="123"/>
      <c r="G56" s="123"/>
      <c r="H56" s="122"/>
      <c r="I56" s="122"/>
      <c r="J56" s="122"/>
      <c r="K56" s="122"/>
      <c r="L56" s="122"/>
      <c r="M56" s="122"/>
      <c r="N56" s="123"/>
      <c r="O56" s="123"/>
      <c r="P56" s="218">
        <f t="shared" si="35"/>
        <v>0</v>
      </c>
      <c r="Q56" s="62">
        <f t="shared" si="41"/>
        <v>176</v>
      </c>
      <c r="R56" s="219" t="str">
        <f t="shared" si="36"/>
        <v>Истрашкин</v>
      </c>
      <c r="S56" s="71" t="s">
        <v>10</v>
      </c>
      <c r="T56" s="72" t="s">
        <v>9</v>
      </c>
      <c r="U56" s="73">
        <f t="shared" si="37"/>
        <v>0</v>
      </c>
      <c r="V56" s="62">
        <f t="shared" si="38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4">
      <c r="A57" s="207"/>
      <c r="B57" s="210">
        <v>46279</v>
      </c>
      <c r="C57" s="211"/>
      <c r="D57" s="210">
        <v>46280</v>
      </c>
      <c r="E57" s="211"/>
      <c r="F57" s="210">
        <v>46281</v>
      </c>
      <c r="G57" s="211"/>
      <c r="H57" s="210">
        <v>46282</v>
      </c>
      <c r="I57" s="211"/>
      <c r="J57" s="210">
        <v>46283</v>
      </c>
      <c r="K57" s="211"/>
      <c r="L57" s="210">
        <v>46284</v>
      </c>
      <c r="M57" s="211"/>
      <c r="N57" s="210">
        <v>46285</v>
      </c>
      <c r="O57" s="212"/>
      <c r="P57" s="253"/>
      <c r="Q57" s="254"/>
      <c r="R57" s="207"/>
      <c r="S57" s="138"/>
      <c r="T57" s="138"/>
      <c r="U57" s="60" t="s">
        <v>27</v>
      </c>
      <c r="V57" s="61" t="s">
        <v>28</v>
      </c>
      <c r="W57" s="62" t="s">
        <v>29</v>
      </c>
      <c r="X57" s="7"/>
      <c r="Y57" s="7"/>
      <c r="Z57" s="7"/>
      <c r="AA57" s="7"/>
      <c r="AB57" s="13"/>
      <c r="AC57" s="13"/>
      <c r="AD57" s="13"/>
    </row>
    <row r="58" ht="14.4">
      <c r="A58" s="165"/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65"/>
      <c r="Q58" s="165"/>
      <c r="R58" s="193"/>
      <c r="S58" s="127"/>
      <c r="T58" s="127"/>
      <c r="U58" s="127"/>
      <c r="V58" s="127"/>
      <c r="W58" s="128"/>
      <c r="X58" s="7"/>
      <c r="Y58" s="7"/>
      <c r="Z58" s="7"/>
      <c r="AA58" s="7"/>
      <c r="AB58" s="13"/>
      <c r="AC58" s="13"/>
      <c r="AD58" s="13"/>
    </row>
    <row r="59" ht="14.4">
      <c r="A59" s="143"/>
      <c r="B59" s="43" t="s">
        <v>17</v>
      </c>
      <c r="C59" s="142"/>
      <c r="D59" s="43" t="s">
        <v>18</v>
      </c>
      <c r="E59" s="142"/>
      <c r="F59" s="43" t="s">
        <v>19</v>
      </c>
      <c r="G59" s="43"/>
      <c r="H59" s="43" t="s">
        <v>20</v>
      </c>
      <c r="I59" s="142"/>
      <c r="J59" s="45" t="s">
        <v>21</v>
      </c>
      <c r="K59" s="45"/>
      <c r="L59" s="43" t="s">
        <v>22</v>
      </c>
      <c r="M59" s="43"/>
      <c r="N59" s="43" t="s">
        <v>23</v>
      </c>
      <c r="O59" s="43"/>
      <c r="P59" s="208" t="s">
        <v>24</v>
      </c>
      <c r="Q59" s="209"/>
      <c r="R59" s="143"/>
      <c r="S59" s="143"/>
      <c r="T59" s="143"/>
      <c r="U59" s="62"/>
      <c r="V59" s="62"/>
      <c r="W59" s="62"/>
      <c r="X59" s="51"/>
      <c r="Y59" s="7"/>
      <c r="Z59" s="7"/>
      <c r="AA59" s="7"/>
      <c r="AB59" s="13"/>
      <c r="AC59" s="13"/>
      <c r="AD59" s="13"/>
    </row>
    <row r="60" ht="14.4">
      <c r="A60" s="143"/>
      <c r="B60" s="210">
        <v>46286</v>
      </c>
      <c r="C60" s="211"/>
      <c r="D60" s="210">
        <v>46287</v>
      </c>
      <c r="E60" s="211"/>
      <c r="F60" s="210">
        <v>46288</v>
      </c>
      <c r="G60" s="211"/>
      <c r="H60" s="210">
        <v>46289</v>
      </c>
      <c r="I60" s="211"/>
      <c r="J60" s="210">
        <v>46290</v>
      </c>
      <c r="K60" s="211"/>
      <c r="L60" s="210">
        <v>46291</v>
      </c>
      <c r="M60" s="211"/>
      <c r="N60" s="210">
        <v>46292</v>
      </c>
      <c r="O60" s="212"/>
      <c r="P60" s="213" t="s">
        <v>25</v>
      </c>
      <c r="Q60" s="214" t="s">
        <v>26</v>
      </c>
      <c r="R60" s="249"/>
      <c r="S60" s="147"/>
      <c r="T60" s="147"/>
      <c r="U60" s="60" t="s">
        <v>27</v>
      </c>
      <c r="V60" s="61" t="s">
        <v>28</v>
      </c>
      <c r="W60" s="62" t="s">
        <v>29</v>
      </c>
      <c r="X60" s="63" t="s">
        <v>30</v>
      </c>
      <c r="Y60" s="7"/>
      <c r="Z60" s="7"/>
      <c r="AA60" s="7"/>
      <c r="AB60" s="13"/>
      <c r="AC60" s="13"/>
      <c r="AD60" s="13"/>
    </row>
    <row r="61" ht="14.4">
      <c r="A61" s="203" t="s">
        <v>31</v>
      </c>
      <c r="B61" s="65" t="s">
        <v>32</v>
      </c>
      <c r="C61" s="65" t="s">
        <v>33</v>
      </c>
      <c r="D61" s="65" t="s">
        <v>32</v>
      </c>
      <c r="E61" s="65" t="s">
        <v>33</v>
      </c>
      <c r="F61" s="65" t="s">
        <v>32</v>
      </c>
      <c r="G61" s="65" t="s">
        <v>33</v>
      </c>
      <c r="H61" s="65" t="s">
        <v>32</v>
      </c>
      <c r="I61" s="65" t="s">
        <v>33</v>
      </c>
      <c r="J61" s="65" t="s">
        <v>32</v>
      </c>
      <c r="K61" s="65" t="s">
        <v>33</v>
      </c>
      <c r="L61" s="67"/>
      <c r="M61" s="67"/>
      <c r="N61" s="67"/>
      <c r="O61" s="67"/>
      <c r="P61" s="218">
        <f t="shared" si="35"/>
        <v>40</v>
      </c>
      <c r="Q61" s="62">
        <f t="shared" si="41"/>
        <v>16</v>
      </c>
      <c r="R61" s="219" t="str">
        <f t="shared" si="36"/>
        <v>Нетронин</v>
      </c>
      <c r="S61" s="71" t="s">
        <v>10</v>
      </c>
      <c r="T61" s="72" t="s">
        <v>9</v>
      </c>
      <c r="U61" s="73">
        <v>0</v>
      </c>
      <c r="V61" s="62">
        <v>0</v>
      </c>
      <c r="W61" s="62"/>
      <c r="X61" s="74" t="s">
        <v>34</v>
      </c>
      <c r="Y61" s="7"/>
      <c r="Z61" s="7"/>
      <c r="AA61" s="7"/>
      <c r="AB61" s="13"/>
      <c r="AC61" s="13"/>
      <c r="AD61" s="13"/>
    </row>
    <row r="62" ht="14.4">
      <c r="A62" s="203" t="s">
        <v>35</v>
      </c>
      <c r="B62" s="120"/>
      <c r="C62" s="120" t="s">
        <v>33</v>
      </c>
      <c r="D62" s="120"/>
      <c r="E62" s="120" t="s">
        <v>33</v>
      </c>
      <c r="F62" s="120"/>
      <c r="G62" s="120" t="s">
        <v>33</v>
      </c>
      <c r="H62" s="120"/>
      <c r="I62" s="120" t="s">
        <v>33</v>
      </c>
      <c r="J62" s="120"/>
      <c r="K62" s="120" t="s">
        <v>33</v>
      </c>
      <c r="L62" s="66"/>
      <c r="M62" s="66"/>
      <c r="N62" s="66"/>
      <c r="O62" s="66"/>
      <c r="P62" s="218">
        <f t="shared" si="35"/>
        <v>40</v>
      </c>
      <c r="Q62" s="62">
        <f t="shared" si="41"/>
        <v>16</v>
      </c>
      <c r="R62" s="219" t="str">
        <f t="shared" si="36"/>
        <v>Рычков</v>
      </c>
      <c r="S62" s="76" t="s">
        <v>10</v>
      </c>
      <c r="T62" s="77" t="s">
        <v>9</v>
      </c>
      <c r="U62" s="73">
        <f t="shared" si="37"/>
        <v>0</v>
      </c>
      <c r="V62" s="62">
        <f t="shared" si="38"/>
        <v>0</v>
      </c>
      <c r="W62" s="62"/>
      <c r="X62" s="74" t="s">
        <v>34</v>
      </c>
      <c r="Y62" s="7"/>
      <c r="Z62" s="7"/>
      <c r="AA62" s="7"/>
      <c r="AB62" s="13"/>
      <c r="AC62" s="13"/>
      <c r="AD62" s="13"/>
    </row>
    <row r="63" ht="14.4">
      <c r="A63" s="203" t="s">
        <v>39</v>
      </c>
      <c r="B63" s="65" t="s">
        <v>32</v>
      </c>
      <c r="C63" s="65" t="s">
        <v>33</v>
      </c>
      <c r="D63" s="65" t="s">
        <v>32</v>
      </c>
      <c r="E63" s="65" t="s">
        <v>33</v>
      </c>
      <c r="F63" s="65" t="s">
        <v>32</v>
      </c>
      <c r="G63" s="65" t="s">
        <v>33</v>
      </c>
      <c r="H63" s="65" t="s">
        <v>32</v>
      </c>
      <c r="I63" s="65" t="s">
        <v>33</v>
      </c>
      <c r="J63" s="65" t="s">
        <v>32</v>
      </c>
      <c r="K63" s="65" t="s">
        <v>33</v>
      </c>
      <c r="L63" s="66"/>
      <c r="M63" s="66"/>
      <c r="N63" s="66"/>
      <c r="O63" s="66"/>
      <c r="P63" s="218">
        <f t="shared" si="35"/>
        <v>40</v>
      </c>
      <c r="Q63" s="62">
        <f t="shared" si="41"/>
        <v>16</v>
      </c>
      <c r="R63" s="219" t="str">
        <f t="shared" si="36"/>
        <v>Игумнов</v>
      </c>
      <c r="S63" s="76" t="s">
        <v>10</v>
      </c>
      <c r="T63" s="77" t="s">
        <v>9</v>
      </c>
      <c r="U63" s="73">
        <f t="shared" si="37"/>
        <v>0</v>
      </c>
      <c r="V63" s="62">
        <f t="shared" si="38"/>
        <v>0</v>
      </c>
      <c r="W63" s="62"/>
      <c r="X63" s="79" t="s">
        <v>34</v>
      </c>
      <c r="Y63" s="7"/>
      <c r="Z63" s="7"/>
      <c r="AA63" s="7"/>
      <c r="AB63" s="13"/>
      <c r="AC63" s="13"/>
      <c r="AD63" s="13"/>
    </row>
    <row r="64" ht="14.4">
      <c r="A64" s="203" t="s">
        <v>40</v>
      </c>
      <c r="B64" s="65" t="s">
        <v>32</v>
      </c>
      <c r="C64" s="65" t="s">
        <v>33</v>
      </c>
      <c r="D64" s="65" t="s">
        <v>32</v>
      </c>
      <c r="E64" s="65" t="s">
        <v>33</v>
      </c>
      <c r="F64" s="65" t="s">
        <v>32</v>
      </c>
      <c r="G64" s="65" t="s">
        <v>33</v>
      </c>
      <c r="H64" s="65" t="s">
        <v>32</v>
      </c>
      <c r="I64" s="65" t="s">
        <v>33</v>
      </c>
      <c r="J64" s="65" t="s">
        <v>32</v>
      </c>
      <c r="K64" s="65" t="s">
        <v>33</v>
      </c>
      <c r="L64" s="66"/>
      <c r="M64" s="66"/>
      <c r="N64" s="66"/>
      <c r="O64" s="66"/>
      <c r="P64" s="218">
        <f t="shared" si="35"/>
        <v>40</v>
      </c>
      <c r="Q64" s="62">
        <f t="shared" si="41"/>
        <v>16</v>
      </c>
      <c r="R64" s="219" t="str">
        <f t="shared" si="36"/>
        <v>Душин</v>
      </c>
      <c r="S64" s="76" t="s">
        <v>10</v>
      </c>
      <c r="T64" s="77" t="s">
        <v>9</v>
      </c>
      <c r="U64" s="73">
        <f t="shared" si="37"/>
        <v>0</v>
      </c>
      <c r="V64" s="62">
        <f t="shared" ref="V64:V66" si="42">COUNTIF(U64,C64)+COUNTIF(U64,E64)+COUNTIF(U64,G64)+COUNTIF(U64,I64)+COUNTIF(U64,K64)+COUNTIF(U64,M64)+COUNTIF(U64,O64)</f>
        <v>2</v>
      </c>
      <c r="W64" s="62"/>
      <c r="X64" s="74" t="s">
        <v>38</v>
      </c>
      <c r="Y64" s="7"/>
      <c r="Z64" s="7"/>
      <c r="AA64" s="7"/>
      <c r="AB64" s="13"/>
      <c r="AC64" s="13"/>
      <c r="AD64" s="13"/>
    </row>
    <row r="65" ht="14.4">
      <c r="A65" s="271" t="s">
        <v>42</v>
      </c>
      <c r="B65" s="65" t="s">
        <v>32</v>
      </c>
      <c r="C65" s="65" t="s">
        <v>33</v>
      </c>
      <c r="D65" s="65" t="s">
        <v>32</v>
      </c>
      <c r="E65" s="65" t="s">
        <v>33</v>
      </c>
      <c r="F65" s="65" t="s">
        <v>32</v>
      </c>
      <c r="G65" s="65" t="s">
        <v>33</v>
      </c>
      <c r="H65" s="65" t="s">
        <v>32</v>
      </c>
      <c r="I65" s="65" t="s">
        <v>33</v>
      </c>
      <c r="J65" s="65" t="s">
        <v>32</v>
      </c>
      <c r="K65" s="65" t="s">
        <v>33</v>
      </c>
      <c r="L65" s="66"/>
      <c r="M65" s="66"/>
      <c r="N65" s="66"/>
      <c r="O65" s="66"/>
      <c r="P65" s="218">
        <f t="shared" si="35"/>
        <v>40</v>
      </c>
      <c r="Q65" s="62">
        <f>Q49-P65</f>
        <v>16</v>
      </c>
      <c r="R65" s="222" t="str">
        <f t="shared" si="36"/>
        <v>Юращик</v>
      </c>
      <c r="S65" s="76" t="s">
        <v>10</v>
      </c>
      <c r="T65" s="77" t="s">
        <v>9</v>
      </c>
      <c r="U65" s="73">
        <f t="shared" si="37"/>
        <v>0</v>
      </c>
      <c r="V65" s="62">
        <f t="shared" si="42"/>
        <v>2</v>
      </c>
      <c r="W65" s="62"/>
      <c r="X65" s="74" t="s">
        <v>38</v>
      </c>
      <c r="Y65" s="7"/>
      <c r="Z65" s="7"/>
      <c r="AA65" s="7"/>
      <c r="AB65" s="13"/>
      <c r="AC65" s="13"/>
      <c r="AD65" s="13"/>
    </row>
    <row r="66" ht="14.4">
      <c r="A66" s="64" t="s">
        <v>52</v>
      </c>
      <c r="B66" s="65" t="s">
        <v>54</v>
      </c>
      <c r="C66" s="260" t="s">
        <v>33</v>
      </c>
      <c r="D66" s="65" t="s">
        <v>54</v>
      </c>
      <c r="E66" s="260" t="s">
        <v>33</v>
      </c>
      <c r="F66" s="65" t="s">
        <v>54</v>
      </c>
      <c r="G66" s="260" t="s">
        <v>33</v>
      </c>
      <c r="H66" s="65" t="s">
        <v>54</v>
      </c>
      <c r="I66" s="260" t="s">
        <v>33</v>
      </c>
      <c r="J66" s="65" t="s">
        <v>54</v>
      </c>
      <c r="K66" s="260" t="s">
        <v>33</v>
      </c>
      <c r="L66" s="66"/>
      <c r="M66" s="66"/>
      <c r="N66" s="66"/>
      <c r="O66" s="66"/>
      <c r="P66" s="218">
        <f t="shared" si="35"/>
        <v>40</v>
      </c>
      <c r="Q66" s="62">
        <f t="shared" ref="Q66:Q90" si="43">Q49-P66</f>
        <v>16</v>
      </c>
      <c r="R66" s="70" t="s">
        <v>52</v>
      </c>
      <c r="S66" s="71" t="s">
        <v>8</v>
      </c>
      <c r="T66" s="72" t="s">
        <v>7</v>
      </c>
      <c r="U66" s="73">
        <f t="shared" si="37"/>
        <v>0</v>
      </c>
      <c r="V66" s="62">
        <f t="shared" si="42"/>
        <v>2</v>
      </c>
      <c r="W66" s="90"/>
      <c r="X66" s="74"/>
      <c r="Y66" s="7"/>
      <c r="Z66" s="7"/>
      <c r="AA66" s="7"/>
      <c r="AB66" s="13"/>
      <c r="AC66" s="13"/>
      <c r="AD66" s="13"/>
    </row>
    <row r="67" ht="14.4">
      <c r="A67" s="204" t="s">
        <v>43</v>
      </c>
      <c r="B67" s="67"/>
      <c r="C67" s="261"/>
      <c r="D67" s="67"/>
      <c r="E67" s="261"/>
      <c r="F67" s="72"/>
      <c r="G67" s="77"/>
      <c r="H67" s="72"/>
      <c r="I67" s="83"/>
      <c r="J67" s="66"/>
      <c r="K67" s="66"/>
      <c r="L67" s="67"/>
      <c r="M67" s="67"/>
      <c r="N67" s="72"/>
      <c r="O67" s="251"/>
      <c r="P67" s="218">
        <f t="shared" si="35"/>
        <v>0</v>
      </c>
      <c r="Q67" s="62">
        <f t="shared" si="43"/>
        <v>176</v>
      </c>
      <c r="R67" s="113" t="s">
        <v>43</v>
      </c>
      <c r="S67" s="149" t="s">
        <v>12</v>
      </c>
      <c r="T67" s="262" t="s">
        <v>11</v>
      </c>
      <c r="U67" s="244">
        <f t="shared" si="37"/>
        <v>0</v>
      </c>
      <c r="V67" s="227">
        <f t="shared" ref="V67:V90" si="44">COUNTIF(S67,B67)+COUNTIF(S67,D67)+COUNTIF(S67,F67)+COUNTIF(S67,H67)+COUNTIF(S67,J67)+COUNTIF(S67,L67)+COUNTIF(S67,N67)</f>
        <v>0</v>
      </c>
      <c r="W67" s="62"/>
      <c r="X67" s="74" t="s">
        <v>44</v>
      </c>
      <c r="Y67" s="7"/>
      <c r="Z67" s="7"/>
      <c r="AA67" s="7"/>
      <c r="AB67" s="13"/>
      <c r="AC67" s="13"/>
      <c r="AD67" s="13"/>
    </row>
    <row r="68" ht="14.4">
      <c r="A68" s="204" t="s">
        <v>45</v>
      </c>
      <c r="B68" s="71"/>
      <c r="C68" s="78"/>
      <c r="D68" s="268"/>
      <c r="E68" s="78"/>
      <c r="F68" s="82"/>
      <c r="G68" s="82"/>
      <c r="H68" s="82"/>
      <c r="I68" s="82"/>
      <c r="J68" s="251"/>
      <c r="K68" s="83"/>
      <c r="L68" s="251"/>
      <c r="M68" s="83"/>
      <c r="N68" s="66"/>
      <c r="O68" s="66"/>
      <c r="P68" s="218">
        <f t="shared" si="35"/>
        <v>0</v>
      </c>
      <c r="Q68" s="62">
        <f t="shared" si="43"/>
        <v>176</v>
      </c>
      <c r="R68" s="219" t="str">
        <f t="shared" si="36"/>
        <v>Пузырь</v>
      </c>
      <c r="S68" s="76" t="s">
        <v>10</v>
      </c>
      <c r="T68" s="77" t="s">
        <v>9</v>
      </c>
      <c r="U68" s="73">
        <f t="shared" si="37"/>
        <v>0</v>
      </c>
      <c r="V68" s="62">
        <f t="shared" si="44"/>
        <v>0</v>
      </c>
      <c r="W68" s="62"/>
      <c r="X68" s="74" t="s">
        <v>34</v>
      </c>
      <c r="Y68" s="7"/>
      <c r="Z68" s="7"/>
      <c r="AA68" s="7"/>
      <c r="AB68" s="13"/>
      <c r="AC68" s="13"/>
      <c r="AD68" s="13"/>
    </row>
    <row r="69" ht="14.4">
      <c r="A69" s="205" t="s">
        <v>46</v>
      </c>
      <c r="B69" s="67"/>
      <c r="C69" s="67"/>
      <c r="D69" s="67"/>
      <c r="E69" s="67"/>
      <c r="F69" s="268"/>
      <c r="G69" s="76"/>
      <c r="H69" s="268"/>
      <c r="I69" s="78"/>
      <c r="J69" s="66"/>
      <c r="K69" s="66"/>
      <c r="L69" s="67"/>
      <c r="M69" s="67"/>
      <c r="N69" s="251"/>
      <c r="O69" s="77"/>
      <c r="P69" s="218">
        <f t="shared" si="35"/>
        <v>0</v>
      </c>
      <c r="Q69" s="62">
        <f t="shared" si="43"/>
        <v>176</v>
      </c>
      <c r="R69" s="219" t="str">
        <f t="shared" si="36"/>
        <v>Голышев</v>
      </c>
      <c r="S69" s="76" t="s">
        <v>10</v>
      </c>
      <c r="T69" s="77" t="s">
        <v>9</v>
      </c>
      <c r="U69" s="73">
        <f t="shared" si="37"/>
        <v>0</v>
      </c>
      <c r="V69" s="62">
        <f t="shared" si="44"/>
        <v>0</v>
      </c>
      <c r="W69" s="62"/>
      <c r="X69" s="74" t="s">
        <v>34</v>
      </c>
      <c r="Y69" s="7"/>
      <c r="Z69" s="7"/>
      <c r="AA69" s="7"/>
      <c r="AB69" s="13"/>
      <c r="AC69" s="13"/>
      <c r="AD69" s="13"/>
    </row>
    <row r="70" ht="14.4">
      <c r="A70" s="205" t="s">
        <v>47</v>
      </c>
      <c r="B70" s="276"/>
      <c r="C70" s="277"/>
      <c r="D70" s="251"/>
      <c r="E70" s="83"/>
      <c r="F70" s="82"/>
      <c r="G70" s="82"/>
      <c r="H70" s="67"/>
      <c r="I70" s="66"/>
      <c r="J70" s="268"/>
      <c r="K70" s="78"/>
      <c r="L70" s="268"/>
      <c r="M70" s="78"/>
      <c r="N70" s="82"/>
      <c r="O70" s="82"/>
      <c r="P70" s="218">
        <f t="shared" si="35"/>
        <v>0</v>
      </c>
      <c r="Q70" s="62">
        <f t="shared" si="43"/>
        <v>176</v>
      </c>
      <c r="R70" s="219" t="str">
        <f t="shared" si="36"/>
        <v>Торубара</v>
      </c>
      <c r="S70" s="76" t="s">
        <v>10</v>
      </c>
      <c r="T70" s="77" t="s">
        <v>9</v>
      </c>
      <c r="U70" s="73">
        <f t="shared" si="37"/>
        <v>0</v>
      </c>
      <c r="V70" s="62">
        <f t="shared" si="44"/>
        <v>0</v>
      </c>
      <c r="W70" s="62"/>
      <c r="X70" s="74" t="s">
        <v>34</v>
      </c>
      <c r="Y70" s="7"/>
      <c r="Z70" s="7"/>
      <c r="AA70" s="7"/>
      <c r="AB70" s="13"/>
      <c r="AC70" s="13"/>
      <c r="AD70" s="13"/>
    </row>
    <row r="71" ht="14.4">
      <c r="A71" s="278" t="s">
        <v>48</v>
      </c>
      <c r="B71" s="279"/>
      <c r="C71" s="280"/>
      <c r="D71" s="281"/>
      <c r="E71" s="156"/>
      <c r="F71" s="66"/>
      <c r="G71" s="66"/>
      <c r="H71" s="66"/>
      <c r="I71" s="66"/>
      <c r="J71" s="72"/>
      <c r="K71" s="156"/>
      <c r="L71" s="72"/>
      <c r="M71" s="83"/>
      <c r="N71" s="66"/>
      <c r="O71" s="66"/>
      <c r="P71" s="218">
        <f t="shared" si="35"/>
        <v>0</v>
      </c>
      <c r="Q71" s="62">
        <f t="shared" si="43"/>
        <v>176</v>
      </c>
      <c r="R71" s="219" t="str">
        <f t="shared" si="36"/>
        <v>Стрыгин</v>
      </c>
      <c r="S71" s="71" t="s">
        <v>8</v>
      </c>
      <c r="T71" s="72" t="s">
        <v>7</v>
      </c>
      <c r="U71" s="73">
        <f t="shared" si="37"/>
        <v>0</v>
      </c>
      <c r="V71" s="62">
        <f t="shared" si="44"/>
        <v>0</v>
      </c>
      <c r="W71" s="62"/>
      <c r="X71" s="74" t="s">
        <v>49</v>
      </c>
      <c r="Y71" s="7"/>
      <c r="Z71" s="7"/>
      <c r="AA71" s="7"/>
      <c r="AB71" s="13"/>
      <c r="AC71" s="13"/>
      <c r="AD71" s="13"/>
    </row>
    <row r="72" ht="14.4">
      <c r="A72" s="205" t="s">
        <v>50</v>
      </c>
      <c r="B72" s="282"/>
      <c r="C72" s="282"/>
      <c r="D72" s="66"/>
      <c r="E72" s="66"/>
      <c r="F72" s="262"/>
      <c r="G72" s="77"/>
      <c r="H72" s="262"/>
      <c r="I72" s="77"/>
      <c r="J72" s="82"/>
      <c r="K72" s="82"/>
      <c r="L72" s="82"/>
      <c r="M72" s="82"/>
      <c r="N72" s="149"/>
      <c r="O72" s="78"/>
      <c r="P72" s="218">
        <f t="shared" si="35"/>
        <v>0</v>
      </c>
      <c r="Q72" s="62">
        <f t="shared" si="43"/>
        <v>176</v>
      </c>
      <c r="R72" s="219" t="str">
        <f t="shared" si="36"/>
        <v>Фрик</v>
      </c>
      <c r="S72" s="71" t="s">
        <v>12</v>
      </c>
      <c r="T72" s="72" t="s">
        <v>11</v>
      </c>
      <c r="U72" s="73">
        <f t="shared" si="37"/>
        <v>0</v>
      </c>
      <c r="V72" s="62">
        <f t="shared" si="44"/>
        <v>0</v>
      </c>
      <c r="W72" s="62"/>
      <c r="X72" s="74" t="s">
        <v>44</v>
      </c>
      <c r="Y72" s="7"/>
      <c r="Z72" s="7"/>
      <c r="AA72" s="7"/>
      <c r="AB72" s="13"/>
      <c r="AC72" s="13"/>
      <c r="AD72" s="13"/>
    </row>
    <row r="73" ht="14.4">
      <c r="A73" s="206" t="s">
        <v>51</v>
      </c>
      <c r="B73" s="122"/>
      <c r="C73" s="122"/>
      <c r="D73" s="123"/>
      <c r="E73" s="122"/>
      <c r="F73" s="123"/>
      <c r="G73" s="122"/>
      <c r="H73" s="132"/>
      <c r="I73" s="132"/>
      <c r="J73" s="122"/>
      <c r="K73" s="122"/>
      <c r="L73" s="122"/>
      <c r="M73" s="122"/>
      <c r="N73" s="122"/>
      <c r="O73" s="122"/>
      <c r="P73" s="218">
        <f t="shared" si="35"/>
        <v>0</v>
      </c>
      <c r="Q73" s="62">
        <f t="shared" si="43"/>
        <v>176</v>
      </c>
      <c r="R73" s="219" t="str">
        <f t="shared" si="36"/>
        <v>Истрашкин</v>
      </c>
      <c r="S73" s="71" t="s">
        <v>10</v>
      </c>
      <c r="T73" s="72" t="s">
        <v>9</v>
      </c>
      <c r="U73" s="73">
        <f t="shared" si="37"/>
        <v>0</v>
      </c>
      <c r="V73" s="62">
        <f t="shared" si="44"/>
        <v>0</v>
      </c>
      <c r="W73" s="62"/>
      <c r="X73" s="74" t="s">
        <v>34</v>
      </c>
      <c r="Y73" s="7"/>
      <c r="Z73" s="7"/>
      <c r="AA73" s="7"/>
      <c r="AB73" s="13"/>
      <c r="AC73" s="13"/>
      <c r="AD73" s="13"/>
    </row>
    <row r="74" ht="14.4">
      <c r="A74" s="207"/>
      <c r="B74" s="210">
        <v>46286</v>
      </c>
      <c r="C74" s="211"/>
      <c r="D74" s="210">
        <v>46287</v>
      </c>
      <c r="E74" s="211"/>
      <c r="F74" s="210">
        <v>46288</v>
      </c>
      <c r="G74" s="211"/>
      <c r="H74" s="210">
        <v>46289</v>
      </c>
      <c r="I74" s="211"/>
      <c r="J74" s="210">
        <v>46290</v>
      </c>
      <c r="K74" s="211"/>
      <c r="L74" s="210">
        <v>46291</v>
      </c>
      <c r="M74" s="211"/>
      <c r="N74" s="210">
        <v>46292</v>
      </c>
      <c r="O74" s="212"/>
      <c r="P74" s="253"/>
      <c r="Q74" s="254"/>
      <c r="R74" s="207"/>
      <c r="S74" s="138"/>
      <c r="T74" s="138"/>
      <c r="U74" s="60" t="s">
        <v>27</v>
      </c>
      <c r="V74" s="61" t="s">
        <v>28</v>
      </c>
      <c r="W74" s="62" t="s">
        <v>29</v>
      </c>
      <c r="X74" s="7"/>
      <c r="Y74" s="7"/>
      <c r="Z74" s="7"/>
      <c r="AA74" s="7"/>
      <c r="AB74" s="13"/>
      <c r="AC74" s="13"/>
      <c r="AD74" s="13"/>
    </row>
    <row r="75" ht="14.4">
      <c r="A75" s="139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39"/>
      <c r="Q75" s="127"/>
      <c r="R75" s="139"/>
      <c r="S75" s="139"/>
      <c r="T75" s="139"/>
      <c r="U75" s="127"/>
      <c r="V75" s="127"/>
      <c r="W75" s="128"/>
      <c r="X75" s="7"/>
      <c r="Y75" s="7"/>
      <c r="Z75" s="7"/>
      <c r="AA75" s="7"/>
      <c r="AB75" s="13"/>
      <c r="AC75" s="13"/>
      <c r="AD75" s="13"/>
    </row>
    <row r="76" ht="14.4">
      <c r="A76" s="143"/>
      <c r="B76" s="43" t="s">
        <v>17</v>
      </c>
      <c r="C76" s="142"/>
      <c r="D76" s="43" t="s">
        <v>18</v>
      </c>
      <c r="E76" s="142"/>
      <c r="F76" s="43" t="s">
        <v>19</v>
      </c>
      <c r="G76" s="43"/>
      <c r="H76" s="43" t="s">
        <v>20</v>
      </c>
      <c r="I76" s="142"/>
      <c r="J76" s="45" t="s">
        <v>21</v>
      </c>
      <c r="K76" s="45"/>
      <c r="L76" s="43" t="s">
        <v>22</v>
      </c>
      <c r="M76" s="43"/>
      <c r="N76" s="43" t="s">
        <v>23</v>
      </c>
      <c r="O76" s="43"/>
      <c r="P76" s="208" t="s">
        <v>24</v>
      </c>
      <c r="Q76" s="209"/>
      <c r="R76" s="143"/>
      <c r="S76" s="143"/>
      <c r="T76" s="143"/>
      <c r="U76" s="62"/>
      <c r="V76" s="62"/>
      <c r="W76" s="62"/>
      <c r="X76" s="51"/>
      <c r="Y76" s="7"/>
      <c r="Z76" s="7"/>
      <c r="AA76" s="7"/>
      <c r="AB76" s="13"/>
      <c r="AC76" s="13"/>
      <c r="AD76" s="13"/>
    </row>
    <row r="77" ht="14.4">
      <c r="A77" s="143"/>
      <c r="B77" s="210">
        <v>46293</v>
      </c>
      <c r="C77" s="211"/>
      <c r="D77" s="210">
        <v>46294</v>
      </c>
      <c r="E77" s="211"/>
      <c r="F77" s="210">
        <v>46295</v>
      </c>
      <c r="G77" s="211"/>
      <c r="H77" s="210">
        <v>46296</v>
      </c>
      <c r="I77" s="211"/>
      <c r="J77" s="210">
        <v>46297</v>
      </c>
      <c r="K77" s="211"/>
      <c r="L77" s="210">
        <v>46298</v>
      </c>
      <c r="M77" s="211"/>
      <c r="N77" s="210">
        <v>46299</v>
      </c>
      <c r="O77" s="212"/>
      <c r="P77" s="213" t="s">
        <v>25</v>
      </c>
      <c r="Q77" s="214" t="s">
        <v>26</v>
      </c>
      <c r="R77" s="249"/>
      <c r="S77" s="147"/>
      <c r="T77" s="147"/>
      <c r="U77" s="60" t="s">
        <v>27</v>
      </c>
      <c r="V77" s="61" t="s">
        <v>28</v>
      </c>
      <c r="W77" s="62" t="s">
        <v>29</v>
      </c>
      <c r="X77" s="63" t="s">
        <v>30</v>
      </c>
      <c r="Y77" s="7"/>
      <c r="Z77" s="7"/>
      <c r="AA77" s="7"/>
      <c r="AB77" s="13"/>
      <c r="AC77" s="13"/>
      <c r="AD77" s="13"/>
    </row>
    <row r="78" ht="14.4">
      <c r="A78" s="203" t="s">
        <v>31</v>
      </c>
      <c r="B78" s="65" t="s">
        <v>32</v>
      </c>
      <c r="C78" s="65" t="s">
        <v>33</v>
      </c>
      <c r="D78" s="65" t="s">
        <v>32</v>
      </c>
      <c r="E78" s="65" t="s">
        <v>33</v>
      </c>
      <c r="F78" s="65"/>
      <c r="G78" s="65"/>
      <c r="H78" s="65"/>
      <c r="I78" s="65"/>
      <c r="J78" s="65"/>
      <c r="K78" s="65"/>
      <c r="L78" s="66"/>
      <c r="M78" s="66"/>
      <c r="N78" s="67"/>
      <c r="O78" s="67"/>
      <c r="P78" s="218">
        <f t="shared" ref="P76:P90" si="45">C78+E78+G78+I78+K78+M78+O78</f>
        <v>16</v>
      </c>
      <c r="Q78" s="62">
        <f t="shared" si="43"/>
        <v>0</v>
      </c>
      <c r="R78" s="219" t="str">
        <f t="shared" ref="R76:R90" si="46">A78</f>
        <v>Нетронин</v>
      </c>
      <c r="S78" s="71" t="s">
        <v>10</v>
      </c>
      <c r="T78" s="72" t="s">
        <v>9</v>
      </c>
      <c r="U78" s="73">
        <v>0</v>
      </c>
      <c r="V78" s="62">
        <v>0</v>
      </c>
      <c r="W78" s="62"/>
      <c r="X78" s="74" t="s">
        <v>34</v>
      </c>
      <c r="Y78" s="7"/>
      <c r="Z78" s="7"/>
      <c r="AA78" s="7"/>
      <c r="AB78" s="13"/>
      <c r="AC78" s="13"/>
      <c r="AD78" s="13"/>
    </row>
    <row r="79" ht="14.4">
      <c r="A79" s="217" t="s">
        <v>35</v>
      </c>
      <c r="B79" s="122"/>
      <c r="C79" s="122" t="s">
        <v>33</v>
      </c>
      <c r="D79" s="65" t="s">
        <v>32</v>
      </c>
      <c r="E79" s="65" t="s">
        <v>33</v>
      </c>
      <c r="F79" s="65"/>
      <c r="G79" s="65"/>
      <c r="H79" s="65"/>
      <c r="I79" s="65"/>
      <c r="J79" s="65"/>
      <c r="K79" s="65"/>
      <c r="L79" s="66"/>
      <c r="M79" s="66"/>
      <c r="N79" s="66"/>
      <c r="O79" s="66"/>
      <c r="P79" s="218">
        <f t="shared" si="45"/>
        <v>16</v>
      </c>
      <c r="Q79" s="62">
        <f t="shared" si="43"/>
        <v>0</v>
      </c>
      <c r="R79" s="219" t="str">
        <f t="shared" si="46"/>
        <v>Рычков</v>
      </c>
      <c r="S79" s="76" t="s">
        <v>10</v>
      </c>
      <c r="T79" s="77" t="s">
        <v>9</v>
      </c>
      <c r="U79" s="73">
        <f t="shared" ref="U77:U90" si="47">COUNTIF(T79,B79)+COUNTIF(T79,D79)+COUNTIF(T79,F79)+COUNTIF(T79,H79)+COUNTIF(T79,J79)+COUNTIF(T79,L79)+COUNTIF(T79,N79)</f>
        <v>0</v>
      </c>
      <c r="V79" s="62">
        <f t="shared" si="44"/>
        <v>0</v>
      </c>
      <c r="W79" s="62"/>
      <c r="X79" s="74" t="s">
        <v>34</v>
      </c>
      <c r="Y79" s="7"/>
      <c r="Z79" s="7"/>
      <c r="AA79" s="7"/>
      <c r="AB79" s="13"/>
      <c r="AC79" s="13"/>
      <c r="AD79" s="13"/>
    </row>
    <row r="80" ht="14.4">
      <c r="A80" s="203" t="s">
        <v>39</v>
      </c>
      <c r="B80" s="65" t="s">
        <v>32</v>
      </c>
      <c r="C80" s="65" t="s">
        <v>33</v>
      </c>
      <c r="D80" s="65" t="s">
        <v>32</v>
      </c>
      <c r="E80" s="65" t="s">
        <v>33</v>
      </c>
      <c r="F80" s="65"/>
      <c r="G80" s="65"/>
      <c r="H80" s="65"/>
      <c r="I80" s="65"/>
      <c r="J80" s="65"/>
      <c r="K80" s="65"/>
      <c r="L80" s="66"/>
      <c r="M80" s="66"/>
      <c r="N80" s="66"/>
      <c r="O80" s="66"/>
      <c r="P80" s="218">
        <f t="shared" si="45"/>
        <v>16</v>
      </c>
      <c r="Q80" s="62">
        <f t="shared" si="43"/>
        <v>0</v>
      </c>
      <c r="R80" s="219" t="str">
        <f t="shared" si="46"/>
        <v>Игумнов</v>
      </c>
      <c r="S80" s="76" t="s">
        <v>10</v>
      </c>
      <c r="T80" s="77" t="s">
        <v>9</v>
      </c>
      <c r="U80" s="73">
        <f t="shared" si="47"/>
        <v>0</v>
      </c>
      <c r="V80" s="62">
        <f t="shared" si="44"/>
        <v>0</v>
      </c>
      <c r="W80" s="62"/>
      <c r="X80" s="79" t="s">
        <v>34</v>
      </c>
      <c r="Y80" s="7"/>
      <c r="Z80" s="7"/>
      <c r="AA80" s="7"/>
      <c r="AB80" s="13"/>
      <c r="AC80" s="13"/>
      <c r="AD80" s="13"/>
    </row>
    <row r="81" ht="14.4">
      <c r="A81" s="203" t="s">
        <v>40</v>
      </c>
      <c r="B81" s="65" t="s">
        <v>32</v>
      </c>
      <c r="C81" s="65" t="s">
        <v>33</v>
      </c>
      <c r="D81" s="65" t="s">
        <v>32</v>
      </c>
      <c r="E81" s="65" t="s">
        <v>33</v>
      </c>
      <c r="F81" s="65"/>
      <c r="G81" s="65"/>
      <c r="H81" s="65"/>
      <c r="I81" s="65"/>
      <c r="J81" s="65"/>
      <c r="K81" s="65"/>
      <c r="L81" s="66"/>
      <c r="M81" s="66"/>
      <c r="N81" s="66"/>
      <c r="O81" s="66"/>
      <c r="P81" s="218">
        <f t="shared" si="45"/>
        <v>16</v>
      </c>
      <c r="Q81" s="62">
        <f t="shared" si="43"/>
        <v>0</v>
      </c>
      <c r="R81" s="219" t="str">
        <f t="shared" si="46"/>
        <v>Душин</v>
      </c>
      <c r="S81" s="76" t="s">
        <v>10</v>
      </c>
      <c r="T81" s="77" t="s">
        <v>9</v>
      </c>
      <c r="U81" s="73">
        <f>COUNTIF(T81,B81)+COUNTIF(T81,D81)+COUNTIF(T81,F81)+COUNTIF(T81,H81)+COUNTIF(T81,J81)+COUNTIF(T81,L81)+COUNTIF(T81,#REF!)</f>
        <v>0</v>
      </c>
      <c r="V81" s="62">
        <f>COUNTIF(S81,B81)+COUNTIF(S81,D81)+COUNTIF(S81,F81)+COUNTIF(S81,H81)+COUNTIF(S81,J81)+COUNTIF(S81,L81)+COUNTIF(S81,#REF!)</f>
        <v>0</v>
      </c>
      <c r="W81" s="62"/>
      <c r="X81" s="74" t="s">
        <v>38</v>
      </c>
      <c r="Y81" s="7"/>
      <c r="Z81" s="7"/>
      <c r="AA81" s="7"/>
      <c r="AB81" s="13"/>
      <c r="AC81" s="13"/>
      <c r="AD81" s="13"/>
    </row>
    <row r="82" ht="14.4">
      <c r="A82" s="271" t="s">
        <v>42</v>
      </c>
      <c r="B82" s="65" t="s">
        <v>32</v>
      </c>
      <c r="C82" s="65" t="s">
        <v>33</v>
      </c>
      <c r="D82" s="65" t="s">
        <v>32</v>
      </c>
      <c r="E82" s="65" t="s">
        <v>33</v>
      </c>
      <c r="F82" s="65"/>
      <c r="G82" s="65"/>
      <c r="H82" s="65"/>
      <c r="I82" s="65"/>
      <c r="J82" s="65"/>
      <c r="K82" s="65"/>
      <c r="L82" s="66"/>
      <c r="M82" s="66"/>
      <c r="O82" s="66"/>
      <c r="P82" s="218">
        <f t="shared" si="45"/>
        <v>16</v>
      </c>
      <c r="Q82" s="62">
        <f t="shared" si="43"/>
        <v>0</v>
      </c>
      <c r="R82" s="222" t="str">
        <f t="shared" si="46"/>
        <v>Юращик</v>
      </c>
      <c r="S82" s="76" t="s">
        <v>10</v>
      </c>
      <c r="T82" s="77" t="s">
        <v>9</v>
      </c>
      <c r="U82" s="240">
        <f t="shared" ref="U82:U83" si="48">COUNTIF(T82,B82)+COUNTIF(T82,D82)+COUNTIF(T82,F82)+COUNTIF(T82,H82)+COUNTIF(T82,J82)+COUNTIF(T82,L82)+COUNTIF(T82,N81)</f>
        <v>0</v>
      </c>
      <c r="V82" s="221">
        <f t="shared" ref="V82:V83" si="49">COUNTIF(S82,B82)+COUNTIF(S82,D82)+COUNTIF(S82,F82)+COUNTIF(S82,H82)+COUNTIF(S82,J82)+COUNTIF(S82,L82)+COUNTIF(S82,N81)</f>
        <v>0</v>
      </c>
      <c r="W82" s="62"/>
      <c r="X82" s="74" t="s">
        <v>38</v>
      </c>
      <c r="Y82" s="7"/>
      <c r="Z82" s="7"/>
      <c r="AA82" s="7"/>
      <c r="AB82" s="13"/>
      <c r="AC82" s="13"/>
      <c r="AD82" s="13"/>
    </row>
    <row r="83" ht="14.4">
      <c r="A83" s="64" t="s">
        <v>52</v>
      </c>
      <c r="B83" s="65" t="s">
        <v>54</v>
      </c>
      <c r="C83" s="198" t="s">
        <v>33</v>
      </c>
      <c r="D83" s="65" t="s">
        <v>54</v>
      </c>
      <c r="E83" s="260" t="s">
        <v>33</v>
      </c>
      <c r="F83" s="65"/>
      <c r="G83" s="65"/>
      <c r="H83" s="65"/>
      <c r="I83" s="65"/>
      <c r="J83" s="65"/>
      <c r="K83" s="65"/>
      <c r="L83" s="66"/>
      <c r="M83" s="66"/>
      <c r="N83" s="66"/>
      <c r="O83" s="66"/>
      <c r="P83" s="218">
        <f t="shared" si="45"/>
        <v>16</v>
      </c>
      <c r="Q83" s="62">
        <f t="shared" si="43"/>
        <v>0</v>
      </c>
      <c r="R83" s="70" t="s">
        <v>52</v>
      </c>
      <c r="S83" s="71" t="s">
        <v>8</v>
      </c>
      <c r="T83" s="262" t="s">
        <v>7</v>
      </c>
      <c r="U83" s="240">
        <f t="shared" si="48"/>
        <v>0</v>
      </c>
      <c r="V83" s="221">
        <f t="shared" si="49"/>
        <v>0</v>
      </c>
      <c r="W83" s="90"/>
      <c r="X83" s="74"/>
      <c r="Y83" s="7"/>
      <c r="Z83" s="7"/>
      <c r="AA83" s="7"/>
      <c r="AB83" s="13"/>
      <c r="AC83" s="13"/>
      <c r="AD83" s="13"/>
    </row>
    <row r="84" ht="14.4">
      <c r="A84" s="204" t="s">
        <v>43</v>
      </c>
      <c r="B84" s="72"/>
      <c r="C84" s="77"/>
      <c r="D84" s="67"/>
      <c r="E84" s="67"/>
      <c r="F84" s="67"/>
      <c r="G84" s="67"/>
      <c r="H84" s="71"/>
      <c r="I84" s="225"/>
      <c r="J84" s="71"/>
      <c r="K84" s="78"/>
      <c r="L84" s="82"/>
      <c r="M84" s="82"/>
      <c r="N84" s="66"/>
      <c r="O84" s="66"/>
      <c r="P84" s="218">
        <f t="shared" si="45"/>
        <v>0</v>
      </c>
      <c r="Q84" s="62">
        <f t="shared" si="43"/>
        <v>176</v>
      </c>
      <c r="R84" s="230" t="s">
        <v>43</v>
      </c>
      <c r="S84" s="268" t="s">
        <v>12</v>
      </c>
      <c r="T84" s="72" t="s">
        <v>11</v>
      </c>
      <c r="U84" s="244">
        <f t="shared" si="47"/>
        <v>0</v>
      </c>
      <c r="V84" s="229">
        <f t="shared" si="44"/>
        <v>0</v>
      </c>
      <c r="W84" s="62"/>
      <c r="X84" s="74" t="s">
        <v>44</v>
      </c>
      <c r="Y84" s="7"/>
      <c r="Z84" s="7"/>
      <c r="AA84" s="7"/>
      <c r="AB84" s="13"/>
      <c r="AC84" s="13"/>
      <c r="AD84" s="13"/>
    </row>
    <row r="85" ht="14.4">
      <c r="A85" s="204" t="s">
        <v>45</v>
      </c>
      <c r="B85" s="66"/>
      <c r="C85" s="66"/>
      <c r="D85" s="268"/>
      <c r="E85" s="78"/>
      <c r="F85" s="268"/>
      <c r="G85" s="78"/>
      <c r="H85" s="66"/>
      <c r="I85" s="66"/>
      <c r="J85" s="82"/>
      <c r="K85" s="82"/>
      <c r="L85" s="251"/>
      <c r="M85" s="83"/>
      <c r="N85" s="251"/>
      <c r="O85" s="83"/>
      <c r="P85" s="218">
        <f t="shared" si="45"/>
        <v>0</v>
      </c>
      <c r="Q85" s="62">
        <f t="shared" si="43"/>
        <v>176</v>
      </c>
      <c r="R85" s="219" t="str">
        <f t="shared" si="46"/>
        <v>Пузырь</v>
      </c>
      <c r="S85" s="76" t="s">
        <v>10</v>
      </c>
      <c r="T85" s="77" t="s">
        <v>9</v>
      </c>
      <c r="U85" s="73">
        <f t="shared" si="47"/>
        <v>0</v>
      </c>
      <c r="V85" s="62">
        <f t="shared" si="44"/>
        <v>0</v>
      </c>
      <c r="W85" s="62"/>
      <c r="X85" s="74" t="s">
        <v>34</v>
      </c>
      <c r="Y85" s="7"/>
      <c r="Z85" s="7"/>
      <c r="AA85" s="7"/>
      <c r="AB85" s="13"/>
      <c r="AC85" s="13"/>
      <c r="AD85" s="13"/>
    </row>
    <row r="86" ht="14.4">
      <c r="A86" s="205" t="s">
        <v>46</v>
      </c>
      <c r="B86" s="87"/>
      <c r="C86" s="87"/>
      <c r="D86" s="67"/>
      <c r="E86" s="67"/>
      <c r="F86" s="67"/>
      <c r="G86" s="67"/>
      <c r="H86" s="225"/>
      <c r="I86" s="225"/>
      <c r="J86" s="78"/>
      <c r="K86" s="78"/>
      <c r="L86" s="82"/>
      <c r="M86" s="82"/>
      <c r="N86" s="66"/>
      <c r="O86" s="66"/>
      <c r="P86" s="218">
        <f t="shared" si="45"/>
        <v>0</v>
      </c>
      <c r="Q86" s="62">
        <f t="shared" si="43"/>
        <v>176</v>
      </c>
      <c r="R86" s="219" t="str">
        <f t="shared" si="46"/>
        <v>Голышев</v>
      </c>
      <c r="S86" s="76" t="s">
        <v>10</v>
      </c>
      <c r="T86" s="77" t="s">
        <v>9</v>
      </c>
      <c r="U86" s="73">
        <f t="shared" si="47"/>
        <v>0</v>
      </c>
      <c r="V86" s="62">
        <f t="shared" si="44"/>
        <v>0</v>
      </c>
      <c r="W86" s="62"/>
      <c r="X86" s="74" t="s">
        <v>34</v>
      </c>
      <c r="Y86" s="7"/>
      <c r="Z86" s="7"/>
      <c r="AA86" s="7"/>
      <c r="AB86" s="13"/>
      <c r="AC86" s="13"/>
      <c r="AD86" s="13"/>
    </row>
    <row r="87" ht="14.4">
      <c r="A87" s="205" t="s">
        <v>47</v>
      </c>
      <c r="B87" s="77"/>
      <c r="C87" s="251"/>
      <c r="D87" s="77"/>
      <c r="E87" s="77"/>
      <c r="F87" s="283"/>
      <c r="G87" s="275"/>
      <c r="H87" s="67"/>
      <c r="I87" s="67"/>
      <c r="J87" s="66"/>
      <c r="K87" s="66"/>
      <c r="L87" s="268"/>
      <c r="M87" s="76"/>
      <c r="N87" s="268"/>
      <c r="O87" s="78"/>
      <c r="P87" s="218">
        <f t="shared" si="45"/>
        <v>0</v>
      </c>
      <c r="Q87" s="62">
        <f t="shared" si="43"/>
        <v>176</v>
      </c>
      <c r="R87" s="219" t="str">
        <f t="shared" si="46"/>
        <v>Торубара</v>
      </c>
      <c r="S87" s="76" t="s">
        <v>10</v>
      </c>
      <c r="T87" s="77" t="s">
        <v>9</v>
      </c>
      <c r="U87" s="73">
        <f t="shared" si="47"/>
        <v>0</v>
      </c>
      <c r="V87" s="62">
        <f t="shared" si="44"/>
        <v>0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4">
      <c r="A88" s="205" t="s">
        <v>48</v>
      </c>
      <c r="B88" s="66"/>
      <c r="C88" s="66"/>
      <c r="D88" s="262"/>
      <c r="E88" s="83"/>
      <c r="F88" s="72"/>
      <c r="G88" s="83"/>
      <c r="H88" s="67"/>
      <c r="I88" s="66"/>
      <c r="J88" s="82"/>
      <c r="K88" s="82"/>
      <c r="L88" s="78"/>
      <c r="M88" s="78"/>
      <c r="N88" s="78"/>
      <c r="O88" s="78"/>
      <c r="P88" s="218">
        <f t="shared" si="45"/>
        <v>0</v>
      </c>
      <c r="Q88" s="62">
        <f t="shared" si="43"/>
        <v>176</v>
      </c>
      <c r="R88" s="219" t="str">
        <f t="shared" si="46"/>
        <v>Стрыгин</v>
      </c>
      <c r="S88" s="71" t="s">
        <v>8</v>
      </c>
      <c r="T88" s="72" t="s">
        <v>7</v>
      </c>
      <c r="U88" s="73">
        <f t="shared" si="47"/>
        <v>0</v>
      </c>
      <c r="V88" s="62">
        <f t="shared" si="44"/>
        <v>0</v>
      </c>
      <c r="W88" s="62"/>
      <c r="X88" s="74" t="s">
        <v>49</v>
      </c>
      <c r="Y88" s="7"/>
      <c r="Z88" s="7"/>
      <c r="AA88" s="7"/>
      <c r="AB88" s="13"/>
      <c r="AC88" s="13"/>
      <c r="AD88" s="13"/>
    </row>
    <row r="89" ht="14.4">
      <c r="A89" s="205" t="s">
        <v>50</v>
      </c>
      <c r="B89" s="149"/>
      <c r="C89" s="78"/>
      <c r="D89" s="66"/>
      <c r="E89" s="66"/>
      <c r="F89" s="82"/>
      <c r="G89" s="82"/>
      <c r="H89" s="262"/>
      <c r="I89" s="83"/>
      <c r="J89" s="262"/>
      <c r="K89" s="83"/>
      <c r="L89" s="82"/>
      <c r="M89" s="82"/>
      <c r="N89" s="82"/>
      <c r="O89" s="82"/>
      <c r="P89" s="218">
        <f t="shared" si="45"/>
        <v>0</v>
      </c>
      <c r="Q89" s="62">
        <f t="shared" si="43"/>
        <v>176</v>
      </c>
      <c r="R89" s="219" t="str">
        <f t="shared" si="46"/>
        <v>Фрик</v>
      </c>
      <c r="S89" s="71" t="s">
        <v>12</v>
      </c>
      <c r="T89" s="72" t="s">
        <v>11</v>
      </c>
      <c r="U89" s="73">
        <f t="shared" si="47"/>
        <v>0</v>
      </c>
      <c r="V89" s="62">
        <f t="shared" si="44"/>
        <v>0</v>
      </c>
      <c r="W89" s="62"/>
      <c r="X89" s="74" t="s">
        <v>44</v>
      </c>
      <c r="Y89" s="7"/>
      <c r="Z89" s="7"/>
      <c r="AA89" s="7"/>
      <c r="AB89" s="13"/>
      <c r="AC89" s="13"/>
      <c r="AD89" s="13"/>
    </row>
    <row r="90" ht="14.4">
      <c r="A90" s="206" t="s">
        <v>51</v>
      </c>
      <c r="B90" s="66"/>
      <c r="C90" s="66"/>
      <c r="D90" s="87"/>
      <c r="E90" s="87"/>
      <c r="F90" s="268"/>
      <c r="G90" s="76"/>
      <c r="H90" s="67"/>
      <c r="I90" s="67"/>
      <c r="J90" s="66"/>
      <c r="K90" s="66"/>
      <c r="L90" s="251"/>
      <c r="M90" s="156"/>
      <c r="N90" s="251"/>
      <c r="O90" s="156"/>
      <c r="P90" s="218">
        <f t="shared" si="45"/>
        <v>0</v>
      </c>
      <c r="Q90" s="62">
        <f t="shared" si="43"/>
        <v>176</v>
      </c>
      <c r="R90" s="219" t="str">
        <f t="shared" si="46"/>
        <v>Истрашкин</v>
      </c>
      <c r="S90" s="71" t="s">
        <v>10</v>
      </c>
      <c r="T90" s="72" t="s">
        <v>9</v>
      </c>
      <c r="U90" s="73">
        <f t="shared" si="47"/>
        <v>0</v>
      </c>
      <c r="V90" s="62">
        <f t="shared" si="44"/>
        <v>0</v>
      </c>
      <c r="W90" s="62"/>
      <c r="X90" s="74" t="s">
        <v>34</v>
      </c>
      <c r="Y90" s="7"/>
      <c r="Z90" s="7"/>
      <c r="AA90" s="7"/>
      <c r="AB90" s="13"/>
      <c r="AC90" s="13"/>
      <c r="AD90" s="13"/>
    </row>
    <row r="91" ht="14.4">
      <c r="A91" s="284"/>
      <c r="B91" s="210">
        <v>46293</v>
      </c>
      <c r="C91" s="211"/>
      <c r="D91" s="210">
        <v>46294</v>
      </c>
      <c r="E91" s="211"/>
      <c r="F91" s="210">
        <v>46295</v>
      </c>
      <c r="G91" s="211"/>
      <c r="H91" s="210">
        <v>46296</v>
      </c>
      <c r="I91" s="211"/>
      <c r="J91" s="210">
        <v>46297</v>
      </c>
      <c r="K91" s="211"/>
      <c r="L91" s="210">
        <v>46298</v>
      </c>
      <c r="M91" s="211"/>
      <c r="N91" s="210">
        <v>46299</v>
      </c>
      <c r="O91" s="212"/>
      <c r="P91" s="285"/>
      <c r="Q91" s="254"/>
      <c r="R91" s="207"/>
      <c r="S91" s="138"/>
      <c r="T91" s="138"/>
      <c r="U91" s="60" t="s">
        <v>27</v>
      </c>
      <c r="V91" s="61" t="s">
        <v>28</v>
      </c>
      <c r="W91" s="62" t="s">
        <v>29</v>
      </c>
      <c r="X91" s="7"/>
      <c r="Y91" s="7"/>
      <c r="Z91" s="7"/>
      <c r="AA91" s="7"/>
      <c r="AB91" s="13"/>
      <c r="AC91" s="13"/>
      <c r="AD91" s="13"/>
    </row>
    <row r="92" ht="14.4">
      <c r="A92" s="139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39"/>
      <c r="Q92" s="127"/>
      <c r="R92" s="139"/>
      <c r="S92" s="139"/>
      <c r="T92" s="139"/>
      <c r="U92" s="127"/>
      <c r="V92" s="127"/>
      <c r="W92" s="128"/>
      <c r="X92" s="7"/>
      <c r="Y92" s="7"/>
      <c r="Z92" s="7"/>
      <c r="AA92" s="7"/>
      <c r="AB92" s="13"/>
      <c r="AC92" s="13"/>
      <c r="AD92" s="13"/>
    </row>
    <row r="93" ht="14.4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153"/>
      <c r="R93" s="7"/>
      <c r="S93" s="7"/>
      <c r="T93" s="7"/>
      <c r="U93" s="153"/>
      <c r="V93" s="153"/>
      <c r="W93" s="12"/>
      <c r="X93" s="7"/>
      <c r="Y93" s="7"/>
      <c r="Z93" s="7"/>
      <c r="AA93" s="7"/>
      <c r="AB93" s="13"/>
      <c r="AC93" s="13"/>
      <c r="AD93" s="13"/>
    </row>
    <row r="94" ht="14.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153"/>
      <c r="R94" s="7"/>
      <c r="S94" s="7"/>
      <c r="T94" s="7"/>
      <c r="U94" s="153"/>
      <c r="V94" s="153"/>
      <c r="W94" s="12"/>
      <c r="X94" s="7"/>
      <c r="Y94" s="7"/>
      <c r="Z94" s="7"/>
      <c r="AA94" s="7"/>
      <c r="AB94" s="13"/>
      <c r="AC94" s="13"/>
      <c r="AD94" s="13"/>
    </row>
    <row r="95" ht="14.4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153"/>
      <c r="R95" s="7"/>
      <c r="S95" s="7"/>
      <c r="T95" s="7"/>
      <c r="U95" s="153"/>
      <c r="V95" s="153"/>
      <c r="W95" s="12"/>
      <c r="X95" s="7"/>
      <c r="Y95" s="7"/>
      <c r="Z95" s="7"/>
      <c r="AA95" s="7"/>
      <c r="AB95" s="13"/>
      <c r="AC95" s="13"/>
      <c r="AD95" s="13"/>
    </row>
    <row r="96" ht="14.4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153"/>
      <c r="R96" s="7"/>
      <c r="S96" s="7"/>
      <c r="T96" s="7"/>
      <c r="U96" s="153"/>
      <c r="V96" s="153"/>
      <c r="W96" s="12"/>
      <c r="X96" s="7"/>
      <c r="Y96" s="7"/>
      <c r="Z96" s="7"/>
      <c r="AA96" s="7"/>
      <c r="AB96" s="13"/>
      <c r="AC96" s="13"/>
      <c r="AD96" s="13"/>
    </row>
    <row r="97" ht="14.4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153"/>
      <c r="R97" s="7"/>
      <c r="S97" s="7"/>
      <c r="T97" s="7"/>
      <c r="U97" s="153"/>
      <c r="V97" s="153"/>
      <c r="W97" s="12"/>
      <c r="X97" s="7"/>
      <c r="Y97" s="7"/>
      <c r="Z97" s="7"/>
      <c r="AA97" s="7"/>
      <c r="AB97" s="13"/>
      <c r="AC97" s="13"/>
      <c r="AD97" s="13"/>
    </row>
    <row r="98" ht="14.4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53"/>
      <c r="R98" s="7"/>
      <c r="S98" s="7"/>
      <c r="T98" s="7"/>
      <c r="U98" s="153"/>
      <c r="V98" s="153"/>
      <c r="W98" s="12"/>
      <c r="X98" s="7"/>
      <c r="Y98" s="7"/>
      <c r="Z98" s="7"/>
      <c r="AA98" s="7"/>
      <c r="AB98" s="13"/>
      <c r="AC98" s="13"/>
      <c r="AD98" s="13"/>
    </row>
    <row r="99" ht="14.4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153"/>
      <c r="R99" s="7"/>
      <c r="S99" s="7"/>
      <c r="T99" s="7"/>
      <c r="U99" s="153"/>
      <c r="V99" s="153"/>
      <c r="W99" s="12"/>
      <c r="X99" s="7"/>
      <c r="Y99" s="7"/>
      <c r="Z99" s="7"/>
      <c r="AA99" s="7"/>
      <c r="AB99" s="13"/>
      <c r="AC99" s="13"/>
      <c r="AD99" s="13"/>
    </row>
    <row r="100" ht="14.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 ht="14.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 ht="14.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 ht="14.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 ht="14.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7"/>
      <c r="Q647" s="153"/>
      <c r="R647" s="7"/>
      <c r="S647" s="7"/>
      <c r="T647" s="7"/>
      <c r="U647" s="153"/>
      <c r="V647" s="153"/>
      <c r="W647" s="12"/>
      <c r="X647" s="21"/>
      <c r="Y647" s="7"/>
      <c r="Z647" s="7"/>
      <c r="AA647" s="7"/>
      <c r="AB647" s="13"/>
      <c r="AC647" s="13"/>
      <c r="AD647" s="13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</sheetData>
  <mergeCells count="14">
    <mergeCell ref="U9:V9"/>
    <mergeCell ref="P59:Q59"/>
    <mergeCell ref="P76:Q76"/>
    <mergeCell ref="L1:N5"/>
    <mergeCell ref="F7:J7"/>
    <mergeCell ref="P10:Q10"/>
    <mergeCell ref="A25:Q25"/>
    <mergeCell ref="P26:Q26"/>
    <mergeCell ref="A41:Q41"/>
    <mergeCell ref="P42:Q42"/>
    <mergeCell ref="F1:J1"/>
    <mergeCell ref="F2:K5"/>
    <mergeCell ref="N6:P7"/>
    <mergeCell ref="A9:Q9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84" activeCellId="0" sqref="B84:M84"/>
    </sheetView>
  </sheetViews>
  <sheetFormatPr defaultRowHeight="13.5"/>
  <cols>
    <col customWidth="1" min="1" max="1" width="14.33203125"/>
    <col customWidth="1" min="2" max="2" width="11.109375"/>
    <col customWidth="1" min="3" max="3" width="5.88671875"/>
    <col customWidth="1" min="4" max="4" width="12"/>
    <col customWidth="1" min="5" max="5" width="5.88671875"/>
    <col customWidth="1" min="6" max="6" width="11.44140625"/>
    <col customWidth="1" min="7" max="7" width="5.88671875"/>
    <col customWidth="1" min="8" max="8" width="11.6640625"/>
    <col customWidth="1" min="9" max="9" width="5.88671875"/>
    <col customWidth="1" min="10" max="10" width="13.88671875"/>
    <col customWidth="1" min="11" max="11" width="5.88671875"/>
    <col customWidth="1" min="12" max="12" width="12.44140625"/>
    <col customWidth="1" min="13" max="13" width="5.88671875"/>
    <col customWidth="1" min="14" max="14" width="12.6640625"/>
    <col customWidth="1" min="15" max="16" width="5.88671875"/>
    <col customWidth="1" min="17" max="17" width="7.109375"/>
    <col customWidth="1" min="18" max="18" width="12.8867187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s="21" customFormat="1" ht="14.25">
      <c r="A10" s="52"/>
      <c r="B10" s="56" t="s">
        <v>17</v>
      </c>
      <c r="C10" s="116"/>
      <c r="D10" s="56" t="s">
        <v>18</v>
      </c>
      <c r="E10" s="116"/>
      <c r="F10" s="56" t="s">
        <v>19</v>
      </c>
      <c r="G10" s="56"/>
      <c r="H10" s="56" t="s">
        <v>20</v>
      </c>
      <c r="I10" s="116"/>
      <c r="J10" s="129" t="s">
        <v>21</v>
      </c>
      <c r="K10" s="129"/>
      <c r="L10" s="56" t="s">
        <v>22</v>
      </c>
      <c r="M10" s="56"/>
      <c r="N10" s="56" t="s">
        <v>23</v>
      </c>
      <c r="O10" s="56"/>
      <c r="P10" s="56" t="s">
        <v>24</v>
      </c>
      <c r="Q10" s="56"/>
      <c r="R10" s="117">
        <v>168</v>
      </c>
      <c r="S10" s="143"/>
      <c r="T10" s="143"/>
      <c r="U10" s="286">
        <v>168</v>
      </c>
      <c r="V10" s="90"/>
      <c r="W10" s="62"/>
      <c r="X10" s="51"/>
      <c r="Y10" s="7"/>
      <c r="Z10" s="7"/>
      <c r="AA10" s="7"/>
      <c r="AB10" s="13"/>
      <c r="AC10" s="13"/>
      <c r="AD10" s="13"/>
    </row>
    <row r="11" s="21" customFormat="1" ht="14.25">
      <c r="A11" s="52"/>
      <c r="B11" s="53">
        <v>46230</v>
      </c>
      <c r="C11" s="53"/>
      <c r="D11" s="53">
        <v>46231</v>
      </c>
      <c r="E11" s="53"/>
      <c r="F11" s="53">
        <v>46232</v>
      </c>
      <c r="G11" s="53"/>
      <c r="H11" s="53">
        <v>46233</v>
      </c>
      <c r="I11" s="53"/>
      <c r="J11" s="53">
        <v>46234</v>
      </c>
      <c r="K11" s="53"/>
      <c r="L11" s="53">
        <v>46235</v>
      </c>
      <c r="M11" s="53"/>
      <c r="N11" s="53">
        <v>46236</v>
      </c>
      <c r="O11" s="53"/>
      <c r="P11" s="55" t="s">
        <v>25</v>
      </c>
      <c r="Q11" s="56" t="s">
        <v>26</v>
      </c>
      <c r="R11" s="287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64" t="s">
        <v>35</v>
      </c>
      <c r="B12" s="65" t="s">
        <v>32</v>
      </c>
      <c r="C12" s="65" t="s">
        <v>33</v>
      </c>
      <c r="D12" s="65" t="s">
        <v>32</v>
      </c>
      <c r="E12" s="65" t="s">
        <v>33</v>
      </c>
      <c r="F12" s="65" t="s">
        <v>32</v>
      </c>
      <c r="G12" s="65" t="s">
        <v>33</v>
      </c>
      <c r="H12" s="65" t="s">
        <v>32</v>
      </c>
      <c r="I12" s="65" t="s">
        <v>33</v>
      </c>
      <c r="J12" s="65" t="s">
        <v>32</v>
      </c>
      <c r="K12" s="65" t="s">
        <v>33</v>
      </c>
      <c r="L12" s="66"/>
      <c r="M12" s="66"/>
      <c r="N12" s="66"/>
      <c r="O12" s="66"/>
      <c r="P12" s="68">
        <f t="shared" ref="P12:P75" si="50">C12+E12+G12+I12+K12+M12+O12</f>
        <v>40</v>
      </c>
      <c r="Q12" s="69">
        <f>R10-P12</f>
        <v>128</v>
      </c>
      <c r="R12" s="288" t="str">
        <f t="shared" ref="R12:R75" si="51">A12</f>
        <v>Рычков</v>
      </c>
      <c r="S12" s="76" t="s">
        <v>10</v>
      </c>
      <c r="T12" s="77" t="s">
        <v>9</v>
      </c>
      <c r="U12" s="73">
        <f t="shared" ref="U12:U70" si="52">COUNTIF(T12,B12)+COUNTIF(T12,D12)+COUNTIF(T12,F12)+COUNTIF(T12,H12)+COUNTIF(T12,J12)+COUNTIF(T12,L12)+COUNTIF(T12,N12)</f>
        <v>0</v>
      </c>
      <c r="V12" s="62">
        <f t="shared" ref="V12:V61" si="53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s="21" customFormat="1" ht="14.25">
      <c r="A13" s="64" t="s">
        <v>39</v>
      </c>
      <c r="B13" s="65" t="s">
        <v>32</v>
      </c>
      <c r="C13" s="65" t="s">
        <v>33</v>
      </c>
      <c r="D13" s="65" t="s">
        <v>32</v>
      </c>
      <c r="E13" s="65" t="s">
        <v>33</v>
      </c>
      <c r="F13" s="65" t="s">
        <v>32</v>
      </c>
      <c r="G13" s="65" t="s">
        <v>33</v>
      </c>
      <c r="H13" s="65" t="s">
        <v>32</v>
      </c>
      <c r="I13" s="65" t="s">
        <v>33</v>
      </c>
      <c r="J13" s="65" t="s">
        <v>32</v>
      </c>
      <c r="K13" s="65" t="s">
        <v>33</v>
      </c>
      <c r="L13" s="120"/>
      <c r="M13" s="120"/>
      <c r="N13" s="120"/>
      <c r="O13" s="120"/>
      <c r="P13" s="68">
        <f t="shared" si="50"/>
        <v>40</v>
      </c>
      <c r="Q13" s="69">
        <f>R10-P13</f>
        <v>128</v>
      </c>
      <c r="R13" s="288" t="str">
        <f t="shared" si="51"/>
        <v>Игумнов</v>
      </c>
      <c r="S13" s="76" t="s">
        <v>10</v>
      </c>
      <c r="T13" s="77" t="s">
        <v>9</v>
      </c>
      <c r="U13" s="73">
        <f t="shared" si="52"/>
        <v>0</v>
      </c>
      <c r="V13" s="62">
        <f t="shared" si="53"/>
        <v>0</v>
      </c>
      <c r="W13" s="62"/>
      <c r="X13" s="79" t="s">
        <v>34</v>
      </c>
      <c r="Y13" s="7"/>
      <c r="Z13" s="7"/>
      <c r="AA13" s="7"/>
      <c r="AB13" s="13"/>
      <c r="AC13" s="13"/>
      <c r="AD13" s="13"/>
    </row>
    <row r="14" s="21" customFormat="1" ht="14.25">
      <c r="A14" s="64" t="s">
        <v>40</v>
      </c>
      <c r="B14" s="65" t="s">
        <v>32</v>
      </c>
      <c r="C14" s="65" t="s">
        <v>33</v>
      </c>
      <c r="D14" s="65" t="s">
        <v>32</v>
      </c>
      <c r="E14" s="65" t="s">
        <v>33</v>
      </c>
      <c r="F14" s="65" t="s">
        <v>32</v>
      </c>
      <c r="G14" s="65" t="s">
        <v>33</v>
      </c>
      <c r="H14" s="65" t="s">
        <v>32</v>
      </c>
      <c r="I14" s="65" t="s">
        <v>33</v>
      </c>
      <c r="J14" s="65" t="s">
        <v>32</v>
      </c>
      <c r="K14" s="65" t="s">
        <v>33</v>
      </c>
      <c r="L14" s="201"/>
      <c r="M14" s="283"/>
      <c r="N14" s="201"/>
      <c r="O14" s="283"/>
      <c r="P14" s="68">
        <f t="shared" si="50"/>
        <v>40</v>
      </c>
      <c r="Q14" s="69">
        <f>R10-P14</f>
        <v>128</v>
      </c>
      <c r="R14" s="288" t="str">
        <f t="shared" si="51"/>
        <v>Душин</v>
      </c>
      <c r="S14" s="76" t="s">
        <v>10</v>
      </c>
      <c r="T14" s="77" t="s">
        <v>9</v>
      </c>
      <c r="U14" s="73">
        <f>COUNTIF(T13,B13)+COUNTIF(T13,D13)+COUNTIF(T13,F13)+COUNTIF(T13,H13)+COUNTIF(T13,J13)+COUNTIF(T13,L13)+COUNTIF(T13,N13)</f>
        <v>0</v>
      </c>
      <c r="V14" s="62">
        <f t="shared" si="53"/>
        <v>0</v>
      </c>
      <c r="W14" s="62"/>
      <c r="X14" s="74" t="s">
        <v>38</v>
      </c>
      <c r="Y14" s="7"/>
      <c r="Z14" s="7"/>
      <c r="AA14" s="7"/>
      <c r="AB14" s="13"/>
      <c r="AC14" s="13"/>
      <c r="AD14" s="13"/>
    </row>
    <row r="15" s="21" customFormat="1" ht="14.25">
      <c r="A15" s="64" t="s">
        <v>31</v>
      </c>
      <c r="B15" s="65" t="s">
        <v>32</v>
      </c>
      <c r="C15" s="65" t="s">
        <v>33</v>
      </c>
      <c r="D15" s="65" t="s">
        <v>32</v>
      </c>
      <c r="E15" s="65" t="s">
        <v>33</v>
      </c>
      <c r="F15" s="65" t="s">
        <v>32</v>
      </c>
      <c r="G15" s="65" t="s">
        <v>33</v>
      </c>
      <c r="H15" s="65" t="s">
        <v>32</v>
      </c>
      <c r="I15" s="65" t="s">
        <v>33</v>
      </c>
      <c r="J15" s="65" t="s">
        <v>32</v>
      </c>
      <c r="K15" s="65" t="s">
        <v>33</v>
      </c>
      <c r="L15" s="66"/>
      <c r="M15" s="66"/>
      <c r="N15" s="66"/>
      <c r="O15" s="66"/>
      <c r="P15" s="289">
        <f t="shared" si="50"/>
        <v>40</v>
      </c>
      <c r="Q15" s="69">
        <f>R10-P15</f>
        <v>128</v>
      </c>
      <c r="R15" s="290" t="s">
        <v>31</v>
      </c>
      <c r="S15" s="173" t="s">
        <v>58</v>
      </c>
      <c r="T15" s="77" t="s">
        <v>59</v>
      </c>
      <c r="U15" s="227">
        <f>COUNTIF(T15,B15)+COUNTIF(T15,D15)+COUNTIF(T15,F15)+COUNTIF(T15,H15)+COUNTIF(T15,J15)+COUNTIF(T15,L15)+COUNTIF(T15,N15)</f>
        <v>0</v>
      </c>
      <c r="V15" s="62">
        <f t="shared" si="53"/>
        <v>0</v>
      </c>
      <c r="W15" s="227"/>
      <c r="X15" s="74" t="s">
        <v>38</v>
      </c>
      <c r="Y15" s="7"/>
      <c r="Z15" s="7"/>
      <c r="AA15" s="7"/>
      <c r="AB15" s="13"/>
      <c r="AC15" s="13"/>
      <c r="AD15" s="13"/>
    </row>
    <row r="16" s="21" customFormat="1" ht="14.25">
      <c r="A16" s="64" t="s">
        <v>42</v>
      </c>
      <c r="B16" s="65" t="s">
        <v>32</v>
      </c>
      <c r="C16" s="65" t="s">
        <v>33</v>
      </c>
      <c r="D16" s="65" t="s">
        <v>32</v>
      </c>
      <c r="E16" s="65" t="s">
        <v>33</v>
      </c>
      <c r="F16" s="65" t="s">
        <v>32</v>
      </c>
      <c r="G16" s="65" t="s">
        <v>33</v>
      </c>
      <c r="H16" s="65" t="s">
        <v>32</v>
      </c>
      <c r="I16" s="65" t="s">
        <v>33</v>
      </c>
      <c r="J16" s="65" t="s">
        <v>32</v>
      </c>
      <c r="K16" s="65" t="s">
        <v>33</v>
      </c>
      <c r="L16" s="66"/>
      <c r="M16" s="66"/>
      <c r="N16" s="66"/>
      <c r="O16" s="66"/>
      <c r="P16" s="68">
        <f t="shared" si="50"/>
        <v>40</v>
      </c>
      <c r="Q16" s="69">
        <f>R10-P16</f>
        <v>128</v>
      </c>
      <c r="R16" s="288" t="str">
        <f t="shared" si="51"/>
        <v>Юращик</v>
      </c>
      <c r="S16" s="76" t="s">
        <v>10</v>
      </c>
      <c r="T16" s="77" t="s">
        <v>9</v>
      </c>
      <c r="U16" s="73">
        <f>COUNTIF(T14,B14)+COUNTIF(T14,D14)+COUNTIF(T14,F14)+COUNTIF(T14,H14)+COUNTIF(T14,J14)+COUNTIF(T14,L14)+COUNTIF(T14,N14)</f>
        <v>0</v>
      </c>
      <c r="V16" s="62">
        <f t="shared" si="53"/>
        <v>0</v>
      </c>
      <c r="W16" s="62"/>
      <c r="X16" s="74" t="s">
        <v>38</v>
      </c>
      <c r="Y16" s="7"/>
      <c r="Z16" s="7"/>
      <c r="AA16" s="7"/>
      <c r="AB16" s="13"/>
      <c r="AC16" s="13"/>
      <c r="AD16" s="13"/>
    </row>
    <row r="17" s="21" customFormat="1" ht="14.25">
      <c r="A17" s="81" t="s">
        <v>43</v>
      </c>
      <c r="B17" s="66"/>
      <c r="C17" s="66"/>
      <c r="D17" s="251"/>
      <c r="E17" s="83"/>
      <c r="F17" s="87"/>
      <c r="G17" s="87"/>
      <c r="H17" s="262"/>
      <c r="I17" s="83"/>
      <c r="J17" s="87"/>
      <c r="K17" s="87"/>
      <c r="L17" s="87"/>
      <c r="M17" s="87"/>
      <c r="N17" s="87"/>
      <c r="O17" s="87"/>
      <c r="P17" s="68">
        <f t="shared" si="50"/>
        <v>0</v>
      </c>
      <c r="Q17" s="69">
        <f>R10-P17</f>
        <v>168</v>
      </c>
      <c r="R17" s="288" t="s">
        <v>43</v>
      </c>
      <c r="S17" s="149" t="s">
        <v>12</v>
      </c>
      <c r="T17" s="262" t="s">
        <v>11</v>
      </c>
      <c r="U17" s="73">
        <f>COUNTIF(T17,B17)+COUNTIF(T17,D17)+COUNTIF(T17,F17)+COUNTIF(T17,H17)+COUNTIF(T17,J17)+COUNTIF(T17,L17)+COUNTIF(T17,N17)</f>
        <v>0</v>
      </c>
      <c r="V17" s="227">
        <f t="shared" si="53"/>
        <v>0</v>
      </c>
      <c r="W17" s="62"/>
      <c r="X17" s="74" t="s">
        <v>44</v>
      </c>
      <c r="Y17" s="7"/>
      <c r="Z17" s="7"/>
      <c r="AA17" s="7"/>
      <c r="AB17" s="13"/>
      <c r="AC17" s="13"/>
      <c r="AD17" s="13"/>
    </row>
    <row r="18" s="21" customFormat="1" ht="14.25">
      <c r="A18" s="81" t="s">
        <v>45</v>
      </c>
      <c r="B18" s="66"/>
      <c r="C18" s="66"/>
      <c r="D18" s="77"/>
      <c r="E18" s="83"/>
      <c r="F18" s="77"/>
      <c r="G18" s="83"/>
      <c r="H18" s="87"/>
      <c r="I18" s="87"/>
      <c r="J18" s="87"/>
      <c r="K18" s="87"/>
      <c r="L18" s="87"/>
      <c r="M18" s="87"/>
      <c r="N18" s="87"/>
      <c r="O18" s="87"/>
      <c r="P18" s="68">
        <f t="shared" si="50"/>
        <v>0</v>
      </c>
      <c r="Q18" s="69">
        <f>R10-P18</f>
        <v>168</v>
      </c>
      <c r="R18" s="288" t="str">
        <f t="shared" si="51"/>
        <v>Пузырь</v>
      </c>
      <c r="S18" s="76" t="s">
        <v>10</v>
      </c>
      <c r="T18" s="77" t="s">
        <v>9</v>
      </c>
      <c r="U18" s="73">
        <f t="shared" si="52"/>
        <v>0</v>
      </c>
      <c r="V18" s="62">
        <f t="shared" si="53"/>
        <v>0</v>
      </c>
      <c r="W18" s="62"/>
      <c r="X18" s="74" t="s">
        <v>34</v>
      </c>
      <c r="Y18" s="7"/>
      <c r="Z18" s="7"/>
      <c r="AA18" s="7"/>
      <c r="AB18" s="13"/>
      <c r="AC18" s="13"/>
      <c r="AD18" s="13"/>
    </row>
    <row r="19" s="21" customFormat="1" ht="14.25">
      <c r="A19" s="81" t="s">
        <v>46</v>
      </c>
      <c r="B19" s="123"/>
      <c r="C19" s="123"/>
      <c r="D19" s="123"/>
      <c r="E19" s="123"/>
      <c r="F19" s="123"/>
      <c r="G19" s="123"/>
      <c r="H19" s="87"/>
      <c r="I19" s="87"/>
      <c r="J19" s="87"/>
      <c r="K19" s="87"/>
      <c r="L19" s="87"/>
      <c r="M19" s="87"/>
      <c r="N19" s="87"/>
      <c r="O19" s="87"/>
      <c r="P19" s="68">
        <f t="shared" si="50"/>
        <v>0</v>
      </c>
      <c r="Q19" s="69">
        <f>R10-P19</f>
        <v>168</v>
      </c>
      <c r="R19" s="288" t="str">
        <f t="shared" si="51"/>
        <v>Голышев</v>
      </c>
      <c r="S19" s="76" t="s">
        <v>10</v>
      </c>
      <c r="T19" s="77" t="s">
        <v>9</v>
      </c>
      <c r="U19" s="73">
        <f t="shared" si="52"/>
        <v>0</v>
      </c>
      <c r="V19" s="62">
        <f t="shared" si="53"/>
        <v>0</v>
      </c>
      <c r="W19" s="62"/>
      <c r="X19" s="74" t="s">
        <v>34</v>
      </c>
      <c r="Y19" s="7"/>
      <c r="Z19" s="7"/>
      <c r="AA19" s="7"/>
      <c r="AB19" s="13"/>
      <c r="AC19" s="13"/>
      <c r="AD19" s="13"/>
    </row>
    <row r="20" s="21" customFormat="1" ht="14.25">
      <c r="A20" s="81" t="s">
        <v>47</v>
      </c>
      <c r="B20" s="123"/>
      <c r="C20" s="123"/>
      <c r="D20" s="123"/>
      <c r="E20" s="123"/>
      <c r="F20" s="132"/>
      <c r="G20" s="132"/>
      <c r="H20" s="123"/>
      <c r="I20" s="123"/>
      <c r="J20" s="87"/>
      <c r="K20" s="87"/>
      <c r="L20" s="87"/>
      <c r="M20" s="87"/>
      <c r="N20" s="87"/>
      <c r="O20" s="87"/>
      <c r="P20" s="68">
        <f t="shared" si="50"/>
        <v>0</v>
      </c>
      <c r="Q20" s="69">
        <f>R10-P20</f>
        <v>168</v>
      </c>
      <c r="R20" s="288" t="str">
        <f t="shared" si="51"/>
        <v>Торубара</v>
      </c>
      <c r="S20" s="76" t="s">
        <v>10</v>
      </c>
      <c r="T20" s="77" t="s">
        <v>9</v>
      </c>
      <c r="U20" s="73">
        <f t="shared" si="52"/>
        <v>0</v>
      </c>
      <c r="V20" s="62">
        <f t="shared" si="53"/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s="21" customFormat="1" ht="14.25">
      <c r="A21" s="81" t="s">
        <v>48</v>
      </c>
      <c r="B21" s="71"/>
      <c r="C21" s="78"/>
      <c r="D21" s="268"/>
      <c r="E21" s="78"/>
      <c r="F21" s="66"/>
      <c r="G21" s="66"/>
      <c r="H21" s="87"/>
      <c r="I21" s="66"/>
      <c r="J21" s="87"/>
      <c r="K21" s="87"/>
      <c r="L21" s="87"/>
      <c r="M21" s="87"/>
      <c r="N21" s="87"/>
      <c r="O21" s="87"/>
      <c r="P21" s="68">
        <f t="shared" si="50"/>
        <v>0</v>
      </c>
      <c r="Q21" s="69">
        <f>R10-P21</f>
        <v>168</v>
      </c>
      <c r="R21" s="288" t="str">
        <f t="shared" si="51"/>
        <v>Стрыгин</v>
      </c>
      <c r="S21" s="71" t="s">
        <v>8</v>
      </c>
      <c r="T21" s="72" t="s">
        <v>7</v>
      </c>
      <c r="U21" s="73">
        <f>COUNTIF(T21,B21)+COUNTIF(T21,D21)+COUNTIF(T21,F21)+COUNTIF(T21,#REF!)+COUNTIF(T21,J21)+COUNTIF(T21,L21)+COUNTIF(T21,N21)</f>
        <v>0</v>
      </c>
      <c r="V21" s="62">
        <f>COUNTIF(S21,B21)+COUNTIF(S21,D21)+COUNTIF(S21,F21)+COUNTIF(S21,#REF!)+COUNTIF(S21,J21)+COUNTIF(S21,L21)+COUNTIF(S21,N21)</f>
        <v>0</v>
      </c>
      <c r="W21" s="62"/>
      <c r="X21" s="74" t="s">
        <v>49</v>
      </c>
      <c r="Y21" s="7"/>
      <c r="Z21" s="7"/>
      <c r="AA21" s="7"/>
      <c r="AB21" s="13"/>
      <c r="AC21" s="13"/>
      <c r="AD21" s="13"/>
    </row>
    <row r="22" s="21" customFormat="1" ht="14.25">
      <c r="A22" s="81" t="s">
        <v>50</v>
      </c>
      <c r="B22" s="66"/>
      <c r="C22" s="66"/>
      <c r="D22" s="72"/>
      <c r="E22" s="112"/>
      <c r="F22" s="291"/>
      <c r="G22" s="291"/>
      <c r="I22" s="87"/>
      <c r="J22" s="87"/>
      <c r="K22" s="87"/>
      <c r="L22" s="87"/>
      <c r="M22" s="87"/>
      <c r="N22" s="87"/>
      <c r="O22" s="87"/>
      <c r="P22" s="68">
        <f t="shared" si="50"/>
        <v>0</v>
      </c>
      <c r="Q22" s="69">
        <f>R10-P22</f>
        <v>168</v>
      </c>
      <c r="R22" s="288" t="str">
        <f t="shared" si="51"/>
        <v>Фрик</v>
      </c>
      <c r="S22" s="71" t="s">
        <v>12</v>
      </c>
      <c r="T22" s="72" t="s">
        <v>11</v>
      </c>
      <c r="U22" s="73">
        <f>COUNTIF(T22,B22)+COUNTIF(T22,D22)+COUNTIF(T22,F22)+COUNTIF(T22,H21)+COUNTIF(T22,J22)+COUNTIF(T22,L22)+COUNTIF(T22,N22)</f>
        <v>0</v>
      </c>
      <c r="V22" s="62">
        <f>COUNTIF(S22,B22)+COUNTIF(S22,D22)+COUNTIF(S22,F22)+COUNTIF(S22,H21)+COUNTIF(S22,J22)+COUNTIF(S22,L22)+COUNTIF(S22,N22)</f>
        <v>0</v>
      </c>
      <c r="W22" s="62"/>
      <c r="X22" s="74" t="s">
        <v>44</v>
      </c>
      <c r="Y22" s="7"/>
      <c r="Z22" s="7"/>
      <c r="AA22" s="7"/>
      <c r="AB22" s="13"/>
      <c r="AC22" s="13"/>
      <c r="AD22" s="13"/>
    </row>
    <row r="23" s="21" customFormat="1" ht="14.25">
      <c r="A23" s="88" t="s">
        <v>51</v>
      </c>
      <c r="B23" s="292"/>
      <c r="C23" s="174"/>
      <c r="D23" s="87"/>
      <c r="E23" s="293"/>
      <c r="F23" s="294"/>
      <c r="G23" s="295"/>
      <c r="H23" s="294"/>
      <c r="I23" s="89"/>
      <c r="J23" s="87"/>
      <c r="K23" s="87"/>
      <c r="L23" s="87"/>
      <c r="M23" s="87"/>
      <c r="N23" s="87"/>
      <c r="O23" s="87"/>
      <c r="P23" s="68">
        <f t="shared" si="50"/>
        <v>0</v>
      </c>
      <c r="Q23" s="69">
        <f>R10-P23</f>
        <v>168</v>
      </c>
      <c r="R23" s="288" t="str">
        <f t="shared" si="51"/>
        <v>Истрашкин</v>
      </c>
      <c r="S23" s="71" t="s">
        <v>10</v>
      </c>
      <c r="T23" s="72" t="s">
        <v>9</v>
      </c>
      <c r="U23" s="73">
        <f t="shared" si="52"/>
        <v>0</v>
      </c>
      <c r="V23" s="62">
        <f t="shared" si="53"/>
        <v>0</v>
      </c>
      <c r="W23" s="62"/>
      <c r="X23" s="74" t="s">
        <v>34</v>
      </c>
      <c r="Y23" s="7"/>
      <c r="Z23" s="7"/>
      <c r="AA23" s="7"/>
      <c r="AB23" s="13"/>
      <c r="AC23" s="13"/>
      <c r="AD23" s="13"/>
    </row>
    <row r="24" s="21" customFormat="1" ht="14.25">
      <c r="A24" s="92"/>
      <c r="B24" s="53">
        <v>46230</v>
      </c>
      <c r="C24" s="53"/>
      <c r="D24" s="53">
        <v>46231</v>
      </c>
      <c r="E24" s="53"/>
      <c r="F24" s="296">
        <v>46232</v>
      </c>
      <c r="G24" s="296"/>
      <c r="H24" s="296">
        <v>46233</v>
      </c>
      <c r="I24" s="53"/>
      <c r="J24" s="53">
        <v>46234</v>
      </c>
      <c r="K24" s="53"/>
      <c r="L24" s="53">
        <v>46235</v>
      </c>
      <c r="M24" s="53"/>
      <c r="N24" s="53">
        <v>46236</v>
      </c>
      <c r="O24" s="53"/>
      <c r="P24" s="68"/>
      <c r="Q24" s="67"/>
      <c r="R24" s="297"/>
      <c r="S24" s="138"/>
      <c r="T24" s="138"/>
      <c r="U24" s="60" t="s">
        <v>27</v>
      </c>
      <c r="V24" s="61" t="s">
        <v>28</v>
      </c>
      <c r="W24" s="62" t="s">
        <v>29</v>
      </c>
      <c r="X24" s="7"/>
      <c r="Y24" s="7"/>
      <c r="Z24" s="7"/>
      <c r="AA24" s="7"/>
      <c r="AB24" s="13"/>
      <c r="AC24" s="13"/>
      <c r="AD24" s="13"/>
    </row>
    <row r="25" ht="14.25">
      <c r="A25" s="162"/>
      <c r="B25" s="298"/>
      <c r="C25" s="298"/>
      <c r="D25" s="298"/>
      <c r="E25" s="298"/>
      <c r="F25" s="298"/>
      <c r="G25" s="298"/>
      <c r="H25" s="298"/>
      <c r="I25" s="298"/>
      <c r="J25" s="298"/>
      <c r="K25" s="298"/>
      <c r="L25" s="298"/>
      <c r="M25" s="298"/>
      <c r="N25" s="298"/>
      <c r="O25" s="298"/>
      <c r="P25" s="163"/>
      <c r="Q25" s="164"/>
      <c r="R25" s="165"/>
      <c r="S25" s="165"/>
      <c r="T25" s="165"/>
      <c r="U25" s="100"/>
      <c r="V25" s="100"/>
      <c r="W25" s="100"/>
      <c r="X25" s="7"/>
      <c r="Y25" s="7"/>
      <c r="Z25" s="7"/>
      <c r="AA25" s="7"/>
      <c r="AB25" s="13"/>
      <c r="AC25" s="13"/>
      <c r="AD25" s="13"/>
    </row>
    <row r="26" ht="14.25">
      <c r="A26" s="165"/>
      <c r="B26" s="167" t="s">
        <v>17</v>
      </c>
      <c r="C26" s="167"/>
      <c r="D26" s="167" t="s">
        <v>18</v>
      </c>
      <c r="E26" s="167"/>
      <c r="F26" s="167" t="s">
        <v>19</v>
      </c>
      <c r="G26" s="167"/>
      <c r="H26" s="167" t="s">
        <v>20</v>
      </c>
      <c r="I26" s="167"/>
      <c r="J26" s="168" t="s">
        <v>21</v>
      </c>
      <c r="K26" s="168"/>
      <c r="L26" s="167" t="s">
        <v>22</v>
      </c>
      <c r="M26" s="167"/>
      <c r="N26" s="167" t="s">
        <v>23</v>
      </c>
      <c r="O26" s="167"/>
      <c r="P26" s="234" t="s">
        <v>24</v>
      </c>
      <c r="Q26" s="235"/>
      <c r="R26" s="165"/>
      <c r="S26" s="165"/>
      <c r="T26" s="165"/>
      <c r="U26" s="100"/>
      <c r="V26" s="100"/>
      <c r="W26" s="100"/>
      <c r="X26" s="51"/>
      <c r="Y26" s="7"/>
      <c r="Z26" s="7"/>
      <c r="AA26" s="7"/>
      <c r="AB26" s="13"/>
      <c r="AC26" s="13"/>
      <c r="AD26" s="13"/>
    </row>
    <row r="27" ht="14.25">
      <c r="A27" s="165"/>
      <c r="B27" s="210">
        <v>46237</v>
      </c>
      <c r="C27" s="211"/>
      <c r="D27" s="210">
        <v>46238</v>
      </c>
      <c r="E27" s="211"/>
      <c r="F27" s="210">
        <v>46239</v>
      </c>
      <c r="G27" s="211"/>
      <c r="H27" s="210">
        <v>46240</v>
      </c>
      <c r="I27" s="211"/>
      <c r="J27" s="210">
        <v>46241</v>
      </c>
      <c r="K27" s="211"/>
      <c r="L27" s="210">
        <v>46242</v>
      </c>
      <c r="M27" s="210"/>
      <c r="N27" s="210">
        <v>46243</v>
      </c>
      <c r="O27" s="212"/>
      <c r="P27" s="236" t="s">
        <v>25</v>
      </c>
      <c r="Q27" s="237" t="s">
        <v>26</v>
      </c>
      <c r="R27" s="238"/>
      <c r="S27" s="239"/>
      <c r="T27" s="239"/>
      <c r="U27" s="15" t="s">
        <v>27</v>
      </c>
      <c r="V27" s="106" t="s">
        <v>28</v>
      </c>
      <c r="W27" s="100" t="s">
        <v>29</v>
      </c>
      <c r="X27" s="63" t="s">
        <v>30</v>
      </c>
      <c r="Y27" s="7"/>
      <c r="Z27" s="7"/>
      <c r="AA27" s="7"/>
      <c r="AB27" s="13"/>
      <c r="AC27" s="13"/>
      <c r="AD27" s="13"/>
    </row>
    <row r="28" ht="14.25">
      <c r="A28" s="217" t="s">
        <v>35</v>
      </c>
      <c r="B28" s="65" t="s">
        <v>32</v>
      </c>
      <c r="C28" s="65" t="s">
        <v>33</v>
      </c>
      <c r="D28" s="65" t="s">
        <v>32</v>
      </c>
      <c r="E28" s="65" t="s">
        <v>33</v>
      </c>
      <c r="F28" s="65" t="s">
        <v>32</v>
      </c>
      <c r="G28" s="65" t="s">
        <v>33</v>
      </c>
      <c r="H28" s="65" t="s">
        <v>32</v>
      </c>
      <c r="I28" s="65" t="s">
        <v>33</v>
      </c>
      <c r="J28" s="65" t="s">
        <v>32</v>
      </c>
      <c r="K28" s="65" t="s">
        <v>33</v>
      </c>
      <c r="L28" s="66"/>
      <c r="M28" s="66"/>
      <c r="N28" s="66"/>
      <c r="O28" s="66"/>
      <c r="P28" s="218">
        <f t="shared" si="50"/>
        <v>40</v>
      </c>
      <c r="Q28" s="62">
        <f>Q12-P28</f>
        <v>88</v>
      </c>
      <c r="R28" s="219" t="str">
        <f t="shared" si="51"/>
        <v>Рычков</v>
      </c>
      <c r="S28" s="76" t="s">
        <v>10</v>
      </c>
      <c r="T28" s="77" t="s">
        <v>9</v>
      </c>
      <c r="U28" s="73">
        <f t="shared" si="52"/>
        <v>0</v>
      </c>
      <c r="V28" s="62">
        <f t="shared" si="53"/>
        <v>0</v>
      </c>
      <c r="W28" s="62"/>
      <c r="X28" s="74" t="s">
        <v>34</v>
      </c>
      <c r="Y28" s="7"/>
      <c r="Z28" s="7"/>
      <c r="AA28" s="7"/>
      <c r="AB28" s="13"/>
      <c r="AC28" s="13"/>
      <c r="AD28" s="13"/>
    </row>
    <row r="29" ht="14.25">
      <c r="A29" s="203" t="s">
        <v>39</v>
      </c>
      <c r="B29" s="65" t="s">
        <v>32</v>
      </c>
      <c r="C29" s="65" t="s">
        <v>33</v>
      </c>
      <c r="D29" s="65" t="s">
        <v>32</v>
      </c>
      <c r="E29" s="65" t="s">
        <v>33</v>
      </c>
      <c r="F29" s="65" t="s">
        <v>32</v>
      </c>
      <c r="G29" s="65" t="s">
        <v>33</v>
      </c>
      <c r="H29" s="65" t="s">
        <v>32</v>
      </c>
      <c r="I29" s="65" t="s">
        <v>33</v>
      </c>
      <c r="J29" s="65" t="s">
        <v>32</v>
      </c>
      <c r="K29" s="65" t="s">
        <v>33</v>
      </c>
      <c r="L29" s="66"/>
      <c r="M29" s="66"/>
      <c r="N29" s="66"/>
      <c r="O29" s="66"/>
      <c r="P29" s="218">
        <f t="shared" si="50"/>
        <v>40</v>
      </c>
      <c r="Q29" s="62">
        <f t="shared" ref="Q29:Q33" si="54">Q14-P29</f>
        <v>88</v>
      </c>
      <c r="R29" s="219" t="str">
        <f t="shared" si="51"/>
        <v>Игумнов</v>
      </c>
      <c r="S29" s="76" t="s">
        <v>10</v>
      </c>
      <c r="T29" s="77" t="s">
        <v>9</v>
      </c>
      <c r="U29" s="73">
        <f t="shared" si="52"/>
        <v>0</v>
      </c>
      <c r="V29" s="62">
        <f t="shared" si="53"/>
        <v>0</v>
      </c>
      <c r="W29" s="62"/>
      <c r="X29" s="79" t="s">
        <v>34</v>
      </c>
      <c r="Y29" s="7"/>
      <c r="Z29" s="80"/>
      <c r="AA29" s="80"/>
      <c r="AB29" s="13"/>
      <c r="AC29" s="13"/>
      <c r="AD29" s="13"/>
    </row>
    <row r="30" ht="14.25">
      <c r="A30" s="203" t="s">
        <v>40</v>
      </c>
      <c r="B30" s="65" t="s">
        <v>32</v>
      </c>
      <c r="C30" s="65" t="s">
        <v>33</v>
      </c>
      <c r="D30" s="65" t="s">
        <v>32</v>
      </c>
      <c r="E30" s="65" t="s">
        <v>33</v>
      </c>
      <c r="F30" s="65" t="s">
        <v>32</v>
      </c>
      <c r="G30" s="65" t="s">
        <v>33</v>
      </c>
      <c r="H30" s="65" t="s">
        <v>32</v>
      </c>
      <c r="I30" s="65" t="s">
        <v>33</v>
      </c>
      <c r="J30" s="255" t="s">
        <v>32</v>
      </c>
      <c r="K30" s="255" t="s">
        <v>33</v>
      </c>
      <c r="L30" s="256"/>
      <c r="M30" s="256"/>
      <c r="N30" s="256"/>
      <c r="O30" s="256"/>
      <c r="P30" s="218">
        <f t="shared" si="50"/>
        <v>40</v>
      </c>
      <c r="Q30" s="62">
        <f t="shared" si="54"/>
        <v>88</v>
      </c>
      <c r="R30" s="219" t="str">
        <f t="shared" si="51"/>
        <v>Душин</v>
      </c>
      <c r="S30" s="76" t="s">
        <v>10</v>
      </c>
      <c r="T30" s="77" t="s">
        <v>9</v>
      </c>
      <c r="U30" s="73">
        <f t="shared" si="52"/>
        <v>0</v>
      </c>
      <c r="V30" s="62">
        <f t="shared" si="53"/>
        <v>0</v>
      </c>
      <c r="W30" s="62"/>
      <c r="X30" s="74" t="s">
        <v>38</v>
      </c>
      <c r="Y30" s="80"/>
      <c r="Z30" s="80"/>
      <c r="AA30" s="80"/>
      <c r="AB30" s="13"/>
      <c r="AC30" s="13"/>
      <c r="AD30" s="13"/>
    </row>
    <row r="31" ht="14.25">
      <c r="A31" s="271" t="s">
        <v>42</v>
      </c>
      <c r="B31" s="65" t="s">
        <v>54</v>
      </c>
      <c r="C31" s="65" t="s">
        <v>33</v>
      </c>
      <c r="D31" s="65" t="s">
        <v>54</v>
      </c>
      <c r="E31" s="65" t="s">
        <v>33</v>
      </c>
      <c r="F31" s="65" t="s">
        <v>54</v>
      </c>
      <c r="G31" s="65" t="s">
        <v>33</v>
      </c>
      <c r="H31" s="65" t="s">
        <v>54</v>
      </c>
      <c r="I31" s="65" t="s">
        <v>33</v>
      </c>
      <c r="J31" s="65" t="s">
        <v>54</v>
      </c>
      <c r="K31" s="65" t="s">
        <v>33</v>
      </c>
      <c r="L31" s="66"/>
      <c r="M31" s="66"/>
      <c r="N31" s="66"/>
      <c r="O31" s="66"/>
      <c r="P31" s="220">
        <f t="shared" si="50"/>
        <v>40</v>
      </c>
      <c r="Q31" s="221">
        <f t="shared" si="54"/>
        <v>88</v>
      </c>
      <c r="R31" s="222" t="str">
        <f t="shared" si="51"/>
        <v>Юращик</v>
      </c>
      <c r="S31" s="76" t="s">
        <v>10</v>
      </c>
      <c r="T31" s="77" t="s">
        <v>9</v>
      </c>
      <c r="U31" s="240">
        <f t="shared" si="52"/>
        <v>0</v>
      </c>
      <c r="V31" s="221">
        <f t="shared" si="53"/>
        <v>0</v>
      </c>
      <c r="W31" s="221"/>
      <c r="X31" s="299" t="s">
        <v>38</v>
      </c>
      <c r="Y31" s="80"/>
      <c r="Z31" s="80"/>
      <c r="AA31" s="80"/>
      <c r="AB31" s="13"/>
      <c r="AC31" s="13"/>
      <c r="AD31" s="13"/>
    </row>
    <row r="32" ht="14.25">
      <c r="A32" s="203" t="s">
        <v>31</v>
      </c>
      <c r="B32" s="65" t="s">
        <v>32</v>
      </c>
      <c r="C32" s="65" t="s">
        <v>33</v>
      </c>
      <c r="D32" s="65" t="s">
        <v>32</v>
      </c>
      <c r="E32" s="65" t="s">
        <v>33</v>
      </c>
      <c r="F32" s="198" t="s">
        <v>32</v>
      </c>
      <c r="G32" s="65" t="s">
        <v>33</v>
      </c>
      <c r="H32" s="65" t="s">
        <v>32</v>
      </c>
      <c r="I32" s="65" t="s">
        <v>33</v>
      </c>
      <c r="J32" s="65" t="s">
        <v>32</v>
      </c>
      <c r="K32" s="65" t="s">
        <v>33</v>
      </c>
      <c r="L32" s="66"/>
      <c r="M32" s="66"/>
      <c r="N32" s="66"/>
      <c r="O32" s="66"/>
      <c r="P32" s="218">
        <f t="shared" si="50"/>
        <v>40</v>
      </c>
      <c r="Q32" s="62">
        <f t="shared" si="54"/>
        <v>128</v>
      </c>
      <c r="R32" s="219" t="str">
        <f t="shared" si="51"/>
        <v>Нетронин</v>
      </c>
      <c r="S32" s="76" t="s">
        <v>10</v>
      </c>
      <c r="T32" s="300" t="s">
        <v>9</v>
      </c>
      <c r="U32" s="73">
        <f t="shared" si="52"/>
        <v>0</v>
      </c>
      <c r="V32" s="62">
        <f t="shared" si="53"/>
        <v>0</v>
      </c>
      <c r="W32" s="62"/>
      <c r="X32" s="74" t="s">
        <v>38</v>
      </c>
      <c r="Y32" s="7"/>
      <c r="Z32" s="7"/>
      <c r="AA32" s="7"/>
      <c r="AB32" s="13"/>
      <c r="AC32" s="13"/>
      <c r="AD32" s="13"/>
    </row>
    <row r="33" ht="14.25">
      <c r="A33" s="301" t="s">
        <v>43</v>
      </c>
      <c r="B33" s="72"/>
      <c r="C33" s="112"/>
      <c r="D33" s="87"/>
      <c r="E33" s="87"/>
      <c r="F33" s="87"/>
      <c r="G33" s="87"/>
      <c r="H33" s="67"/>
      <c r="I33" s="261"/>
      <c r="J33" s="82"/>
      <c r="K33" s="302"/>
      <c r="L33" s="71"/>
      <c r="M33" s="89"/>
      <c r="N33" s="71"/>
      <c r="O33" s="89"/>
      <c r="P33" s="303">
        <f t="shared" ref="P33:P34" si="55">C33+O18+G33+I33+K33+M33+O33</f>
        <v>0</v>
      </c>
      <c r="Q33" s="304">
        <f t="shared" si="54"/>
        <v>168</v>
      </c>
      <c r="R33" s="305" t="s">
        <v>43</v>
      </c>
      <c r="S33" s="268" t="s">
        <v>12</v>
      </c>
      <c r="T33" s="72" t="s">
        <v>11</v>
      </c>
      <c r="U33" s="304">
        <f t="shared" ref="U33:U34" si="56">COUNTIF(T33,B33)+COUNTIF(T33,N18)+COUNTIF(T33,F33)+COUNTIF(T33,H33)+COUNTIF(T33,J33)+COUNTIF(T33,L33)+COUNTIF(T33,N33)</f>
        <v>0</v>
      </c>
      <c r="V33" s="304">
        <f t="shared" ref="V33:V34" si="57">COUNTIF(S33,B33)+COUNTIF(S33,N18)+COUNTIF(S33,F33)+COUNTIF(S33,H33)+COUNTIF(S33,J33)+COUNTIF(S33,L33)+COUNTIF(S33,N33)</f>
        <v>0</v>
      </c>
      <c r="W33" s="304"/>
      <c r="X33" s="306" t="s">
        <v>44</v>
      </c>
      <c r="Y33" s="80"/>
      <c r="Z33" s="80"/>
      <c r="AA33" s="80"/>
      <c r="AB33" s="13"/>
      <c r="AC33" s="13"/>
      <c r="AD33" s="13"/>
    </row>
    <row r="34" ht="14.25">
      <c r="A34" s="204" t="s">
        <v>45</v>
      </c>
      <c r="B34" s="82"/>
      <c r="C34" s="82"/>
      <c r="D34" s="87"/>
      <c r="E34" s="87"/>
      <c r="F34" s="292"/>
      <c r="G34" s="307"/>
      <c r="H34" s="123"/>
      <c r="I34" s="123"/>
      <c r="J34" s="132"/>
      <c r="K34" s="132"/>
      <c r="L34" s="122"/>
      <c r="M34" s="122"/>
      <c r="N34" s="122"/>
      <c r="O34" s="122"/>
      <c r="P34" s="228">
        <f t="shared" si="55"/>
        <v>0</v>
      </c>
      <c r="Q34" s="229">
        <f>Q18-P34</f>
        <v>168</v>
      </c>
      <c r="R34" s="230" t="str">
        <f t="shared" si="51"/>
        <v>Пузырь</v>
      </c>
      <c r="S34" s="76" t="s">
        <v>10</v>
      </c>
      <c r="T34" s="77" t="s">
        <v>9</v>
      </c>
      <c r="U34" s="244">
        <f t="shared" si="56"/>
        <v>0</v>
      </c>
      <c r="V34" s="229">
        <f t="shared" si="57"/>
        <v>0</v>
      </c>
      <c r="W34" s="229"/>
      <c r="X34" s="308" t="s">
        <v>34</v>
      </c>
      <c r="Y34" s="80"/>
      <c r="Z34" s="7"/>
      <c r="AA34" s="7"/>
      <c r="AB34" s="13"/>
      <c r="AC34" s="13"/>
      <c r="AD34" s="13"/>
    </row>
    <row r="35" ht="14.25">
      <c r="A35" s="205" t="s">
        <v>46</v>
      </c>
      <c r="B35" s="292"/>
      <c r="C35" s="112"/>
      <c r="D35" s="66"/>
      <c r="E35" s="66"/>
      <c r="F35" s="66"/>
      <c r="G35" s="66"/>
      <c r="H35" s="268"/>
      <c r="I35" s="78"/>
      <c r="J35" s="268"/>
      <c r="K35" s="76"/>
      <c r="L35" s="67"/>
      <c r="M35" s="67"/>
      <c r="N35" s="67"/>
      <c r="O35" s="67"/>
      <c r="P35" s="218">
        <f t="shared" si="50"/>
        <v>0</v>
      </c>
      <c r="Q35" s="62">
        <f t="shared" ref="Q35:Q39" si="58">Q20-P35</f>
        <v>168</v>
      </c>
      <c r="R35" s="219" t="str">
        <f t="shared" si="51"/>
        <v>Голышев</v>
      </c>
      <c r="S35" s="76" t="s">
        <v>10</v>
      </c>
      <c r="T35" s="77" t="s">
        <v>9</v>
      </c>
      <c r="U35" s="73">
        <f t="shared" si="52"/>
        <v>0</v>
      </c>
      <c r="V35" s="62">
        <f t="shared" si="53"/>
        <v>0</v>
      </c>
      <c r="W35" s="62"/>
      <c r="X35" s="74" t="s">
        <v>34</v>
      </c>
      <c r="Y35" s="80"/>
      <c r="Z35" s="7"/>
      <c r="AA35" s="7"/>
      <c r="AB35" s="13"/>
      <c r="AC35" s="13"/>
      <c r="AD35" s="13"/>
    </row>
    <row r="36" ht="14.25">
      <c r="A36" s="205" t="s">
        <v>47</v>
      </c>
      <c r="B36" s="66"/>
      <c r="C36" s="66"/>
      <c r="D36" s="292"/>
      <c r="E36" s="83"/>
      <c r="F36" s="77"/>
      <c r="G36" s="112"/>
      <c r="H36" s="87"/>
      <c r="I36" s="87"/>
      <c r="J36" s="67"/>
      <c r="K36" s="67"/>
      <c r="L36" s="292"/>
      <c r="M36" s="83"/>
      <c r="N36" s="77"/>
      <c r="O36" s="112"/>
      <c r="P36" s="218">
        <f t="shared" si="50"/>
        <v>0</v>
      </c>
      <c r="Q36" s="62">
        <f t="shared" si="58"/>
        <v>168</v>
      </c>
      <c r="R36" s="219" t="str">
        <f t="shared" si="51"/>
        <v>Торубара</v>
      </c>
      <c r="S36" s="76" t="s">
        <v>10</v>
      </c>
      <c r="T36" s="77" t="s">
        <v>9</v>
      </c>
      <c r="U36" s="73">
        <f>COUNTIF(T36,B36)+COUNTIF(T36,F36)+COUNTIF(T36,D36)+COUNTIF(T36,#REF!)+COUNTIF(T36,J36)+COUNTIF(T36,L36)+COUNTIF(T36,N36)</f>
        <v>0</v>
      </c>
      <c r="V36" s="62">
        <f>COUNTIF(S36,B36)+COUNTIF(S36,F36)+COUNTIF(S36,D36)+COUNTIF(S36,#REF!)+COUNTIF(S36,J36)+COUNTIF(S36,L36)+COUNTIF(S36,N36)</f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ht="14.25">
      <c r="A37" s="205" t="s">
        <v>48</v>
      </c>
      <c r="B37" s="82"/>
      <c r="C37" s="82"/>
      <c r="D37" s="71"/>
      <c r="E37" s="243"/>
      <c r="F37" s="268"/>
      <c r="G37" s="78"/>
      <c r="H37" s="66"/>
      <c r="I37" s="66"/>
      <c r="J37" s="66"/>
      <c r="K37" s="66"/>
      <c r="L37" s="72"/>
      <c r="M37" s="156"/>
      <c r="N37" s="262"/>
      <c r="O37" s="156"/>
      <c r="P37" s="218">
        <f t="shared" si="50"/>
        <v>0</v>
      </c>
      <c r="Q37" s="62">
        <f t="shared" si="58"/>
        <v>168</v>
      </c>
      <c r="R37" s="219" t="str">
        <f t="shared" si="51"/>
        <v>Стрыгин</v>
      </c>
      <c r="S37" s="71" t="s">
        <v>8</v>
      </c>
      <c r="T37" s="72" t="s">
        <v>7</v>
      </c>
      <c r="U37" s="73">
        <f t="shared" si="52"/>
        <v>0</v>
      </c>
      <c r="V37" s="62">
        <f t="shared" si="53"/>
        <v>0</v>
      </c>
      <c r="W37" s="62"/>
      <c r="X37" s="74" t="s">
        <v>49</v>
      </c>
      <c r="Y37" s="7"/>
      <c r="Z37" s="7"/>
      <c r="AA37" s="7"/>
      <c r="AB37" s="13"/>
      <c r="AC37" s="13"/>
      <c r="AD37" s="13"/>
    </row>
    <row r="38" ht="14.25">
      <c r="A38" s="205" t="s">
        <v>50</v>
      </c>
      <c r="B38" s="71"/>
      <c r="C38" s="76"/>
      <c r="D38" s="67"/>
      <c r="E38" s="67"/>
      <c r="F38" s="66"/>
      <c r="G38" s="66"/>
      <c r="H38" s="262"/>
      <c r="I38" s="83"/>
      <c r="J38" s="83"/>
      <c r="K38" s="83"/>
      <c r="L38" s="66"/>
      <c r="M38" s="66"/>
      <c r="N38" s="66"/>
      <c r="O38" s="66"/>
      <c r="P38" s="218">
        <f t="shared" si="50"/>
        <v>0</v>
      </c>
      <c r="Q38" s="62">
        <f t="shared" si="58"/>
        <v>168</v>
      </c>
      <c r="R38" s="219" t="str">
        <f t="shared" si="51"/>
        <v>Фрик</v>
      </c>
      <c r="S38" s="71" t="s">
        <v>12</v>
      </c>
      <c r="T38" s="72" t="s">
        <v>11</v>
      </c>
      <c r="U38" s="73">
        <f t="shared" si="52"/>
        <v>0</v>
      </c>
      <c r="V38" s="62">
        <f t="shared" si="53"/>
        <v>0</v>
      </c>
      <c r="W38" s="62"/>
      <c r="X38" s="74" t="s">
        <v>44</v>
      </c>
      <c r="Y38" s="7"/>
      <c r="Z38" s="7"/>
      <c r="AA38" s="7"/>
      <c r="AB38" s="13"/>
      <c r="AC38" s="13"/>
      <c r="AD38" s="13"/>
    </row>
    <row r="39" ht="14.25">
      <c r="A39" s="206" t="s">
        <v>51</v>
      </c>
      <c r="B39" s="77"/>
      <c r="C39" s="307"/>
      <c r="D39" s="87"/>
      <c r="E39" s="87"/>
      <c r="F39" s="268"/>
      <c r="G39" s="243"/>
      <c r="H39" s="264"/>
      <c r="I39" s="89"/>
      <c r="J39" s="66"/>
      <c r="K39" s="66"/>
      <c r="L39" s="268"/>
      <c r="M39" s="76"/>
      <c r="N39" s="264"/>
      <c r="O39" s="173"/>
      <c r="P39" s="218">
        <f t="shared" si="50"/>
        <v>0</v>
      </c>
      <c r="Q39" s="62">
        <f t="shared" si="58"/>
        <v>0</v>
      </c>
      <c r="R39" s="219" t="str">
        <f t="shared" si="51"/>
        <v>Истрашкин</v>
      </c>
      <c r="S39" s="71" t="s">
        <v>10</v>
      </c>
      <c r="T39" s="72" t="s">
        <v>9</v>
      </c>
      <c r="U39" s="73">
        <f t="shared" si="52"/>
        <v>0</v>
      </c>
      <c r="V39" s="62">
        <f t="shared" si="53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25">
      <c r="A40" s="245"/>
      <c r="B40" s="210">
        <v>46237</v>
      </c>
      <c r="C40" s="211"/>
      <c r="D40" s="210">
        <v>46238</v>
      </c>
      <c r="E40" s="211"/>
      <c r="F40" s="210">
        <v>46239</v>
      </c>
      <c r="G40" s="211"/>
      <c r="H40" s="210">
        <v>46240</v>
      </c>
      <c r="I40" s="211"/>
      <c r="J40" s="210">
        <v>46241</v>
      </c>
      <c r="K40" s="211"/>
      <c r="L40" s="210">
        <v>46242</v>
      </c>
      <c r="M40" s="210"/>
      <c r="N40" s="210">
        <v>46243</v>
      </c>
      <c r="O40" s="212"/>
      <c r="P40" s="246"/>
      <c r="Q40" s="247"/>
      <c r="R40" s="245"/>
      <c r="S40" s="178"/>
      <c r="T40" s="178"/>
      <c r="U40" s="100"/>
      <c r="V40" s="100"/>
      <c r="W40" s="100"/>
      <c r="X40" s="7"/>
      <c r="Y40" s="7"/>
      <c r="Z40" s="7"/>
      <c r="AA40" s="7"/>
      <c r="AB40" s="13"/>
      <c r="AC40" s="13"/>
      <c r="AD40" s="13"/>
    </row>
    <row r="41" ht="14.25">
      <c r="A41" s="162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4"/>
      <c r="R41" s="165"/>
      <c r="S41" s="165"/>
      <c r="T41" s="165"/>
      <c r="U41" s="100"/>
      <c r="V41" s="100"/>
      <c r="W41" s="100"/>
      <c r="X41" s="51"/>
      <c r="Y41" s="7"/>
      <c r="Z41" s="7"/>
      <c r="AA41" s="7"/>
      <c r="AB41" s="13"/>
      <c r="AC41" s="13"/>
      <c r="AD41" s="13"/>
    </row>
    <row r="42" ht="14.25">
      <c r="A42" s="143"/>
      <c r="B42" s="43" t="s">
        <v>17</v>
      </c>
      <c r="C42" s="142"/>
      <c r="D42" s="43" t="s">
        <v>18</v>
      </c>
      <c r="E42" s="142"/>
      <c r="F42" s="43" t="s">
        <v>19</v>
      </c>
      <c r="G42" s="43"/>
      <c r="H42" s="43" t="s">
        <v>20</v>
      </c>
      <c r="I42" s="142"/>
      <c r="J42" s="43" t="s">
        <v>21</v>
      </c>
      <c r="K42" s="43"/>
      <c r="L42" s="43" t="s">
        <v>22</v>
      </c>
      <c r="M42" s="43"/>
      <c r="N42" s="43" t="s">
        <v>23</v>
      </c>
      <c r="O42" s="43"/>
      <c r="P42" s="208" t="s">
        <v>24</v>
      </c>
      <c r="Q42" s="209"/>
      <c r="R42" s="143"/>
      <c r="S42" s="143"/>
      <c r="T42" s="143"/>
      <c r="U42" s="62"/>
      <c r="V42" s="62"/>
      <c r="W42" s="62"/>
      <c r="X42" s="63"/>
      <c r="Y42" s="7"/>
      <c r="Z42" s="7"/>
      <c r="AA42" s="7"/>
      <c r="AB42" s="13"/>
      <c r="AC42" s="13"/>
      <c r="AD42" s="13"/>
    </row>
    <row r="43" ht="14.25">
      <c r="A43" s="248"/>
      <c r="B43" s="53">
        <v>46244</v>
      </c>
      <c r="C43" s="53"/>
      <c r="D43" s="53">
        <v>46245</v>
      </c>
      <c r="E43" s="53"/>
      <c r="F43" s="53">
        <v>46246</v>
      </c>
      <c r="G43" s="53"/>
      <c r="H43" s="53">
        <v>46247</v>
      </c>
      <c r="I43" s="53"/>
      <c r="J43" s="53">
        <v>46248</v>
      </c>
      <c r="K43" s="53"/>
      <c r="L43" s="53">
        <v>46249</v>
      </c>
      <c r="M43" s="53"/>
      <c r="N43" s="53">
        <v>46250</v>
      </c>
      <c r="O43" s="54"/>
      <c r="P43" s="309" t="s">
        <v>25</v>
      </c>
      <c r="Q43" s="214" t="s">
        <v>26</v>
      </c>
      <c r="R43" s="249"/>
      <c r="S43" s="147"/>
      <c r="T43" s="147"/>
      <c r="U43" s="60" t="s">
        <v>27</v>
      </c>
      <c r="V43" s="61" t="s">
        <v>28</v>
      </c>
      <c r="W43" s="62" t="s">
        <v>29</v>
      </c>
      <c r="X43" s="63" t="s">
        <v>30</v>
      </c>
      <c r="Y43" s="7"/>
      <c r="Z43" s="7"/>
      <c r="AA43" s="7"/>
      <c r="AB43" s="13"/>
      <c r="AC43" s="13"/>
      <c r="AD43" s="13"/>
    </row>
    <row r="44" ht="14.25">
      <c r="A44" s="217" t="s">
        <v>35</v>
      </c>
      <c r="B44" s="65" t="s">
        <v>32</v>
      </c>
      <c r="C44" s="65" t="s">
        <v>33</v>
      </c>
      <c r="D44" s="65" t="s">
        <v>32</v>
      </c>
      <c r="E44" s="65" t="s">
        <v>33</v>
      </c>
      <c r="F44" s="65" t="s">
        <v>32</v>
      </c>
      <c r="G44" s="65" t="s">
        <v>33</v>
      </c>
      <c r="H44" s="65" t="s">
        <v>32</v>
      </c>
      <c r="I44" s="65" t="s">
        <v>33</v>
      </c>
      <c r="J44" s="65" t="s">
        <v>32</v>
      </c>
      <c r="K44" s="65" t="s">
        <v>33</v>
      </c>
      <c r="L44" s="66"/>
      <c r="M44" s="66"/>
      <c r="N44" s="66"/>
      <c r="O44" s="66"/>
      <c r="P44" s="218">
        <f t="shared" si="50"/>
        <v>40</v>
      </c>
      <c r="Q44" s="62">
        <f t="shared" ref="Q44:Q103" si="59">Q28-P44</f>
        <v>48</v>
      </c>
      <c r="R44" s="219" t="str">
        <f t="shared" si="51"/>
        <v>Рычков</v>
      </c>
      <c r="S44" s="76" t="s">
        <v>10</v>
      </c>
      <c r="T44" s="77" t="s">
        <v>9</v>
      </c>
      <c r="U44" s="73">
        <f t="shared" si="52"/>
        <v>0</v>
      </c>
      <c r="V44" s="62">
        <f t="shared" si="53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25">
      <c r="A45" s="203" t="s">
        <v>39</v>
      </c>
      <c r="B45" s="65" t="s">
        <v>32</v>
      </c>
      <c r="C45" s="65" t="s">
        <v>33</v>
      </c>
      <c r="D45" s="65" t="s">
        <v>32</v>
      </c>
      <c r="E45" s="65" t="s">
        <v>33</v>
      </c>
      <c r="F45" s="65" t="s">
        <v>32</v>
      </c>
      <c r="G45" s="65" t="s">
        <v>33</v>
      </c>
      <c r="H45" s="65" t="s">
        <v>32</v>
      </c>
      <c r="I45" s="65" t="s">
        <v>33</v>
      </c>
      <c r="J45" s="65" t="s">
        <v>32</v>
      </c>
      <c r="K45" s="65" t="s">
        <v>33</v>
      </c>
      <c r="L45" s="66"/>
      <c r="M45" s="66"/>
      <c r="N45" s="66"/>
      <c r="O45" s="66"/>
      <c r="P45" s="218">
        <f t="shared" si="50"/>
        <v>40</v>
      </c>
      <c r="Q45" s="62">
        <f t="shared" si="59"/>
        <v>48</v>
      </c>
      <c r="R45" s="219" t="str">
        <f t="shared" si="51"/>
        <v>Игумнов</v>
      </c>
      <c r="S45" s="76" t="s">
        <v>10</v>
      </c>
      <c r="T45" s="77" t="s">
        <v>9</v>
      </c>
      <c r="U45" s="73">
        <f t="shared" si="52"/>
        <v>0</v>
      </c>
      <c r="V45" s="62">
        <f t="shared" si="53"/>
        <v>0</v>
      </c>
      <c r="W45" s="62"/>
      <c r="X45" s="79" t="s">
        <v>34</v>
      </c>
      <c r="Y45" s="7"/>
      <c r="Z45" s="7"/>
      <c r="AA45" s="7"/>
      <c r="AB45" s="13"/>
      <c r="AC45" s="13"/>
      <c r="AD45" s="13"/>
    </row>
    <row r="46" ht="14.25">
      <c r="A46" s="203" t="s">
        <v>40</v>
      </c>
      <c r="B46" s="255" t="s">
        <v>32</v>
      </c>
      <c r="C46" s="255" t="s">
        <v>33</v>
      </c>
      <c r="D46" s="255" t="s">
        <v>32</v>
      </c>
      <c r="E46" s="255" t="s">
        <v>33</v>
      </c>
      <c r="F46" s="255" t="s">
        <v>32</v>
      </c>
      <c r="G46" s="255" t="s">
        <v>33</v>
      </c>
      <c r="H46" s="255" t="s">
        <v>32</v>
      </c>
      <c r="I46" s="255" t="s">
        <v>33</v>
      </c>
      <c r="J46" s="65" t="s">
        <v>32</v>
      </c>
      <c r="K46" s="65" t="s">
        <v>33</v>
      </c>
      <c r="L46" s="66"/>
      <c r="M46" s="66"/>
      <c r="N46" s="66"/>
      <c r="O46" s="66"/>
      <c r="P46" s="218">
        <f t="shared" si="50"/>
        <v>40</v>
      </c>
      <c r="Q46" s="62">
        <f t="shared" si="59"/>
        <v>48</v>
      </c>
      <c r="R46" s="219" t="str">
        <f t="shared" si="51"/>
        <v>Душин</v>
      </c>
      <c r="S46" s="76" t="s">
        <v>10</v>
      </c>
      <c r="T46" s="77" t="s">
        <v>9</v>
      </c>
      <c r="U46" s="73">
        <f t="shared" si="52"/>
        <v>0</v>
      </c>
      <c r="V46" s="62">
        <f t="shared" si="53"/>
        <v>0</v>
      </c>
      <c r="W46" s="62"/>
      <c r="X46" s="74" t="s">
        <v>38</v>
      </c>
      <c r="Y46" s="7"/>
      <c r="Z46" s="7"/>
      <c r="AA46" s="7"/>
      <c r="AB46" s="13"/>
      <c r="AC46" s="13"/>
      <c r="AD46" s="13"/>
    </row>
    <row r="47" ht="14.25">
      <c r="A47" s="271" t="s">
        <v>42</v>
      </c>
      <c r="B47" s="65" t="s">
        <v>54</v>
      </c>
      <c r="C47" s="65" t="s">
        <v>33</v>
      </c>
      <c r="D47" s="65" t="s">
        <v>54</v>
      </c>
      <c r="E47" s="65" t="s">
        <v>33</v>
      </c>
      <c r="F47" s="65" t="s">
        <v>54</v>
      </c>
      <c r="G47" s="65" t="s">
        <v>33</v>
      </c>
      <c r="H47" s="65" t="s">
        <v>54</v>
      </c>
      <c r="I47" s="65" t="s">
        <v>33</v>
      </c>
      <c r="J47" s="65" t="s">
        <v>54</v>
      </c>
      <c r="K47" s="65" t="s">
        <v>33</v>
      </c>
      <c r="L47" s="66"/>
      <c r="M47" s="66"/>
      <c r="N47" s="66"/>
      <c r="O47" s="66"/>
      <c r="P47" s="220">
        <f t="shared" si="50"/>
        <v>40</v>
      </c>
      <c r="Q47" s="221">
        <f t="shared" si="59"/>
        <v>48</v>
      </c>
      <c r="R47" s="222" t="str">
        <f t="shared" si="51"/>
        <v>Юращик</v>
      </c>
      <c r="S47" s="76" t="s">
        <v>10</v>
      </c>
      <c r="T47" s="77" t="s">
        <v>9</v>
      </c>
      <c r="U47" s="240"/>
      <c r="V47" s="221"/>
      <c r="W47" s="221"/>
      <c r="X47" s="299" t="s">
        <v>38</v>
      </c>
      <c r="Y47" s="7"/>
      <c r="Z47" s="7"/>
      <c r="AA47" s="7"/>
      <c r="AB47" s="13"/>
      <c r="AC47" s="13"/>
      <c r="AD47" s="13"/>
    </row>
    <row r="48" ht="14.25">
      <c r="A48" s="203" t="s">
        <v>31</v>
      </c>
      <c r="B48" s="122"/>
      <c r="C48" s="122"/>
      <c r="D48" s="310"/>
      <c r="E48" s="122"/>
      <c r="F48" s="310"/>
      <c r="G48" s="122"/>
      <c r="H48" s="310"/>
      <c r="I48" s="122"/>
      <c r="J48" s="310"/>
      <c r="K48" s="122"/>
      <c r="L48" s="310"/>
      <c r="M48" s="122"/>
      <c r="N48" s="310"/>
      <c r="O48" s="122"/>
      <c r="P48" s="218">
        <f t="shared" si="50"/>
        <v>0</v>
      </c>
      <c r="Q48" s="62">
        <f t="shared" si="59"/>
        <v>128</v>
      </c>
      <c r="R48" s="219" t="str">
        <f t="shared" si="51"/>
        <v>Нетронин</v>
      </c>
      <c r="S48" s="76" t="s">
        <v>10</v>
      </c>
      <c r="T48" s="300" t="s">
        <v>9</v>
      </c>
      <c r="U48" s="73">
        <f t="shared" si="52"/>
        <v>0</v>
      </c>
      <c r="V48" s="62">
        <f t="shared" si="53"/>
        <v>0</v>
      </c>
      <c r="W48" s="62"/>
      <c r="X48" s="74" t="s">
        <v>38</v>
      </c>
      <c r="Y48" s="7"/>
      <c r="Z48" s="7"/>
      <c r="AA48" s="7"/>
      <c r="AB48" s="13"/>
      <c r="AC48" s="13"/>
      <c r="AD48" s="13"/>
    </row>
    <row r="49" ht="14.25">
      <c r="A49" s="301" t="s">
        <v>43</v>
      </c>
      <c r="B49" s="66"/>
      <c r="C49" s="273"/>
      <c r="D49" s="66"/>
      <c r="E49" s="273"/>
      <c r="F49" s="72"/>
      <c r="G49" s="251"/>
      <c r="H49" s="72"/>
      <c r="I49" s="251"/>
      <c r="J49" s="67"/>
      <c r="K49" s="261"/>
      <c r="L49" s="82"/>
      <c r="M49" s="302"/>
      <c r="N49" s="83"/>
      <c r="O49" s="112"/>
      <c r="P49" s="303">
        <f t="shared" si="50"/>
        <v>0</v>
      </c>
      <c r="Q49" s="304">
        <f t="shared" si="59"/>
        <v>168</v>
      </c>
      <c r="R49" s="305" t="s">
        <v>43</v>
      </c>
      <c r="S49" s="268" t="s">
        <v>12</v>
      </c>
      <c r="T49" s="72" t="s">
        <v>11</v>
      </c>
      <c r="U49" s="304">
        <f t="shared" si="52"/>
        <v>0</v>
      </c>
      <c r="V49" s="304">
        <f t="shared" si="53"/>
        <v>0</v>
      </c>
      <c r="W49" s="304"/>
      <c r="X49" s="306" t="s">
        <v>44</v>
      </c>
      <c r="Y49" s="80"/>
      <c r="Z49" s="80"/>
      <c r="AA49" s="80"/>
      <c r="AB49" s="13"/>
      <c r="AC49" s="13"/>
      <c r="AD49" s="13"/>
    </row>
    <row r="50" ht="14.25">
      <c r="A50" s="274" t="s">
        <v>45</v>
      </c>
      <c r="B50" s="122"/>
      <c r="C50" s="122"/>
      <c r="D50" s="311"/>
      <c r="E50" s="122"/>
      <c r="F50" s="311"/>
      <c r="G50" s="122"/>
      <c r="H50" s="311"/>
      <c r="I50" s="122"/>
      <c r="J50" s="311"/>
      <c r="K50" s="122"/>
      <c r="L50" s="311"/>
      <c r="M50" s="122"/>
      <c r="N50" s="311"/>
      <c r="O50" s="122"/>
      <c r="P50" s="228">
        <f t="shared" si="50"/>
        <v>0</v>
      </c>
      <c r="Q50" s="229">
        <f t="shared" si="59"/>
        <v>168</v>
      </c>
      <c r="R50" s="230" t="str">
        <f t="shared" si="51"/>
        <v>Пузырь</v>
      </c>
      <c r="S50" s="76" t="s">
        <v>10</v>
      </c>
      <c r="T50" s="77" t="s">
        <v>9</v>
      </c>
      <c r="U50" s="244">
        <f t="shared" si="52"/>
        <v>0</v>
      </c>
      <c r="V50" s="229">
        <f t="shared" si="53"/>
        <v>0</v>
      </c>
      <c r="W50" s="229"/>
      <c r="X50" s="308" t="s">
        <v>34</v>
      </c>
      <c r="Y50" s="7"/>
      <c r="Z50" s="7"/>
      <c r="AA50" s="7"/>
      <c r="AB50" s="13"/>
      <c r="AC50" s="13"/>
      <c r="AD50" s="13"/>
    </row>
    <row r="51" ht="14.25">
      <c r="A51" s="250" t="s">
        <v>46</v>
      </c>
      <c r="B51" s="83"/>
      <c r="C51" s="83"/>
      <c r="D51" s="77"/>
      <c r="E51" s="77"/>
      <c r="F51" s="66"/>
      <c r="G51" s="66"/>
      <c r="H51" s="66"/>
      <c r="I51" s="66"/>
      <c r="J51" s="71"/>
      <c r="K51" s="78"/>
      <c r="L51" s="71"/>
      <c r="M51" s="76"/>
      <c r="N51" s="67"/>
      <c r="O51" s="67"/>
      <c r="P51" s="218">
        <f t="shared" si="50"/>
        <v>0</v>
      </c>
      <c r="Q51" s="62">
        <f t="shared" si="59"/>
        <v>168</v>
      </c>
      <c r="R51" s="219" t="str">
        <f t="shared" si="51"/>
        <v>Голышев</v>
      </c>
      <c r="S51" s="76" t="s">
        <v>10</v>
      </c>
      <c r="T51" s="77" t="s">
        <v>9</v>
      </c>
      <c r="U51" s="73">
        <f t="shared" si="52"/>
        <v>0</v>
      </c>
      <c r="V51" s="62">
        <f t="shared" si="53"/>
        <v>0</v>
      </c>
      <c r="W51" s="62"/>
      <c r="X51" s="74" t="s">
        <v>34</v>
      </c>
      <c r="Y51" s="7"/>
      <c r="Z51" s="7"/>
      <c r="AA51" s="7"/>
      <c r="AB51" s="13"/>
      <c r="AC51" s="13"/>
      <c r="AD51" s="13"/>
    </row>
    <row r="52" ht="14.25">
      <c r="A52" s="250" t="s">
        <v>47</v>
      </c>
      <c r="B52" s="67"/>
      <c r="C52" s="67"/>
      <c r="D52" s="82"/>
      <c r="E52" s="82"/>
      <c r="F52" s="268"/>
      <c r="G52" s="78"/>
      <c r="H52" s="268"/>
      <c r="I52" s="78"/>
      <c r="J52" s="67"/>
      <c r="K52" s="67"/>
      <c r="L52" s="66"/>
      <c r="M52" s="66"/>
      <c r="N52" s="66"/>
      <c r="O52" s="66"/>
      <c r="P52" s="218">
        <f t="shared" si="50"/>
        <v>0</v>
      </c>
      <c r="Q52" s="62">
        <f t="shared" si="59"/>
        <v>168</v>
      </c>
      <c r="R52" s="219" t="str">
        <f t="shared" si="51"/>
        <v>Торубара</v>
      </c>
      <c r="S52" s="76" t="s">
        <v>10</v>
      </c>
      <c r="T52" s="77" t="s">
        <v>9</v>
      </c>
      <c r="U52" s="73">
        <f t="shared" si="52"/>
        <v>0</v>
      </c>
      <c r="V52" s="62">
        <f t="shared" si="53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25">
      <c r="A53" s="250" t="s">
        <v>48</v>
      </c>
      <c r="B53" s="196"/>
      <c r="C53" s="196"/>
      <c r="D53" s="196"/>
      <c r="E53" s="196"/>
      <c r="F53" s="120"/>
      <c r="G53" s="120"/>
      <c r="H53" s="196"/>
      <c r="I53" s="196"/>
      <c r="J53" s="196"/>
      <c r="K53" s="196"/>
      <c r="L53" s="196"/>
      <c r="M53" s="196"/>
      <c r="N53" s="196"/>
      <c r="O53" s="196"/>
      <c r="P53" s="218">
        <f t="shared" si="50"/>
        <v>0</v>
      </c>
      <c r="Q53" s="62">
        <f t="shared" si="59"/>
        <v>168</v>
      </c>
      <c r="R53" s="219" t="str">
        <f t="shared" si="51"/>
        <v>Стрыгин</v>
      </c>
      <c r="S53" s="71" t="s">
        <v>8</v>
      </c>
      <c r="T53" s="72" t="s">
        <v>7</v>
      </c>
      <c r="U53" s="73">
        <f t="shared" si="52"/>
        <v>0</v>
      </c>
      <c r="V53" s="62">
        <f t="shared" si="53"/>
        <v>0</v>
      </c>
      <c r="W53" s="62"/>
      <c r="X53" s="74" t="s">
        <v>49</v>
      </c>
      <c r="Y53" s="7"/>
      <c r="Z53" s="7"/>
      <c r="AA53" s="7"/>
      <c r="AB53" s="13"/>
      <c r="AC53" s="13"/>
      <c r="AD53" s="13"/>
    </row>
    <row r="54" ht="14.25">
      <c r="A54" s="250" t="s">
        <v>50</v>
      </c>
      <c r="B54" s="71"/>
      <c r="C54" s="78"/>
      <c r="D54" s="268"/>
      <c r="E54" s="76"/>
      <c r="F54" s="67"/>
      <c r="G54" s="67"/>
      <c r="H54" s="66"/>
      <c r="I54" s="66"/>
      <c r="J54" s="83"/>
      <c r="K54" s="83"/>
      <c r="L54" s="262"/>
      <c r="M54" s="83"/>
      <c r="N54" s="66"/>
      <c r="O54" s="66"/>
      <c r="P54" s="218">
        <f t="shared" si="50"/>
        <v>0</v>
      </c>
      <c r="Q54" s="62">
        <f t="shared" si="59"/>
        <v>168</v>
      </c>
      <c r="R54" s="219" t="str">
        <f t="shared" si="51"/>
        <v>Фрик</v>
      </c>
      <c r="S54" s="71" t="s">
        <v>12</v>
      </c>
      <c r="T54" s="72" t="s">
        <v>11</v>
      </c>
      <c r="U54" s="73">
        <f t="shared" si="52"/>
        <v>0</v>
      </c>
      <c r="V54" s="62">
        <f t="shared" si="53"/>
        <v>0</v>
      </c>
      <c r="W54" s="62"/>
      <c r="X54" s="74" t="s">
        <v>44</v>
      </c>
      <c r="Y54" s="7"/>
      <c r="Z54" s="7"/>
      <c r="AA54" s="7"/>
      <c r="AB54" s="13"/>
      <c r="AC54" s="13"/>
      <c r="AD54" s="13"/>
    </row>
    <row r="55" ht="14.25">
      <c r="A55" s="252" t="s">
        <v>51</v>
      </c>
      <c r="B55" s="67"/>
      <c r="C55" s="66"/>
      <c r="D55" s="67"/>
      <c r="E55" s="66"/>
      <c r="F55" s="268"/>
      <c r="G55" s="76"/>
      <c r="H55" s="268"/>
      <c r="I55" s="78"/>
      <c r="J55" s="66"/>
      <c r="K55" s="66"/>
      <c r="L55" s="66"/>
      <c r="M55" s="66"/>
      <c r="N55" s="268"/>
      <c r="O55" s="76"/>
      <c r="P55" s="218">
        <f t="shared" si="50"/>
        <v>0</v>
      </c>
      <c r="Q55" s="62">
        <f t="shared" si="59"/>
        <v>0</v>
      </c>
      <c r="R55" s="219" t="str">
        <f t="shared" si="51"/>
        <v>Истрашкин</v>
      </c>
      <c r="S55" s="71" t="s">
        <v>10</v>
      </c>
      <c r="T55" s="72" t="s">
        <v>9</v>
      </c>
      <c r="U55" s="73">
        <f t="shared" si="52"/>
        <v>0</v>
      </c>
      <c r="V55" s="62">
        <f t="shared" si="53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284"/>
      <c r="B56" s="53">
        <v>46244</v>
      </c>
      <c r="C56" s="53"/>
      <c r="D56" s="53">
        <v>46245</v>
      </c>
      <c r="E56" s="53"/>
      <c r="F56" s="53">
        <v>46246</v>
      </c>
      <c r="G56" s="53"/>
      <c r="H56" s="53">
        <v>46247</v>
      </c>
      <c r="I56" s="53"/>
      <c r="J56" s="53">
        <v>46248</v>
      </c>
      <c r="K56" s="53"/>
      <c r="L56" s="53">
        <v>46249</v>
      </c>
      <c r="M56" s="53"/>
      <c r="N56" s="53">
        <v>46250</v>
      </c>
      <c r="O56" s="54"/>
      <c r="P56" s="285"/>
      <c r="Q56" s="254"/>
      <c r="R56" s="207"/>
      <c r="S56" s="138"/>
      <c r="T56" s="138"/>
      <c r="U56" s="60" t="s">
        <v>27</v>
      </c>
      <c r="V56" s="61" t="s">
        <v>28</v>
      </c>
      <c r="W56" s="62" t="s">
        <v>29</v>
      </c>
      <c r="X56" s="7"/>
      <c r="Y56" s="7"/>
      <c r="Z56" s="7"/>
      <c r="AA56" s="7"/>
      <c r="AB56" s="13"/>
      <c r="AC56" s="13"/>
      <c r="AD56" s="13"/>
    </row>
    <row r="57" ht="14.25">
      <c r="A57" s="165"/>
      <c r="B57" s="312"/>
      <c r="C57" s="312"/>
      <c r="D57" s="312"/>
      <c r="E57" s="312"/>
      <c r="F57" s="312"/>
      <c r="G57" s="312"/>
      <c r="H57" s="312"/>
      <c r="I57" s="312"/>
      <c r="J57" s="312"/>
      <c r="K57" s="312"/>
      <c r="L57" s="312"/>
      <c r="M57" s="312"/>
      <c r="N57" s="312"/>
      <c r="O57" s="312"/>
      <c r="P57" s="165"/>
      <c r="Q57" s="165"/>
      <c r="R57" s="193"/>
      <c r="S57" s="127"/>
      <c r="T57" s="127"/>
      <c r="U57" s="127"/>
      <c r="V57" s="127"/>
      <c r="W57" s="128"/>
      <c r="X57" s="7"/>
      <c r="Y57" s="7"/>
      <c r="Z57" s="7"/>
      <c r="AA57" s="7"/>
      <c r="AB57" s="13"/>
      <c r="AC57" s="13"/>
      <c r="AD57" s="13"/>
    </row>
    <row r="58" ht="14.25">
      <c r="A58" s="248"/>
      <c r="B58" s="56" t="s">
        <v>17</v>
      </c>
      <c r="C58" s="116"/>
      <c r="D58" s="56" t="s">
        <v>18</v>
      </c>
      <c r="E58" s="116"/>
      <c r="F58" s="56" t="s">
        <v>19</v>
      </c>
      <c r="G58" s="56"/>
      <c r="H58" s="56" t="s">
        <v>20</v>
      </c>
      <c r="I58" s="116"/>
      <c r="J58" s="129" t="s">
        <v>21</v>
      </c>
      <c r="K58" s="129"/>
      <c r="L58" s="56" t="s">
        <v>22</v>
      </c>
      <c r="M58" s="56"/>
      <c r="N58" s="56" t="s">
        <v>23</v>
      </c>
      <c r="O58" s="56"/>
      <c r="P58" s="313" t="s">
        <v>24</v>
      </c>
      <c r="Q58" s="209"/>
      <c r="R58" s="143"/>
      <c r="S58" s="143"/>
      <c r="T58" s="143"/>
      <c r="U58" s="62"/>
      <c r="V58" s="62"/>
      <c r="W58" s="62"/>
      <c r="X58" s="51"/>
      <c r="Y58" s="7"/>
      <c r="Z58" s="7"/>
      <c r="AA58" s="7"/>
      <c r="AB58" s="13"/>
      <c r="AC58" s="13"/>
      <c r="AD58" s="13"/>
    </row>
    <row r="59" ht="14.25">
      <c r="A59" s="248"/>
      <c r="B59" s="53">
        <v>46251</v>
      </c>
      <c r="C59" s="53"/>
      <c r="D59" s="53">
        <v>46252</v>
      </c>
      <c r="E59" s="53"/>
      <c r="F59" s="53">
        <v>46253</v>
      </c>
      <c r="G59" s="53"/>
      <c r="H59" s="53">
        <v>46254</v>
      </c>
      <c r="I59" s="53"/>
      <c r="J59" s="53">
        <v>46255</v>
      </c>
      <c r="K59" s="53"/>
      <c r="L59" s="53">
        <v>46256</v>
      </c>
      <c r="M59" s="53"/>
      <c r="N59" s="53">
        <v>46257</v>
      </c>
      <c r="O59" s="54"/>
      <c r="P59" s="309" t="s">
        <v>25</v>
      </c>
      <c r="Q59" s="214" t="s">
        <v>26</v>
      </c>
      <c r="R59" s="249"/>
      <c r="S59" s="147"/>
      <c r="T59" s="147"/>
      <c r="U59" s="60" t="s">
        <v>27</v>
      </c>
      <c r="V59" s="61" t="s">
        <v>28</v>
      </c>
      <c r="W59" s="62" t="s">
        <v>29</v>
      </c>
      <c r="X59" s="63" t="s">
        <v>30</v>
      </c>
      <c r="Y59" s="7"/>
      <c r="Z59" s="7"/>
      <c r="AA59" s="7"/>
      <c r="AB59" s="13"/>
      <c r="AC59" s="13"/>
      <c r="AD59" s="13"/>
    </row>
    <row r="60" ht="14.25">
      <c r="A60" s="217" t="s">
        <v>35</v>
      </c>
      <c r="B60" s="65" t="s">
        <v>32</v>
      </c>
      <c r="C60" s="65" t="s">
        <v>33</v>
      </c>
      <c r="D60" s="65" t="s">
        <v>32</v>
      </c>
      <c r="E60" s="65" t="s">
        <v>33</v>
      </c>
      <c r="F60" s="65" t="s">
        <v>32</v>
      </c>
      <c r="G60" s="65" t="s">
        <v>33</v>
      </c>
      <c r="H60" s="65" t="s">
        <v>32</v>
      </c>
      <c r="I60" s="65" t="s">
        <v>33</v>
      </c>
      <c r="J60" s="65" t="s">
        <v>32</v>
      </c>
      <c r="K60" s="65" t="s">
        <v>33</v>
      </c>
      <c r="L60" s="66"/>
      <c r="M60" s="66"/>
      <c r="N60" s="66"/>
      <c r="O60" s="66"/>
      <c r="P60" s="218">
        <f t="shared" si="50"/>
        <v>40</v>
      </c>
      <c r="Q60" s="62">
        <f t="shared" si="59"/>
        <v>8</v>
      </c>
      <c r="R60" s="219" t="str">
        <f t="shared" si="51"/>
        <v>Рычков</v>
      </c>
      <c r="S60" s="76" t="s">
        <v>10</v>
      </c>
      <c r="T60" s="77" t="s">
        <v>9</v>
      </c>
      <c r="U60" s="73">
        <f t="shared" si="52"/>
        <v>0</v>
      </c>
      <c r="V60" s="62">
        <f t="shared" si="53"/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203" t="s">
        <v>39</v>
      </c>
      <c r="B61" s="65" t="s">
        <v>32</v>
      </c>
      <c r="C61" s="65" t="s">
        <v>33</v>
      </c>
      <c r="D61" s="65" t="s">
        <v>32</v>
      </c>
      <c r="E61" s="65" t="s">
        <v>33</v>
      </c>
      <c r="F61" s="65" t="s">
        <v>32</v>
      </c>
      <c r="G61" s="65" t="s">
        <v>33</v>
      </c>
      <c r="H61" s="65" t="s">
        <v>32</v>
      </c>
      <c r="I61" s="65" t="s">
        <v>33</v>
      </c>
      <c r="J61" s="65" t="s">
        <v>32</v>
      </c>
      <c r="K61" s="65" t="s">
        <v>33</v>
      </c>
      <c r="L61" s="66"/>
      <c r="M61" s="66"/>
      <c r="N61" s="66"/>
      <c r="O61" s="66"/>
      <c r="P61" s="218">
        <f t="shared" si="50"/>
        <v>40</v>
      </c>
      <c r="Q61" s="62">
        <f t="shared" si="59"/>
        <v>8</v>
      </c>
      <c r="R61" s="219" t="str">
        <f t="shared" si="51"/>
        <v>Игумнов</v>
      </c>
      <c r="S61" s="76" t="s">
        <v>10</v>
      </c>
      <c r="T61" s="77" t="s">
        <v>9</v>
      </c>
      <c r="U61" s="73">
        <f t="shared" si="52"/>
        <v>0</v>
      </c>
      <c r="V61" s="62">
        <f t="shared" si="53"/>
        <v>0</v>
      </c>
      <c r="W61" s="62"/>
      <c r="X61" s="79" t="s">
        <v>34</v>
      </c>
      <c r="Y61" s="7"/>
      <c r="Z61" s="7"/>
      <c r="AA61" s="7"/>
      <c r="AB61" s="13"/>
      <c r="AC61" s="13"/>
      <c r="AD61" s="13"/>
    </row>
    <row r="62" ht="14.25">
      <c r="A62" s="203" t="s">
        <v>40</v>
      </c>
      <c r="B62" s="65" t="s">
        <v>32</v>
      </c>
      <c r="C62" s="65" t="s">
        <v>33</v>
      </c>
      <c r="D62" s="65" t="s">
        <v>32</v>
      </c>
      <c r="E62" s="65" t="s">
        <v>33</v>
      </c>
      <c r="F62" s="65" t="s">
        <v>32</v>
      </c>
      <c r="G62" s="65" t="s">
        <v>33</v>
      </c>
      <c r="H62" s="65" t="s">
        <v>32</v>
      </c>
      <c r="I62" s="65" t="s">
        <v>33</v>
      </c>
      <c r="J62" s="65" t="s">
        <v>32</v>
      </c>
      <c r="K62" s="65" t="s">
        <v>33</v>
      </c>
      <c r="L62" s="66"/>
      <c r="M62" s="66"/>
      <c r="N62" s="66"/>
      <c r="O62" s="66"/>
      <c r="P62" s="218">
        <f t="shared" si="50"/>
        <v>40</v>
      </c>
      <c r="Q62" s="62">
        <f t="shared" si="59"/>
        <v>8</v>
      </c>
      <c r="R62" s="219" t="str">
        <f t="shared" si="51"/>
        <v>Душин</v>
      </c>
      <c r="S62" s="76" t="s">
        <v>10</v>
      </c>
      <c r="T62" s="77" t="s">
        <v>9</v>
      </c>
      <c r="U62" s="73">
        <f t="shared" si="52"/>
        <v>0</v>
      </c>
      <c r="V62" s="62">
        <f>COUNTIF(U62,C62)+COUNTIF(U62,E62)+COUNTIF(U62,G62)+COUNTIF(U62,I62)+COUNTIF(U62,K62)+COUNTIF(U62,M62)+COUNTIF(U62,O62)</f>
        <v>2</v>
      </c>
      <c r="W62" s="62"/>
      <c r="X62" s="74" t="s">
        <v>38</v>
      </c>
      <c r="Y62" s="7"/>
      <c r="Z62" s="7"/>
      <c r="AA62" s="7"/>
      <c r="AB62" s="13"/>
      <c r="AC62" s="13"/>
      <c r="AD62" s="13"/>
    </row>
    <row r="63" ht="14.25">
      <c r="A63" s="271" t="s">
        <v>42</v>
      </c>
      <c r="B63" s="65" t="s">
        <v>54</v>
      </c>
      <c r="C63" s="65" t="s">
        <v>33</v>
      </c>
      <c r="D63" s="65" t="s">
        <v>54</v>
      </c>
      <c r="E63" s="65" t="s">
        <v>33</v>
      </c>
      <c r="F63" s="65" t="s">
        <v>54</v>
      </c>
      <c r="G63" s="65" t="s">
        <v>33</v>
      </c>
      <c r="H63" s="65" t="s">
        <v>54</v>
      </c>
      <c r="I63" s="65" t="s">
        <v>33</v>
      </c>
      <c r="J63" s="65" t="s">
        <v>54</v>
      </c>
      <c r="K63" s="65" t="s">
        <v>33</v>
      </c>
      <c r="L63" s="66"/>
      <c r="M63" s="66"/>
      <c r="N63" s="66"/>
      <c r="O63" s="66"/>
      <c r="P63" s="220">
        <f t="shared" si="50"/>
        <v>40</v>
      </c>
      <c r="Q63" s="221">
        <f t="shared" si="59"/>
        <v>8</v>
      </c>
      <c r="R63" s="222" t="str">
        <f t="shared" si="51"/>
        <v>Юращик</v>
      </c>
      <c r="S63" s="76" t="s">
        <v>10</v>
      </c>
      <c r="T63" s="77" t="s">
        <v>9</v>
      </c>
      <c r="U63" s="240"/>
      <c r="V63" s="221"/>
      <c r="W63" s="221"/>
      <c r="X63" s="299" t="s">
        <v>38</v>
      </c>
      <c r="Y63" s="7"/>
      <c r="Z63" s="7"/>
      <c r="AA63" s="7"/>
      <c r="AB63" s="13"/>
      <c r="AC63" s="13"/>
      <c r="AD63" s="13"/>
    </row>
    <row r="64" ht="14.25">
      <c r="A64" s="203" t="s">
        <v>31</v>
      </c>
      <c r="B64" s="122"/>
      <c r="C64" s="122"/>
      <c r="D64" s="310"/>
      <c r="E64" s="122"/>
      <c r="F64" s="310"/>
      <c r="G64" s="122"/>
      <c r="H64" s="310"/>
      <c r="I64" s="122"/>
      <c r="J64" s="310"/>
      <c r="K64" s="122"/>
      <c r="L64" s="310"/>
      <c r="M64" s="122"/>
      <c r="N64" s="310"/>
      <c r="O64" s="122"/>
      <c r="P64" s="218">
        <f t="shared" si="50"/>
        <v>0</v>
      </c>
      <c r="Q64" s="62">
        <f t="shared" si="59"/>
        <v>128</v>
      </c>
      <c r="R64" s="219" t="str">
        <f t="shared" si="51"/>
        <v>Нетронин</v>
      </c>
      <c r="S64" s="76" t="s">
        <v>10</v>
      </c>
      <c r="T64" s="300" t="s">
        <v>9</v>
      </c>
      <c r="U64" s="73">
        <f t="shared" si="52"/>
        <v>0</v>
      </c>
      <c r="V64" s="62">
        <f t="shared" ref="V64:V86" si="60">COUNTIF(S64,B64)+COUNTIF(S64,D64)+COUNTIF(S64,F64)+COUNTIF(S64,H64)+COUNTIF(S64,J64)+COUNTIF(S64,L64)+COUNTIF(S64,N64)</f>
        <v>0</v>
      </c>
      <c r="W64" s="62"/>
      <c r="X64" s="74" t="s">
        <v>38</v>
      </c>
      <c r="Y64" s="7"/>
      <c r="Z64" s="7"/>
      <c r="AA64" s="7"/>
      <c r="AB64" s="13"/>
      <c r="AC64" s="13"/>
      <c r="AD64" s="13"/>
    </row>
    <row r="65" ht="14.4">
      <c r="A65" s="301" t="s">
        <v>43</v>
      </c>
      <c r="B65" s="72"/>
      <c r="C65" s="112"/>
      <c r="D65" s="66"/>
      <c r="E65" s="273"/>
      <c r="F65" s="82"/>
      <c r="G65" s="302"/>
      <c r="H65" s="72"/>
      <c r="I65" s="307"/>
      <c r="J65" s="72"/>
      <c r="K65" s="112"/>
      <c r="L65" s="67"/>
      <c r="M65" s="273"/>
      <c r="N65" s="66"/>
      <c r="O65" s="273"/>
      <c r="P65" s="303">
        <f t="shared" si="50"/>
        <v>0</v>
      </c>
      <c r="Q65" s="304">
        <f t="shared" si="59"/>
        <v>168</v>
      </c>
      <c r="R65" s="305" t="s">
        <v>43</v>
      </c>
      <c r="S65" s="268" t="s">
        <v>12</v>
      </c>
      <c r="T65" s="72" t="s">
        <v>11</v>
      </c>
      <c r="U65" s="304">
        <f t="shared" si="52"/>
        <v>0</v>
      </c>
      <c r="V65" s="304">
        <f t="shared" si="60"/>
        <v>0</v>
      </c>
      <c r="W65" s="304"/>
      <c r="X65" s="306" t="s">
        <v>44</v>
      </c>
      <c r="Y65" s="80"/>
      <c r="Z65" s="80"/>
      <c r="AA65" s="80"/>
      <c r="AB65" s="13"/>
      <c r="AC65" s="13"/>
      <c r="AD65" s="13"/>
    </row>
    <row r="66" ht="14.4">
      <c r="A66" s="204" t="s">
        <v>45</v>
      </c>
      <c r="B66" s="122"/>
      <c r="C66" s="122"/>
      <c r="D66" s="122"/>
      <c r="E66" s="122"/>
      <c r="F66" s="132"/>
      <c r="G66" s="132"/>
      <c r="H66" s="196"/>
      <c r="I66" s="196"/>
      <c r="J66" s="183"/>
      <c r="K66" s="120"/>
      <c r="L66" s="195"/>
      <c r="M66" s="66"/>
      <c r="N66" s="66"/>
      <c r="O66" s="66"/>
      <c r="P66" s="228">
        <f t="shared" si="50"/>
        <v>0</v>
      </c>
      <c r="Q66" s="229">
        <f t="shared" si="59"/>
        <v>168</v>
      </c>
      <c r="R66" s="230" t="str">
        <f t="shared" si="51"/>
        <v>Пузырь</v>
      </c>
      <c r="S66" s="76" t="s">
        <v>10</v>
      </c>
      <c r="T66" s="77" t="s">
        <v>9</v>
      </c>
      <c r="U66" s="244">
        <f t="shared" si="52"/>
        <v>0</v>
      </c>
      <c r="V66" s="229">
        <f t="shared" si="60"/>
        <v>0</v>
      </c>
      <c r="W66" s="229"/>
      <c r="X66" s="308" t="s">
        <v>34</v>
      </c>
      <c r="Y66" s="7"/>
      <c r="Z66" s="7"/>
      <c r="AA66" s="7"/>
      <c r="AB66" s="13"/>
      <c r="AC66" s="13"/>
      <c r="AD66" s="13"/>
    </row>
    <row r="67" ht="14.4">
      <c r="A67" s="205" t="s">
        <v>46</v>
      </c>
      <c r="B67" s="67"/>
      <c r="C67" s="67"/>
      <c r="D67" s="77"/>
      <c r="E67" s="251"/>
      <c r="F67" s="77"/>
      <c r="G67" s="77"/>
      <c r="H67" s="66"/>
      <c r="I67" s="66"/>
      <c r="J67" s="66"/>
      <c r="K67" s="66"/>
      <c r="L67" s="268"/>
      <c r="M67" s="76"/>
      <c r="N67" s="268"/>
      <c r="O67" s="76"/>
      <c r="P67" s="218">
        <f t="shared" si="50"/>
        <v>0</v>
      </c>
      <c r="Q67" s="62">
        <f t="shared" si="59"/>
        <v>168</v>
      </c>
      <c r="R67" s="219" t="str">
        <f t="shared" si="51"/>
        <v>Голышев</v>
      </c>
      <c r="S67" s="76" t="s">
        <v>10</v>
      </c>
      <c r="T67" s="77" t="s">
        <v>9</v>
      </c>
      <c r="U67" s="73">
        <f t="shared" si="52"/>
        <v>0</v>
      </c>
      <c r="V67" s="62">
        <f t="shared" si="60"/>
        <v>0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 ht="14.4">
      <c r="A68" s="205" t="s">
        <v>47</v>
      </c>
      <c r="B68" s="87"/>
      <c r="C68" s="87"/>
      <c r="D68" s="268"/>
      <c r="E68" s="78"/>
      <c r="F68" s="82"/>
      <c r="G68" s="82"/>
      <c r="H68" s="268"/>
      <c r="I68" s="78"/>
      <c r="J68" s="268"/>
      <c r="K68" s="243"/>
      <c r="L68" s="67"/>
      <c r="M68" s="66"/>
      <c r="N68" s="67"/>
      <c r="O68" s="66"/>
      <c r="P68" s="218">
        <f t="shared" si="50"/>
        <v>0</v>
      </c>
      <c r="Q68" s="62">
        <f t="shared" si="59"/>
        <v>168</v>
      </c>
      <c r="R68" s="219" t="str">
        <f t="shared" si="51"/>
        <v>Торубара</v>
      </c>
      <c r="S68" s="76" t="s">
        <v>10</v>
      </c>
      <c r="T68" s="77" t="s">
        <v>9</v>
      </c>
      <c r="U68" s="73">
        <f t="shared" si="52"/>
        <v>0</v>
      </c>
      <c r="V68" s="62">
        <f t="shared" si="60"/>
        <v>0</v>
      </c>
      <c r="W68" s="62"/>
      <c r="X68" s="74" t="s">
        <v>34</v>
      </c>
      <c r="Y68" s="7"/>
      <c r="Z68" s="7"/>
      <c r="AA68" s="7"/>
      <c r="AB68" s="13"/>
      <c r="AC68" s="13"/>
      <c r="AD68" s="13"/>
    </row>
    <row r="69" ht="14.4">
      <c r="A69" s="205" t="s">
        <v>48</v>
      </c>
      <c r="B69" s="71"/>
      <c r="C69" s="78"/>
      <c r="D69" s="82"/>
      <c r="E69" s="82"/>
      <c r="F69" s="66"/>
      <c r="G69" s="66"/>
      <c r="H69" s="66"/>
      <c r="I69" s="66"/>
      <c r="J69" s="87"/>
      <c r="K69" s="87"/>
      <c r="L69" s="262"/>
      <c r="M69" s="83"/>
      <c r="N69" s="66"/>
      <c r="O69" s="66"/>
      <c r="P69" s="218">
        <f t="shared" si="50"/>
        <v>0</v>
      </c>
      <c r="Q69" s="62">
        <f t="shared" si="59"/>
        <v>168</v>
      </c>
      <c r="R69" s="219" t="str">
        <f t="shared" si="51"/>
        <v>Стрыгин</v>
      </c>
      <c r="S69" s="71" t="s">
        <v>8</v>
      </c>
      <c r="T69" s="72" t="s">
        <v>7</v>
      </c>
      <c r="U69" s="73">
        <f t="shared" si="52"/>
        <v>0</v>
      </c>
      <c r="V69" s="62">
        <f t="shared" si="60"/>
        <v>0</v>
      </c>
      <c r="W69" s="62"/>
      <c r="X69" s="74" t="s">
        <v>49</v>
      </c>
      <c r="Y69" s="7"/>
      <c r="Z69" s="7"/>
      <c r="AA69" s="7"/>
      <c r="AB69" s="13"/>
      <c r="AC69" s="13"/>
      <c r="AD69" s="13"/>
    </row>
    <row r="70" ht="14.4">
      <c r="A70" s="205" t="s">
        <v>50</v>
      </c>
      <c r="B70" s="196"/>
      <c r="C70" s="196"/>
      <c r="D70" s="120"/>
      <c r="E70" s="120"/>
      <c r="F70" s="183"/>
      <c r="G70" s="183"/>
      <c r="H70" s="183"/>
      <c r="I70" s="183"/>
      <c r="J70" s="196"/>
      <c r="K70" s="196"/>
      <c r="L70" s="196"/>
      <c r="M70" s="196"/>
      <c r="N70" s="120"/>
      <c r="O70" s="120"/>
      <c r="P70" s="218">
        <f t="shared" si="50"/>
        <v>0</v>
      </c>
      <c r="Q70" s="62">
        <f t="shared" si="59"/>
        <v>168</v>
      </c>
      <c r="R70" s="219" t="str">
        <f t="shared" si="51"/>
        <v>Фрик</v>
      </c>
      <c r="S70" s="71" t="s">
        <v>12</v>
      </c>
      <c r="T70" s="72" t="s">
        <v>11</v>
      </c>
      <c r="U70" s="73">
        <f t="shared" si="52"/>
        <v>0</v>
      </c>
      <c r="V70" s="62">
        <f t="shared" si="60"/>
        <v>0</v>
      </c>
      <c r="W70" s="62"/>
      <c r="X70" s="74" t="s">
        <v>44</v>
      </c>
      <c r="Y70" s="7"/>
      <c r="Z70" s="7"/>
      <c r="AA70" s="7"/>
      <c r="AB70" s="13"/>
      <c r="AC70" s="13"/>
      <c r="AD70" s="13"/>
    </row>
    <row r="71" ht="14.4">
      <c r="A71" s="206" t="s">
        <v>51</v>
      </c>
      <c r="B71" s="66"/>
      <c r="C71" s="66"/>
      <c r="D71" s="67"/>
      <c r="E71" s="66"/>
      <c r="F71" s="268"/>
      <c r="G71" s="78"/>
      <c r="H71" s="87"/>
      <c r="I71" s="87"/>
      <c r="J71" s="87"/>
      <c r="K71" s="87"/>
      <c r="L71" s="66"/>
      <c r="M71" s="66"/>
      <c r="N71" s="292"/>
      <c r="O71" s="112"/>
      <c r="P71" s="218">
        <f t="shared" si="50"/>
        <v>0</v>
      </c>
      <c r="Q71" s="62">
        <f t="shared" si="59"/>
        <v>0</v>
      </c>
      <c r="R71" s="219" t="str">
        <f t="shared" si="51"/>
        <v>Истрашкин</v>
      </c>
      <c r="S71" s="71" t="s">
        <v>10</v>
      </c>
      <c r="T71" s="72" t="s">
        <v>9</v>
      </c>
      <c r="U71" s="73">
        <f>COUNTIF(T71,B71)+COUNTIF(T71,D71)+COUNTIF(T71,#REF!)+COUNTIF(T71,H71)+COUNTIF(T71,F71)+COUNTIF(T71,L71)+COUNTIF(T71,#REF!)</f>
        <v>0</v>
      </c>
      <c r="V71" s="62">
        <f>COUNTIF(S71,B71)+COUNTIF(S71,D71)+COUNTIF(S71,#REF!)+COUNTIF(S71,H71)+COUNTIF(S71,F71)+COUNTIF(S71,L71)+COUNTIF(S71,#REF!)</f>
        <v>0</v>
      </c>
      <c r="W71" s="62"/>
      <c r="X71" s="74" t="s">
        <v>34</v>
      </c>
      <c r="Y71" s="7"/>
      <c r="Z71" s="7"/>
      <c r="AA71" s="7"/>
      <c r="AB71" s="13"/>
      <c r="AC71" s="13"/>
      <c r="AD71" s="13"/>
    </row>
    <row r="72" ht="14.4">
      <c r="A72" s="284"/>
      <c r="B72" s="53">
        <v>46251</v>
      </c>
      <c r="C72" s="53"/>
      <c r="D72" s="53">
        <v>46252</v>
      </c>
      <c r="E72" s="53"/>
      <c r="F72" s="53">
        <v>46253</v>
      </c>
      <c r="G72" s="53"/>
      <c r="H72" s="53">
        <v>46254</v>
      </c>
      <c r="I72" s="53"/>
      <c r="J72" s="53">
        <v>46255</v>
      </c>
      <c r="K72" s="53"/>
      <c r="L72" s="53">
        <v>46256</v>
      </c>
      <c r="M72" s="53"/>
      <c r="N72" s="53">
        <v>46257</v>
      </c>
      <c r="O72" s="54"/>
      <c r="P72" s="285"/>
      <c r="Q72" s="254"/>
      <c r="R72" s="207"/>
      <c r="S72" s="138"/>
      <c r="T72" s="138"/>
      <c r="U72" s="60" t="s">
        <v>27</v>
      </c>
      <c r="V72" s="61" t="s">
        <v>28</v>
      </c>
      <c r="W72" s="62" t="s">
        <v>29</v>
      </c>
      <c r="X72" s="7"/>
      <c r="Y72" s="7"/>
      <c r="Z72" s="7"/>
      <c r="AA72" s="7"/>
      <c r="AB72" s="13"/>
      <c r="AC72" s="13"/>
      <c r="AD72" s="13"/>
    </row>
    <row r="73" ht="14.4">
      <c r="A73" s="139"/>
      <c r="B73" s="314"/>
      <c r="C73" s="314"/>
      <c r="D73" s="314"/>
      <c r="E73" s="314"/>
      <c r="F73" s="314"/>
      <c r="G73" s="314"/>
      <c r="H73" s="314"/>
      <c r="I73" s="314"/>
      <c r="J73" s="314"/>
      <c r="K73" s="314"/>
      <c r="L73" s="314"/>
      <c r="M73" s="314"/>
      <c r="N73" s="314"/>
      <c r="O73" s="314"/>
      <c r="P73" s="139"/>
      <c r="Q73" s="127"/>
      <c r="R73" s="139"/>
      <c r="S73" s="139"/>
      <c r="T73" s="139"/>
      <c r="U73" s="127"/>
      <c r="V73" s="127"/>
      <c r="W73" s="128"/>
      <c r="X73" s="7"/>
      <c r="Y73" s="7"/>
      <c r="Z73" s="7"/>
      <c r="AA73" s="7"/>
      <c r="AB73" s="13"/>
      <c r="AC73" s="13"/>
      <c r="AD73" s="13"/>
    </row>
    <row r="74" ht="14.4">
      <c r="A74" s="248"/>
      <c r="B74" s="56" t="s">
        <v>17</v>
      </c>
      <c r="C74" s="116"/>
      <c r="D74" s="56" t="s">
        <v>18</v>
      </c>
      <c r="E74" s="116"/>
      <c r="F74" s="56" t="s">
        <v>19</v>
      </c>
      <c r="G74" s="56"/>
      <c r="H74" s="56" t="s">
        <v>20</v>
      </c>
      <c r="I74" s="116"/>
      <c r="J74" s="129" t="s">
        <v>21</v>
      </c>
      <c r="K74" s="129"/>
      <c r="L74" s="56" t="s">
        <v>22</v>
      </c>
      <c r="M74" s="56"/>
      <c r="N74" s="56" t="s">
        <v>23</v>
      </c>
      <c r="O74" s="56"/>
      <c r="P74" s="313" t="s">
        <v>24</v>
      </c>
      <c r="Q74" s="209"/>
      <c r="R74" s="143"/>
      <c r="S74" s="143"/>
      <c r="T74" s="143"/>
      <c r="U74" s="62"/>
      <c r="V74" s="62"/>
      <c r="W74" s="62"/>
      <c r="X74" s="51"/>
      <c r="Y74" s="7"/>
      <c r="Z74" s="7"/>
      <c r="AA74" s="7"/>
      <c r="AB74" s="13"/>
      <c r="AC74" s="13"/>
      <c r="AD74" s="13"/>
    </row>
    <row r="75" ht="14.4">
      <c r="A75" s="248"/>
      <c r="B75" s="53">
        <v>46258</v>
      </c>
      <c r="C75" s="53"/>
      <c r="D75" s="53">
        <v>46259</v>
      </c>
      <c r="E75" s="53"/>
      <c r="F75" s="53">
        <v>46260</v>
      </c>
      <c r="G75" s="53"/>
      <c r="H75" s="53">
        <v>46261</v>
      </c>
      <c r="I75" s="53"/>
      <c r="J75" s="53">
        <v>46262</v>
      </c>
      <c r="K75" s="53"/>
      <c r="L75" s="53">
        <v>46263</v>
      </c>
      <c r="M75" s="53"/>
      <c r="N75" s="53">
        <v>46264</v>
      </c>
      <c r="O75" s="54"/>
      <c r="P75" s="309" t="s">
        <v>25</v>
      </c>
      <c r="Q75" s="214" t="s">
        <v>26</v>
      </c>
      <c r="R75" s="249"/>
      <c r="S75" s="147"/>
      <c r="T75" s="147"/>
      <c r="U75" s="60" t="s">
        <v>27</v>
      </c>
      <c r="V75" s="61" t="s">
        <v>28</v>
      </c>
      <c r="W75" s="62" t="s">
        <v>29</v>
      </c>
      <c r="X75" s="63" t="s">
        <v>30</v>
      </c>
      <c r="Y75" s="7"/>
      <c r="Z75" s="7"/>
      <c r="AA75" s="7"/>
      <c r="AB75" s="13"/>
      <c r="AC75" s="13"/>
      <c r="AD75" s="13"/>
    </row>
    <row r="76" ht="14.4">
      <c r="A76" s="203" t="s">
        <v>35</v>
      </c>
      <c r="B76" s="65" t="s">
        <v>32</v>
      </c>
      <c r="C76" s="65" t="s">
        <v>33</v>
      </c>
      <c r="D76" s="65" t="s">
        <v>32</v>
      </c>
      <c r="E76" s="65" t="s">
        <v>33</v>
      </c>
      <c r="F76" s="65" t="s">
        <v>32</v>
      </c>
      <c r="G76" s="65" t="s">
        <v>33</v>
      </c>
      <c r="H76" s="65" t="s">
        <v>32</v>
      </c>
      <c r="I76" s="65" t="s">
        <v>33</v>
      </c>
      <c r="J76" s="65" t="s">
        <v>32</v>
      </c>
      <c r="K76" s="65" t="s">
        <v>33</v>
      </c>
      <c r="L76" s="66"/>
      <c r="M76" s="66"/>
      <c r="N76" s="66"/>
      <c r="O76" s="66"/>
      <c r="P76" s="218">
        <f t="shared" ref="P76:P86" si="61">C76+E76+G76+I76+K76+M76+O76</f>
        <v>40</v>
      </c>
      <c r="Q76" s="62">
        <f t="shared" si="59"/>
        <v>-32</v>
      </c>
      <c r="R76" s="219" t="str">
        <f t="shared" ref="R76:R103" si="62">A76</f>
        <v>Рычков</v>
      </c>
      <c r="S76" s="76" t="s">
        <v>10</v>
      </c>
      <c r="T76" s="77" t="s">
        <v>9</v>
      </c>
      <c r="U76" s="73">
        <f t="shared" ref="U76:U86" si="63">COUNTIF(T76,B76)+COUNTIF(T76,D76)+COUNTIF(T76,F76)+COUNTIF(T76,H76)+COUNTIF(T76,J76)+COUNTIF(T76,L76)+COUNTIF(T76,N76)</f>
        <v>0</v>
      </c>
      <c r="V76" s="62">
        <f t="shared" si="60"/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ht="14.4">
      <c r="A77" s="203" t="s">
        <v>39</v>
      </c>
      <c r="B77" s="122"/>
      <c r="C77" s="122" t="s">
        <v>33</v>
      </c>
      <c r="D77" s="122"/>
      <c r="E77" s="122" t="s">
        <v>33</v>
      </c>
      <c r="F77" s="122"/>
      <c r="G77" s="122" t="s">
        <v>33</v>
      </c>
      <c r="H77" s="122"/>
      <c r="I77" s="122" t="s">
        <v>33</v>
      </c>
      <c r="J77" s="122"/>
      <c r="K77" s="122" t="s">
        <v>33</v>
      </c>
      <c r="L77" s="122"/>
      <c r="M77" s="122"/>
      <c r="N77" s="122"/>
      <c r="O77" s="122"/>
      <c r="P77" s="218">
        <f t="shared" si="61"/>
        <v>40</v>
      </c>
      <c r="Q77" s="62">
        <f t="shared" si="59"/>
        <v>-32</v>
      </c>
      <c r="R77" s="219" t="str">
        <f t="shared" si="62"/>
        <v>Игумнов</v>
      </c>
      <c r="S77" s="76" t="s">
        <v>10</v>
      </c>
      <c r="T77" s="77" t="s">
        <v>9</v>
      </c>
      <c r="U77" s="73">
        <f t="shared" si="63"/>
        <v>0</v>
      </c>
      <c r="V77" s="62">
        <f t="shared" si="60"/>
        <v>0</v>
      </c>
      <c r="W77" s="62"/>
      <c r="X77" s="79" t="s">
        <v>34</v>
      </c>
      <c r="Y77" s="7"/>
      <c r="Z77" s="7"/>
      <c r="AA77" s="7"/>
      <c r="AB77" s="13"/>
      <c r="AC77" s="13"/>
      <c r="AD77" s="13"/>
    </row>
    <row r="78" ht="14.4">
      <c r="A78" s="203" t="s">
        <v>40</v>
      </c>
      <c r="B78" s="65" t="s">
        <v>32</v>
      </c>
      <c r="C78" s="65" t="s">
        <v>33</v>
      </c>
      <c r="D78" s="65" t="s">
        <v>32</v>
      </c>
      <c r="E78" s="65" t="s">
        <v>33</v>
      </c>
      <c r="F78" s="65" t="s">
        <v>32</v>
      </c>
      <c r="G78" s="65" t="s">
        <v>33</v>
      </c>
      <c r="H78" s="65" t="s">
        <v>32</v>
      </c>
      <c r="I78" s="65" t="s">
        <v>33</v>
      </c>
      <c r="J78" s="65" t="s">
        <v>32</v>
      </c>
      <c r="K78" s="65" t="s">
        <v>33</v>
      </c>
      <c r="L78" s="66"/>
      <c r="M78" s="66"/>
      <c r="N78" s="66"/>
      <c r="O78" s="66"/>
      <c r="P78" s="218">
        <f t="shared" si="61"/>
        <v>40</v>
      </c>
      <c r="Q78" s="62">
        <f t="shared" si="59"/>
        <v>-32</v>
      </c>
      <c r="R78" s="219" t="str">
        <f t="shared" si="62"/>
        <v>Душин</v>
      </c>
      <c r="S78" s="76" t="s">
        <v>10</v>
      </c>
      <c r="T78" s="77" t="s">
        <v>9</v>
      </c>
      <c r="U78" s="73">
        <f t="shared" si="63"/>
        <v>0</v>
      </c>
      <c r="V78" s="62">
        <f t="shared" si="60"/>
        <v>0</v>
      </c>
      <c r="W78" s="62"/>
      <c r="X78" s="74" t="s">
        <v>38</v>
      </c>
      <c r="Y78" s="7"/>
      <c r="Z78" s="7"/>
      <c r="AA78" s="7"/>
      <c r="AB78" s="13"/>
      <c r="AC78" s="13"/>
      <c r="AD78" s="13"/>
    </row>
    <row r="79" ht="14.4">
      <c r="A79" s="271" t="s">
        <v>42</v>
      </c>
      <c r="B79" s="65" t="s">
        <v>54</v>
      </c>
      <c r="C79" s="65" t="s">
        <v>33</v>
      </c>
      <c r="D79" s="65" t="s">
        <v>54</v>
      </c>
      <c r="E79" s="65" t="s">
        <v>33</v>
      </c>
      <c r="F79" s="65" t="s">
        <v>54</v>
      </c>
      <c r="G79" s="65" t="s">
        <v>33</v>
      </c>
      <c r="H79" s="65" t="s">
        <v>54</v>
      </c>
      <c r="I79" s="65" t="s">
        <v>33</v>
      </c>
      <c r="J79" s="65" t="s">
        <v>54</v>
      </c>
      <c r="K79" s="65" t="s">
        <v>33</v>
      </c>
      <c r="L79" s="66"/>
      <c r="M79" s="66"/>
      <c r="N79" s="66"/>
      <c r="O79" s="66"/>
      <c r="P79" s="220">
        <f t="shared" si="61"/>
        <v>40</v>
      </c>
      <c r="Q79" s="221">
        <f t="shared" si="59"/>
        <v>-32</v>
      </c>
      <c r="R79" s="222" t="str">
        <f t="shared" si="62"/>
        <v>Юращик</v>
      </c>
      <c r="S79" s="76" t="s">
        <v>10</v>
      </c>
      <c r="T79" s="77" t="s">
        <v>9</v>
      </c>
      <c r="U79" s="240"/>
      <c r="V79" s="221"/>
      <c r="W79" s="221"/>
      <c r="X79" s="299" t="s">
        <v>38</v>
      </c>
      <c r="Y79" s="7"/>
      <c r="Z79" s="7"/>
      <c r="AA79" s="7"/>
      <c r="AB79" s="13"/>
      <c r="AC79" s="13"/>
      <c r="AD79" s="13"/>
    </row>
    <row r="80" ht="14.4">
      <c r="A80" s="203" t="s">
        <v>31</v>
      </c>
      <c r="B80" s="148" t="s">
        <v>32</v>
      </c>
      <c r="C80" s="148" t="s">
        <v>33</v>
      </c>
      <c r="D80" s="148" t="s">
        <v>32</v>
      </c>
      <c r="E80" s="148" t="s">
        <v>33</v>
      </c>
      <c r="F80" s="148" t="s">
        <v>32</v>
      </c>
      <c r="G80" s="148" t="s">
        <v>33</v>
      </c>
      <c r="H80" s="148" t="s">
        <v>32</v>
      </c>
      <c r="I80" s="148" t="s">
        <v>33</v>
      </c>
      <c r="J80" s="148" t="s">
        <v>32</v>
      </c>
      <c r="K80" s="148" t="s">
        <v>33</v>
      </c>
      <c r="L80" s="315"/>
      <c r="M80" s="108"/>
      <c r="N80" s="108"/>
      <c r="O80" s="108"/>
      <c r="P80" s="218">
        <f t="shared" si="61"/>
        <v>40</v>
      </c>
      <c r="Q80" s="62">
        <f t="shared" si="59"/>
        <v>88</v>
      </c>
      <c r="R80" s="219" t="str">
        <f t="shared" si="62"/>
        <v>Нетронин</v>
      </c>
      <c r="S80" s="76" t="s">
        <v>10</v>
      </c>
      <c r="T80" s="251" t="s">
        <v>9</v>
      </c>
      <c r="U80" s="73">
        <f>COUNTIF(T80,B80)+COUNTIF(T80,D80)+COUNTIF(T80,F80)+COUNTIF(T80,H80)+COUNTIF(T80,J80)+COUNTIF(T80,N79)+COUNTIF(T80,N80)</f>
        <v>0</v>
      </c>
      <c r="V80" s="62">
        <f>COUNTIF(S80,B80)+COUNTIF(S80,D80)+COUNTIF(S80,F80)+COUNTIF(S80,H80)+COUNTIF(S80,J80)+COUNTIF(S80,N79)+COUNTIF(S80,N80)</f>
        <v>0</v>
      </c>
      <c r="W80" s="62"/>
      <c r="X80" s="74" t="s">
        <v>38</v>
      </c>
      <c r="Y80" s="7"/>
      <c r="Z80" s="7"/>
      <c r="AA80" s="7"/>
      <c r="AB80" s="13"/>
      <c r="AC80" s="13"/>
      <c r="AD80" s="13"/>
    </row>
    <row r="81" ht="14.4">
      <c r="A81" s="301" t="s">
        <v>43</v>
      </c>
      <c r="B81" s="87"/>
      <c r="C81" s="87"/>
      <c r="D81" s="72"/>
      <c r="E81" s="112"/>
      <c r="F81" s="72"/>
      <c r="G81" s="112"/>
      <c r="H81" s="66"/>
      <c r="I81" s="66"/>
      <c r="J81" s="87"/>
      <c r="K81" s="87"/>
      <c r="L81" s="87"/>
      <c r="M81" s="87"/>
      <c r="N81" s="71"/>
      <c r="O81" s="265"/>
      <c r="P81" s="220">
        <f t="shared" si="61"/>
        <v>0</v>
      </c>
      <c r="Q81" s="304">
        <f t="shared" si="59"/>
        <v>168</v>
      </c>
      <c r="R81" s="305" t="s">
        <v>43</v>
      </c>
      <c r="S81" s="268" t="s">
        <v>12</v>
      </c>
      <c r="T81" s="72" t="s">
        <v>11</v>
      </c>
      <c r="U81" s="304">
        <f>COUNTIF(T81,F81)+COUNTIF(T81,D81)+COUNTIF(T81,#REF!)+COUNTIF(T81,H81)+COUNTIF(T81,N81)+COUNTIF(T81,L81)+COUNTIF(T81,#REF!)</f>
        <v>0</v>
      </c>
      <c r="V81" s="304">
        <f>COUNTIF(S81,F81)+COUNTIF(S81,D81)+COUNTIF(S81,#REF!)+COUNTIF(S81,H81)+COUNTIF(S81,N81)+COUNTIF(S81,L81)+COUNTIF(S81,#REF!)</f>
        <v>0</v>
      </c>
      <c r="W81" s="304"/>
      <c r="X81" s="306" t="s">
        <v>44</v>
      </c>
      <c r="Y81" s="80"/>
      <c r="Z81" s="80"/>
      <c r="AA81" s="80"/>
      <c r="AB81" s="13"/>
      <c r="AC81" s="13"/>
      <c r="AD81" s="13"/>
    </row>
    <row r="82" ht="14.4">
      <c r="A82" s="204" t="s">
        <v>45</v>
      </c>
      <c r="B82" s="292"/>
      <c r="C82" s="112"/>
      <c r="D82" s="87"/>
      <c r="E82" s="87"/>
      <c r="F82" s="66"/>
      <c r="G82" s="66"/>
      <c r="H82" s="66"/>
      <c r="I82" s="66"/>
      <c r="J82" s="268"/>
      <c r="K82" s="243"/>
      <c r="L82" s="268"/>
      <c r="M82" s="78"/>
      <c r="N82" s="66"/>
      <c r="O82" s="66"/>
      <c r="P82" s="228">
        <f t="shared" si="61"/>
        <v>0</v>
      </c>
      <c r="Q82" s="229">
        <f t="shared" si="59"/>
        <v>168</v>
      </c>
      <c r="R82" s="230" t="str">
        <f t="shared" si="62"/>
        <v>Пузырь</v>
      </c>
      <c r="S82" s="76" t="s">
        <v>10</v>
      </c>
      <c r="T82" s="77" t="s">
        <v>9</v>
      </c>
      <c r="U82" s="244">
        <f t="shared" si="63"/>
        <v>0</v>
      </c>
      <c r="V82" s="229">
        <f t="shared" si="60"/>
        <v>0</v>
      </c>
      <c r="W82" s="229"/>
      <c r="X82" s="308" t="s">
        <v>34</v>
      </c>
      <c r="Y82" s="7"/>
      <c r="Z82" s="7"/>
      <c r="AA82" s="7"/>
      <c r="AB82" s="13"/>
      <c r="AC82" s="13"/>
      <c r="AD82" s="13"/>
    </row>
    <row r="83" ht="14.4">
      <c r="A83" s="205" t="s">
        <v>46</v>
      </c>
      <c r="B83" s="67"/>
      <c r="C83" s="67"/>
      <c r="D83" s="67"/>
      <c r="E83" s="67"/>
      <c r="F83" s="76"/>
      <c r="G83" s="76"/>
      <c r="H83" s="76"/>
      <c r="I83" s="76"/>
      <c r="J83" s="66"/>
      <c r="K83" s="66"/>
      <c r="L83" s="82"/>
      <c r="M83" s="82"/>
      <c r="N83" s="268"/>
      <c r="O83" s="78"/>
      <c r="P83" s="218">
        <f t="shared" si="61"/>
        <v>0</v>
      </c>
      <c r="Q83" s="62">
        <f t="shared" si="59"/>
        <v>168</v>
      </c>
      <c r="R83" s="219" t="str">
        <f t="shared" si="62"/>
        <v>Голышев</v>
      </c>
      <c r="S83" s="76" t="s">
        <v>10</v>
      </c>
      <c r="T83" s="77" t="s">
        <v>9</v>
      </c>
      <c r="U83" s="73">
        <f t="shared" si="63"/>
        <v>0</v>
      </c>
      <c r="V83" s="62">
        <f t="shared" si="60"/>
        <v>0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ht="14.4">
      <c r="A84" s="205" t="s">
        <v>47</v>
      </c>
      <c r="B84" s="111"/>
      <c r="C84" s="111"/>
      <c r="D84" s="316"/>
      <c r="E84" s="257"/>
      <c r="F84" s="109"/>
      <c r="G84" s="109"/>
      <c r="H84" s="150"/>
      <c r="I84" s="150"/>
      <c r="J84" s="150"/>
      <c r="K84" s="150"/>
      <c r="L84" s="111"/>
      <c r="M84" s="111"/>
      <c r="N84" s="66"/>
      <c r="O84" s="66"/>
      <c r="P84" s="218">
        <f t="shared" si="61"/>
        <v>0</v>
      </c>
      <c r="Q84" s="62">
        <f t="shared" si="59"/>
        <v>168</v>
      </c>
      <c r="R84" s="219" t="str">
        <f t="shared" si="62"/>
        <v>Торубара</v>
      </c>
      <c r="S84" s="76" t="s">
        <v>10</v>
      </c>
      <c r="T84" s="77" t="s">
        <v>9</v>
      </c>
      <c r="U84" s="73">
        <f t="shared" si="63"/>
        <v>0</v>
      </c>
      <c r="V84" s="62">
        <f t="shared" si="60"/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ht="14.4">
      <c r="A85" s="205" t="s">
        <v>48</v>
      </c>
      <c r="B85" s="71"/>
      <c r="C85" s="78"/>
      <c r="D85" s="66"/>
      <c r="E85" s="66"/>
      <c r="F85" s="66"/>
      <c r="G85" s="66"/>
      <c r="H85" s="262"/>
      <c r="I85" s="83"/>
      <c r="J85" s="82"/>
      <c r="K85" s="82"/>
      <c r="L85" s="87"/>
      <c r="M85" s="87"/>
      <c r="N85" s="262"/>
      <c r="O85" s="83"/>
      <c r="P85" s="218">
        <f t="shared" si="61"/>
        <v>0</v>
      </c>
      <c r="Q85" s="62">
        <f t="shared" si="59"/>
        <v>168</v>
      </c>
      <c r="R85" s="219" t="str">
        <f t="shared" si="62"/>
        <v>Стрыгин</v>
      </c>
      <c r="S85" s="71" t="s">
        <v>8</v>
      </c>
      <c r="T85" s="72" t="s">
        <v>7</v>
      </c>
      <c r="U85" s="73">
        <f>COUNTIF(T85,B85)+COUNTIF(T85,D85)+COUNTIF(T85,F85)+COUNTIF(T85,#REF!)+COUNTIF(T85,J85)+COUNTIF(T85,H85)+COUNTIF(T85,N85)</f>
        <v>0</v>
      </c>
      <c r="V85" s="62">
        <f>COUNTIF(S85,B85)+COUNTIF(S85,D85)+COUNTIF(S85,F85)+COUNTIF(S85,#REF!)+COUNTIF(S85,J85)+COUNTIF(S85,H85)+COUNTIF(S85,N85)</f>
        <v>0</v>
      </c>
      <c r="W85" s="62"/>
      <c r="X85" s="74" t="s">
        <v>49</v>
      </c>
      <c r="Y85" s="7"/>
      <c r="Z85" s="7"/>
      <c r="AA85" s="7"/>
      <c r="AB85" s="13"/>
      <c r="AC85" s="13"/>
      <c r="AD85" s="13"/>
    </row>
    <row r="86" ht="14.4">
      <c r="A86" s="205" t="s">
        <v>50</v>
      </c>
      <c r="B86" s="120"/>
      <c r="C86" s="120"/>
      <c r="D86" s="120"/>
      <c r="E86" s="120"/>
      <c r="F86" s="196"/>
      <c r="G86" s="196"/>
      <c r="H86" s="120"/>
      <c r="I86" s="120"/>
      <c r="J86" s="120"/>
      <c r="K86" s="120"/>
      <c r="L86" s="196"/>
      <c r="M86" s="196"/>
      <c r="N86" s="196"/>
      <c r="O86" s="196"/>
      <c r="P86" s="218">
        <f t="shared" si="61"/>
        <v>0</v>
      </c>
      <c r="Q86" s="62">
        <f t="shared" si="59"/>
        <v>168</v>
      </c>
      <c r="R86" s="219" t="str">
        <f t="shared" si="62"/>
        <v>Фрик</v>
      </c>
      <c r="S86" s="71" t="s">
        <v>12</v>
      </c>
      <c r="T86" s="72" t="s">
        <v>11</v>
      </c>
      <c r="U86" s="73">
        <f t="shared" si="63"/>
        <v>0</v>
      </c>
      <c r="V86" s="62">
        <f t="shared" si="60"/>
        <v>0</v>
      </c>
      <c r="W86" s="62"/>
      <c r="X86" s="74" t="s">
        <v>44</v>
      </c>
      <c r="Y86" s="7"/>
      <c r="Z86" s="7"/>
      <c r="AA86" s="7"/>
      <c r="AB86" s="13"/>
      <c r="AC86" s="13"/>
      <c r="AD86" s="13"/>
    </row>
    <row r="87" ht="14.4">
      <c r="A87" s="206" t="s">
        <v>51</v>
      </c>
      <c r="B87" s="87"/>
      <c r="C87" s="87"/>
      <c r="F87" s="67"/>
      <c r="G87" s="67"/>
      <c r="H87" s="67"/>
      <c r="I87" s="67"/>
      <c r="J87" s="292"/>
      <c r="K87" s="83"/>
      <c r="L87" s="251"/>
      <c r="M87" s="307"/>
      <c r="N87" s="82"/>
      <c r="O87" s="82"/>
      <c r="P87" s="218">
        <f>C87+O71+G87+I87+K87+M87+O87</f>
        <v>0</v>
      </c>
      <c r="Q87" s="62">
        <f t="shared" si="59"/>
        <v>0</v>
      </c>
      <c r="R87" s="219" t="str">
        <f t="shared" si="62"/>
        <v>Истрашкин</v>
      </c>
      <c r="S87" s="71" t="s">
        <v>10</v>
      </c>
      <c r="T87" s="72" t="s">
        <v>9</v>
      </c>
      <c r="U87" s="73">
        <f>COUNTIF(T87,B87)+COUNTIF(T87,N71)+COUNTIF(T87,F87)+COUNTIF(T87,H87)+COUNTIF(T87,J87)+COUNTIF(T87,L87)+COUNTIF(T87,N87)</f>
        <v>0</v>
      </c>
      <c r="V87" s="62">
        <f>COUNTIF(S87,B87)+COUNTIF(S87,N71)+COUNTIF(S87,F87)+COUNTIF(S87,H87)+COUNTIF(S87,J87)+COUNTIF(S87,L87)+COUNTIF(S87,N87)</f>
        <v>0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4">
      <c r="A88" s="284"/>
      <c r="B88" s="53">
        <v>46258</v>
      </c>
      <c r="C88" s="53"/>
      <c r="D88" s="53">
        <v>46259</v>
      </c>
      <c r="E88" s="53"/>
      <c r="F88" s="53">
        <v>46260</v>
      </c>
      <c r="G88" s="53"/>
      <c r="H88" s="53">
        <v>46261</v>
      </c>
      <c r="I88" s="53"/>
      <c r="J88" s="53">
        <v>46262</v>
      </c>
      <c r="K88" s="53"/>
      <c r="L88" s="53">
        <v>46263</v>
      </c>
      <c r="M88" s="53"/>
      <c r="N88" s="53">
        <v>46264</v>
      </c>
      <c r="O88" s="54"/>
      <c r="P88" s="285"/>
      <c r="Q88" s="254"/>
      <c r="R88" s="207"/>
      <c r="S88" s="138"/>
      <c r="T88" s="138"/>
      <c r="U88" s="60" t="s">
        <v>27</v>
      </c>
      <c r="V88" s="61" t="s">
        <v>28</v>
      </c>
      <c r="W88" s="62" t="s">
        <v>29</v>
      </c>
      <c r="X88" s="7"/>
      <c r="Y88" s="7"/>
      <c r="Z88" s="7"/>
      <c r="AA88" s="7"/>
      <c r="AB88" s="13"/>
      <c r="AC88" s="13"/>
      <c r="AD88" s="13"/>
    </row>
    <row r="89" ht="14.4">
      <c r="A89" s="139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39"/>
      <c r="Q89" s="127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 s="21" customFormat="1" ht="14.4">
      <c r="A90" s="248"/>
      <c r="B90" s="56" t="s">
        <v>17</v>
      </c>
      <c r="C90" s="116"/>
      <c r="D90" s="56" t="s">
        <v>18</v>
      </c>
      <c r="E90" s="116"/>
      <c r="F90" s="56" t="s">
        <v>19</v>
      </c>
      <c r="G90" s="56"/>
      <c r="H90" s="56" t="s">
        <v>20</v>
      </c>
      <c r="I90" s="116"/>
      <c r="J90" s="129" t="s">
        <v>21</v>
      </c>
      <c r="K90" s="129"/>
      <c r="L90" s="56" t="s">
        <v>22</v>
      </c>
      <c r="M90" s="56"/>
      <c r="N90" s="56" t="s">
        <v>23</v>
      </c>
      <c r="O90" s="56"/>
      <c r="P90" s="313" t="s">
        <v>24</v>
      </c>
      <c r="Q90" s="209"/>
      <c r="R90" s="143"/>
      <c r="S90" s="143"/>
      <c r="T90" s="143"/>
      <c r="U90" s="62"/>
      <c r="V90" s="62"/>
      <c r="W90" s="62"/>
      <c r="X90" s="51"/>
      <c r="Y90" s="7"/>
      <c r="Z90" s="7"/>
      <c r="AA90" s="7"/>
      <c r="AB90" s="13"/>
      <c r="AC90" s="13"/>
      <c r="AD90" s="13"/>
    </row>
    <row r="91" s="21" customFormat="1" ht="14.4">
      <c r="A91" s="248"/>
      <c r="B91" s="53">
        <v>46265</v>
      </c>
      <c r="C91" s="53"/>
      <c r="D91" s="53">
        <v>46266</v>
      </c>
      <c r="E91" s="53"/>
      <c r="F91" s="53">
        <v>46267</v>
      </c>
      <c r="G91" s="53"/>
      <c r="H91" s="53">
        <v>46268</v>
      </c>
      <c r="I91" s="53"/>
      <c r="J91" s="53">
        <v>46269</v>
      </c>
      <c r="K91" s="53"/>
      <c r="L91" s="53">
        <v>46270</v>
      </c>
      <c r="M91" s="53"/>
      <c r="N91" s="53">
        <v>46271</v>
      </c>
      <c r="O91" s="54"/>
      <c r="P91" s="309" t="s">
        <v>25</v>
      </c>
      <c r="Q91" s="214" t="s">
        <v>26</v>
      </c>
      <c r="R91" s="249"/>
      <c r="S91" s="147"/>
      <c r="T91" s="147"/>
      <c r="U91" s="60" t="s">
        <v>27</v>
      </c>
      <c r="V91" s="61" t="s">
        <v>28</v>
      </c>
      <c r="W91" s="62" t="s">
        <v>29</v>
      </c>
      <c r="X91" s="63" t="s">
        <v>30</v>
      </c>
      <c r="Y91" s="7"/>
      <c r="Z91" s="7"/>
      <c r="AA91" s="7"/>
      <c r="AB91" s="13"/>
      <c r="AC91" s="13"/>
      <c r="AD91" s="13"/>
    </row>
    <row r="92" s="21" customFormat="1" ht="14.4">
      <c r="A92" s="203" t="s">
        <v>35</v>
      </c>
      <c r="B92" s="65" t="s">
        <v>32</v>
      </c>
      <c r="C92" s="65" t="s">
        <v>33</v>
      </c>
      <c r="D92" s="65"/>
      <c r="E92" s="65"/>
      <c r="F92" s="65"/>
      <c r="G92" s="65"/>
      <c r="H92" s="65"/>
      <c r="I92" s="65"/>
      <c r="J92" s="65"/>
      <c r="K92" s="65"/>
      <c r="L92" s="66"/>
      <c r="M92" s="66"/>
      <c r="N92" s="66"/>
      <c r="O92" s="66"/>
      <c r="P92" s="218">
        <f t="shared" ref="P92:P102" si="64">C92+E92+G92+I92+K92+M92+O92</f>
        <v>8</v>
      </c>
      <c r="Q92" s="304">
        <f t="shared" si="59"/>
        <v>-40</v>
      </c>
      <c r="R92" s="219" t="str">
        <f t="shared" si="62"/>
        <v>Рычков</v>
      </c>
      <c r="S92" s="76" t="s">
        <v>10</v>
      </c>
      <c r="T92" s="77" t="s">
        <v>9</v>
      </c>
      <c r="U92" s="73">
        <f t="shared" ref="U92:U94" si="65">COUNTIF(T92,B92)+COUNTIF(T92,D92)+COUNTIF(T92,F92)+COUNTIF(T92,H92)+COUNTIF(T92,J92)+COUNTIF(T92,L92)+COUNTIF(T92,N92)</f>
        <v>0</v>
      </c>
      <c r="V92" s="62">
        <f t="shared" ref="V92:V94" si="66">COUNTIF(S92,B92)+COUNTIF(S92,D92)+COUNTIF(S92,F92)+COUNTIF(S92,H92)+COUNTIF(S92,J92)+COUNTIF(S92,L92)+COUNTIF(S92,N92)</f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s="21" customFormat="1" ht="14.4">
      <c r="A93" s="203" t="s">
        <v>39</v>
      </c>
      <c r="B93" s="65"/>
      <c r="C93" s="65" t="s">
        <v>33</v>
      </c>
      <c r="D93" s="65"/>
      <c r="E93" s="65"/>
      <c r="F93" s="65"/>
      <c r="G93" s="65"/>
      <c r="H93" s="65"/>
      <c r="I93" s="65"/>
      <c r="J93" s="65"/>
      <c r="K93" s="65"/>
      <c r="L93" s="120"/>
      <c r="M93" s="120"/>
      <c r="N93" s="120"/>
      <c r="O93" s="120"/>
      <c r="P93" s="218">
        <f t="shared" si="64"/>
        <v>8</v>
      </c>
      <c r="Q93" s="304">
        <f t="shared" si="59"/>
        <v>-40</v>
      </c>
      <c r="R93" s="219" t="str">
        <f t="shared" si="62"/>
        <v>Игумнов</v>
      </c>
      <c r="S93" s="76" t="s">
        <v>10</v>
      </c>
      <c r="T93" s="77" t="s">
        <v>9</v>
      </c>
      <c r="U93" s="73">
        <f t="shared" si="65"/>
        <v>0</v>
      </c>
      <c r="V93" s="62">
        <f t="shared" si="66"/>
        <v>0</v>
      </c>
      <c r="W93" s="62"/>
      <c r="X93" s="79" t="s">
        <v>34</v>
      </c>
      <c r="Y93" s="7"/>
      <c r="Z93" s="7"/>
      <c r="AA93" s="7"/>
      <c r="AB93" s="13"/>
      <c r="AC93" s="13"/>
      <c r="AD93" s="13"/>
    </row>
    <row r="94" s="21" customFormat="1" ht="14.4">
      <c r="A94" s="203" t="s">
        <v>40</v>
      </c>
      <c r="B94" s="65" t="s">
        <v>32</v>
      </c>
      <c r="C94" s="65" t="s">
        <v>33</v>
      </c>
      <c r="D94" s="65"/>
      <c r="E94" s="65"/>
      <c r="F94" s="65"/>
      <c r="G94" s="65"/>
      <c r="H94" s="65"/>
      <c r="I94" s="65"/>
      <c r="J94" s="65"/>
      <c r="K94" s="65"/>
      <c r="L94" s="66"/>
      <c r="M94" s="66"/>
      <c r="N94" s="66"/>
      <c r="O94" s="66"/>
      <c r="P94" s="218">
        <f t="shared" si="64"/>
        <v>8</v>
      </c>
      <c r="Q94" s="304">
        <f t="shared" si="59"/>
        <v>-40</v>
      </c>
      <c r="R94" s="219" t="str">
        <f t="shared" si="62"/>
        <v>Душин</v>
      </c>
      <c r="S94" s="76" t="s">
        <v>10</v>
      </c>
      <c r="T94" s="77" t="s">
        <v>9</v>
      </c>
      <c r="U94" s="73">
        <f t="shared" si="65"/>
        <v>0</v>
      </c>
      <c r="V94" s="62">
        <f t="shared" si="66"/>
        <v>0</v>
      </c>
      <c r="W94" s="62"/>
      <c r="X94" s="74" t="s">
        <v>38</v>
      </c>
      <c r="Y94" s="7"/>
      <c r="Z94" s="7"/>
      <c r="AA94" s="7"/>
      <c r="AB94" s="13"/>
      <c r="AC94" s="13"/>
      <c r="AD94" s="13"/>
    </row>
    <row r="95" s="21" customFormat="1" ht="14.4">
      <c r="A95" s="271" t="s">
        <v>42</v>
      </c>
      <c r="B95" s="65" t="s">
        <v>54</v>
      </c>
      <c r="C95" s="65" t="s">
        <v>33</v>
      </c>
      <c r="D95" s="65"/>
      <c r="E95" s="65"/>
      <c r="F95" s="65"/>
      <c r="G95" s="65"/>
      <c r="H95" s="65"/>
      <c r="I95" s="65"/>
      <c r="J95" s="65"/>
      <c r="K95" s="65"/>
      <c r="L95" s="66"/>
      <c r="M95" s="66"/>
      <c r="N95" s="66"/>
      <c r="O95" s="66"/>
      <c r="P95" s="220">
        <f t="shared" si="64"/>
        <v>8</v>
      </c>
      <c r="Q95" s="304">
        <f t="shared" si="59"/>
        <v>-40</v>
      </c>
      <c r="R95" s="222" t="str">
        <f t="shared" si="62"/>
        <v>Юращик</v>
      </c>
      <c r="S95" s="76" t="s">
        <v>10</v>
      </c>
      <c r="T95" s="77" t="s">
        <v>9</v>
      </c>
      <c r="U95" s="240"/>
      <c r="V95" s="221"/>
      <c r="W95" s="221"/>
      <c r="X95" s="299" t="s">
        <v>38</v>
      </c>
      <c r="Y95" s="7"/>
      <c r="Z95" s="7"/>
      <c r="AA95" s="7"/>
      <c r="AB95" s="13"/>
      <c r="AC95" s="13"/>
      <c r="AD95" s="13"/>
    </row>
    <row r="96" s="21" customFormat="1" ht="14.4">
      <c r="A96" s="203" t="s">
        <v>31</v>
      </c>
      <c r="B96" s="65" t="s">
        <v>32</v>
      </c>
      <c r="C96" s="65" t="s">
        <v>33</v>
      </c>
      <c r="D96" s="65"/>
      <c r="E96" s="65"/>
      <c r="F96" s="65"/>
      <c r="G96" s="65"/>
      <c r="H96" s="65"/>
      <c r="I96" s="65"/>
      <c r="J96" s="65"/>
      <c r="K96" s="65"/>
      <c r="M96" s="66"/>
      <c r="N96" s="66"/>
      <c r="O96" s="66"/>
      <c r="P96" s="218">
        <f t="shared" si="64"/>
        <v>8</v>
      </c>
      <c r="Q96" s="304">
        <f t="shared" si="59"/>
        <v>80</v>
      </c>
      <c r="R96" s="219" t="str">
        <f t="shared" si="62"/>
        <v>Нетронин</v>
      </c>
      <c r="S96" s="76" t="s">
        <v>10</v>
      </c>
      <c r="T96" s="251" t="s">
        <v>9</v>
      </c>
      <c r="U96" s="73">
        <f>COUNTIF(T96,B96)+COUNTIF(T96,D96)+COUNTIF(T96,F96)+COUNTIF(T96,H96)+COUNTIF(T96,J96)+COUNTIF(T96,N95)+COUNTIF(T96,N96)</f>
        <v>0</v>
      </c>
      <c r="V96" s="62">
        <f>COUNTIF(S96,B96)+COUNTIF(S96,D96)+COUNTIF(S96,F96)+COUNTIF(S96,H96)+COUNTIF(S96,J96)+COUNTIF(S96,N95)+COUNTIF(S96,N96)</f>
        <v>0</v>
      </c>
      <c r="W96" s="62"/>
      <c r="X96" s="74" t="s">
        <v>38</v>
      </c>
      <c r="Y96" s="7"/>
      <c r="Z96" s="7"/>
      <c r="AA96" s="7"/>
      <c r="AB96" s="13"/>
      <c r="AC96" s="13"/>
      <c r="AD96" s="13"/>
    </row>
    <row r="97" s="21" customFormat="1" ht="14.4">
      <c r="A97" s="301" t="s">
        <v>43</v>
      </c>
      <c r="B97" s="87"/>
      <c r="C97" s="87"/>
      <c r="D97" s="72"/>
      <c r="E97" s="112"/>
      <c r="F97" s="72"/>
      <c r="G97" s="112"/>
      <c r="H97" s="66"/>
      <c r="I97" s="66"/>
      <c r="J97" s="87"/>
      <c r="K97" s="87"/>
      <c r="L97" s="87"/>
      <c r="M97" s="87"/>
      <c r="N97" s="71"/>
      <c r="O97" s="265"/>
      <c r="P97" s="220">
        <f t="shared" si="64"/>
        <v>0</v>
      </c>
      <c r="Q97" s="304">
        <f t="shared" si="59"/>
        <v>168</v>
      </c>
      <c r="R97" s="305" t="s">
        <v>43</v>
      </c>
      <c r="S97" s="268" t="s">
        <v>12</v>
      </c>
      <c r="T97" s="72" t="s">
        <v>11</v>
      </c>
      <c r="U97" s="304">
        <f>COUNTIF(T97,F97)+COUNTIF(T97,D97)+COUNTIF(T97,#REF!)+COUNTIF(T97,H97)+COUNTIF(T97,N97)+COUNTIF(T97,L97)+COUNTIF(T97,#REF!)</f>
        <v>0</v>
      </c>
      <c r="V97" s="304">
        <f>COUNTIF(S97,F97)+COUNTIF(S97,D97)+COUNTIF(S97,#REF!)+COUNTIF(S97,H97)+COUNTIF(S97,N97)+COUNTIF(S97,L97)+COUNTIF(S97,#REF!)</f>
        <v>0</v>
      </c>
      <c r="W97" s="304"/>
      <c r="X97" s="306" t="s">
        <v>44</v>
      </c>
      <c r="Y97" s="80"/>
      <c r="Z97" s="80"/>
      <c r="AA97" s="80"/>
      <c r="AB97" s="13"/>
      <c r="AC97" s="13"/>
      <c r="AD97" s="13"/>
    </row>
    <row r="98" s="21" customFormat="1" ht="14.4">
      <c r="A98" s="204" t="s">
        <v>45</v>
      </c>
      <c r="B98" s="292"/>
      <c r="C98" s="112"/>
      <c r="D98" s="87"/>
      <c r="E98" s="87"/>
      <c r="F98" s="66"/>
      <c r="G98" s="66"/>
      <c r="H98" s="66"/>
      <c r="I98" s="66"/>
      <c r="J98" s="268"/>
      <c r="K98" s="243"/>
      <c r="L98" s="268"/>
      <c r="M98" s="78"/>
      <c r="N98" s="66"/>
      <c r="O98" s="66"/>
      <c r="P98" s="228">
        <f t="shared" si="64"/>
        <v>0</v>
      </c>
      <c r="Q98" s="229">
        <f t="shared" si="59"/>
        <v>168</v>
      </c>
      <c r="R98" s="230" t="str">
        <f t="shared" si="62"/>
        <v>Пузырь</v>
      </c>
      <c r="S98" s="76" t="s">
        <v>10</v>
      </c>
      <c r="T98" s="77" t="s">
        <v>9</v>
      </c>
      <c r="U98" s="244">
        <f t="shared" ref="U98:U100" si="67">COUNTIF(T98,B98)+COUNTIF(T98,D98)+COUNTIF(T98,F98)+COUNTIF(T98,H98)+COUNTIF(T98,J98)+COUNTIF(T98,L98)+COUNTIF(T98,N98)</f>
        <v>0</v>
      </c>
      <c r="V98" s="229">
        <f t="shared" ref="V98:V100" si="68">COUNTIF(S98,B98)+COUNTIF(S98,D98)+COUNTIF(S98,F98)+COUNTIF(S98,H98)+COUNTIF(S98,J98)+COUNTIF(S98,L98)+COUNTIF(S98,N98)</f>
        <v>0</v>
      </c>
      <c r="W98" s="229"/>
      <c r="X98" s="308" t="s">
        <v>34</v>
      </c>
      <c r="Y98" s="7"/>
      <c r="Z98" s="7"/>
      <c r="AA98" s="7"/>
      <c r="AB98" s="13"/>
      <c r="AC98" s="13"/>
      <c r="AD98" s="13"/>
    </row>
    <row r="99" s="21" customFormat="1" ht="14.4">
      <c r="A99" s="205" t="s">
        <v>46</v>
      </c>
      <c r="B99" s="67"/>
      <c r="C99" s="67"/>
      <c r="D99" s="67"/>
      <c r="E99" s="67"/>
      <c r="F99" s="76"/>
      <c r="G99" s="76"/>
      <c r="H99" s="76"/>
      <c r="I99" s="76"/>
      <c r="J99" s="66"/>
      <c r="K99" s="66"/>
      <c r="L99" s="82"/>
      <c r="M99" s="82"/>
      <c r="N99" s="268"/>
      <c r="O99" s="78"/>
      <c r="P99" s="218">
        <f t="shared" si="64"/>
        <v>0</v>
      </c>
      <c r="Q99" s="62">
        <f t="shared" si="59"/>
        <v>168</v>
      </c>
      <c r="R99" s="219" t="str">
        <f t="shared" si="62"/>
        <v>Голышев</v>
      </c>
      <c r="S99" s="76" t="s">
        <v>10</v>
      </c>
      <c r="T99" s="77" t="s">
        <v>9</v>
      </c>
      <c r="U99" s="73">
        <f t="shared" si="67"/>
        <v>0</v>
      </c>
      <c r="V99" s="62">
        <f t="shared" si="68"/>
        <v>0</v>
      </c>
      <c r="W99" s="62"/>
      <c r="X99" s="74" t="s">
        <v>34</v>
      </c>
      <c r="Y99" s="7"/>
      <c r="Z99" s="7"/>
      <c r="AA99" s="7"/>
      <c r="AB99" s="13"/>
      <c r="AC99" s="13"/>
      <c r="AD99" s="13"/>
    </row>
    <row r="100" s="21" customFormat="1" ht="14.4">
      <c r="A100" s="205" t="s">
        <v>47</v>
      </c>
      <c r="B100" s="67"/>
      <c r="C100" s="67"/>
      <c r="D100" s="268"/>
      <c r="E100" s="76"/>
      <c r="F100" s="82"/>
      <c r="G100" s="82"/>
      <c r="H100" s="87"/>
      <c r="I100" s="87"/>
      <c r="J100" s="87"/>
      <c r="K100" s="87"/>
      <c r="L100" s="67"/>
      <c r="M100" s="67"/>
      <c r="N100" s="66"/>
      <c r="O100" s="66"/>
      <c r="P100" s="218">
        <f t="shared" si="64"/>
        <v>0</v>
      </c>
      <c r="Q100" s="62">
        <f t="shared" si="59"/>
        <v>168</v>
      </c>
      <c r="R100" s="219" t="str">
        <f t="shared" si="62"/>
        <v>Торубара</v>
      </c>
      <c r="S100" s="76" t="s">
        <v>10</v>
      </c>
      <c r="T100" s="77" t="s">
        <v>9</v>
      </c>
      <c r="U100" s="73">
        <f t="shared" si="67"/>
        <v>0</v>
      </c>
      <c r="V100" s="62">
        <f t="shared" si="68"/>
        <v>0</v>
      </c>
      <c r="W100" s="62"/>
      <c r="X100" s="74" t="s">
        <v>34</v>
      </c>
      <c r="Y100" s="7"/>
      <c r="Z100" s="7"/>
      <c r="AA100" s="7"/>
      <c r="AB100" s="13"/>
      <c r="AC100" s="13"/>
      <c r="AD100" s="13"/>
    </row>
    <row r="101" s="21" customFormat="1" ht="14.4">
      <c r="A101" s="205" t="s">
        <v>48</v>
      </c>
      <c r="B101" s="71"/>
      <c r="C101" s="78"/>
      <c r="D101" s="66"/>
      <c r="E101" s="66"/>
      <c r="F101" s="66"/>
      <c r="G101" s="66"/>
      <c r="H101" s="262"/>
      <c r="I101" s="83"/>
      <c r="J101" s="82"/>
      <c r="K101" s="82"/>
      <c r="L101" s="87"/>
      <c r="M101" s="87"/>
      <c r="N101" s="262"/>
      <c r="O101" s="83"/>
      <c r="P101" s="218">
        <f t="shared" si="64"/>
        <v>0</v>
      </c>
      <c r="Q101" s="62">
        <f t="shared" si="59"/>
        <v>168</v>
      </c>
      <c r="R101" s="219" t="str">
        <f t="shared" si="62"/>
        <v>Стрыгин</v>
      </c>
      <c r="S101" s="71" t="s">
        <v>8</v>
      </c>
      <c r="T101" s="72" t="s">
        <v>7</v>
      </c>
      <c r="U101" s="73">
        <f>COUNTIF(T101,B101)+COUNTIF(T101,D101)+COUNTIF(T101,F101)+COUNTIF(T101,#REF!)+COUNTIF(T101,J101)+COUNTIF(T101,H101)+COUNTIF(T101,N101)</f>
        <v>0</v>
      </c>
      <c r="V101" s="62">
        <f>COUNTIF(S101,B101)+COUNTIF(S101,D101)+COUNTIF(S101,F101)+COUNTIF(S101,#REF!)+COUNTIF(S101,J101)+COUNTIF(S101,H101)+COUNTIF(S101,N101)</f>
        <v>0</v>
      </c>
      <c r="W101" s="62"/>
      <c r="X101" s="74" t="s">
        <v>49</v>
      </c>
      <c r="Y101" s="7"/>
      <c r="Z101" s="7"/>
      <c r="AA101" s="7"/>
      <c r="AB101" s="13"/>
      <c r="AC101" s="13"/>
      <c r="AD101" s="13"/>
    </row>
    <row r="102" s="21" customFormat="1" ht="14.4">
      <c r="A102" s="205" t="s">
        <v>50</v>
      </c>
      <c r="B102" s="120"/>
      <c r="C102" s="120"/>
      <c r="D102" s="120"/>
      <c r="E102" s="120"/>
      <c r="F102" s="196"/>
      <c r="G102" s="196"/>
      <c r="H102" s="120"/>
      <c r="I102" s="120"/>
      <c r="J102" s="120"/>
      <c r="K102" s="120"/>
      <c r="L102" s="196"/>
      <c r="M102" s="196"/>
      <c r="N102" s="196"/>
      <c r="O102" s="196"/>
      <c r="P102" s="218">
        <f t="shared" si="64"/>
        <v>0</v>
      </c>
      <c r="Q102" s="62">
        <f t="shared" si="59"/>
        <v>168</v>
      </c>
      <c r="R102" s="219" t="str">
        <f t="shared" si="62"/>
        <v>Фрик</v>
      </c>
      <c r="S102" s="71" t="s">
        <v>12</v>
      </c>
      <c r="T102" s="72" t="s">
        <v>11</v>
      </c>
      <c r="U102" s="73">
        <f>COUNTIF(T102,B102)+COUNTIF(T102,D102)+COUNTIF(T102,F102)+COUNTIF(T102,H102)+COUNTIF(T102,J102)+COUNTIF(T102,L102)+COUNTIF(T102,N102)</f>
        <v>0</v>
      </c>
      <c r="V102" s="62">
        <f>COUNTIF(S102,B102)+COUNTIF(S102,D102)+COUNTIF(S102,F102)+COUNTIF(S102,H102)+COUNTIF(S102,J102)+COUNTIF(S102,L102)+COUNTIF(S102,N102)</f>
        <v>0</v>
      </c>
      <c r="W102" s="62"/>
      <c r="X102" s="74" t="s">
        <v>44</v>
      </c>
      <c r="Y102" s="7"/>
      <c r="Z102" s="7"/>
      <c r="AA102" s="7"/>
      <c r="AB102" s="13"/>
      <c r="AC102" s="13"/>
      <c r="AD102" s="13"/>
    </row>
    <row r="103" s="21" customFormat="1" ht="14.4">
      <c r="A103" s="206" t="s">
        <v>51</v>
      </c>
      <c r="B103" s="87"/>
      <c r="C103" s="87"/>
      <c r="F103" s="67"/>
      <c r="G103" s="67"/>
      <c r="H103" s="67"/>
      <c r="I103" s="67"/>
      <c r="J103" s="292"/>
      <c r="K103" s="83"/>
      <c r="L103" s="251"/>
      <c r="M103" s="307"/>
      <c r="N103" s="82"/>
      <c r="O103" s="82"/>
      <c r="P103" s="218">
        <f>C103+O87+G103+I103+K103+M103+O103</f>
        <v>0</v>
      </c>
      <c r="Q103" s="62">
        <f t="shared" si="59"/>
        <v>0</v>
      </c>
      <c r="R103" s="219" t="str">
        <f t="shared" si="62"/>
        <v>Истрашкин</v>
      </c>
      <c r="S103" s="71" t="s">
        <v>10</v>
      </c>
      <c r="T103" s="72" t="s">
        <v>9</v>
      </c>
      <c r="U103" s="73">
        <f>COUNTIF(T103,B103)+COUNTIF(T103,N87)+COUNTIF(T103,F103)+COUNTIF(T103,H103)+COUNTIF(T103,J103)+COUNTIF(T103,L103)+COUNTIF(T103,N103)</f>
        <v>0</v>
      </c>
      <c r="V103" s="62">
        <f>COUNTIF(S103,B103)+COUNTIF(S103,N87)+COUNTIF(S103,F103)+COUNTIF(S103,H103)+COUNTIF(S103,J103)+COUNTIF(S103,L103)+COUNTIF(S103,N103)</f>
        <v>0</v>
      </c>
      <c r="W103" s="62"/>
      <c r="X103" s="74" t="s">
        <v>34</v>
      </c>
      <c r="Y103" s="7"/>
      <c r="Z103" s="7"/>
      <c r="AA103" s="7"/>
      <c r="AB103" s="13"/>
      <c r="AC103" s="13"/>
      <c r="AD103" s="13"/>
    </row>
    <row r="104" s="21" customFormat="1" ht="14.4">
      <c r="A104" s="284"/>
      <c r="B104" s="53">
        <v>46265</v>
      </c>
      <c r="C104" s="53"/>
      <c r="D104" s="53">
        <v>46266</v>
      </c>
      <c r="E104" s="53"/>
      <c r="F104" s="53">
        <v>46267</v>
      </c>
      <c r="G104" s="53"/>
      <c r="H104" s="53">
        <v>46268</v>
      </c>
      <c r="I104" s="53"/>
      <c r="J104" s="53">
        <v>46269</v>
      </c>
      <c r="K104" s="53"/>
      <c r="L104" s="53">
        <v>46270</v>
      </c>
      <c r="M104" s="53"/>
      <c r="N104" s="53">
        <v>46271</v>
      </c>
      <c r="O104" s="54"/>
      <c r="P104" s="285"/>
      <c r="Q104" s="254"/>
      <c r="R104" s="207"/>
      <c r="S104" s="138"/>
      <c r="T104" s="138"/>
      <c r="U104" s="60" t="s">
        <v>27</v>
      </c>
      <c r="V104" s="61" t="s">
        <v>28</v>
      </c>
      <c r="W104" s="62" t="s">
        <v>29</v>
      </c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21"/>
      <c r="Y644" s="7"/>
      <c r="Z644" s="7"/>
      <c r="AA644" s="7"/>
      <c r="AB644" s="13"/>
      <c r="AC644" s="13"/>
      <c r="AD644" s="13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54"/>
      <c r="R645" s="21"/>
      <c r="S645" s="21"/>
      <c r="T645" s="21"/>
      <c r="U645" s="154"/>
      <c r="V645" s="154"/>
      <c r="W645" s="154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54"/>
      <c r="R646" s="21"/>
      <c r="S646" s="21"/>
      <c r="T646" s="21"/>
      <c r="U646" s="154"/>
      <c r="V646" s="154"/>
      <c r="W646" s="154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54"/>
      <c r="R647" s="21"/>
      <c r="S647" s="21"/>
      <c r="T647" s="21"/>
      <c r="U647" s="154"/>
      <c r="V647" s="154"/>
      <c r="W647" s="154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</sheetData>
  <mergeCells count="16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5:Q25"/>
    <mergeCell ref="P26:Q26"/>
    <mergeCell ref="A41:Q41"/>
    <mergeCell ref="P42:Q42"/>
    <mergeCell ref="P58:Q58"/>
    <mergeCell ref="P74:Q74"/>
    <mergeCell ref="P90:Q9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A12" activeCellId="0" sqref="AA12"/>
    </sheetView>
  </sheetViews>
  <sheetFormatPr defaultRowHeight="13.5"/>
  <cols>
    <col customWidth="1" min="1" max="1" width="17"/>
    <col customWidth="1" min="2" max="2" width="11"/>
    <col customWidth="1" min="3" max="3" width="5.109375"/>
    <col customWidth="1" min="4" max="4" width="14.44140625"/>
    <col customWidth="1" min="5" max="5" width="5.109375"/>
    <col customWidth="1" min="6" max="6" width="11.88671875"/>
    <col customWidth="1" min="7" max="7" width="5.109375"/>
    <col customWidth="1" min="8" max="8" width="11.5546875"/>
    <col customWidth="1" min="9" max="9" width="5.109375"/>
    <col customWidth="1" min="10" max="10" width="12.33203125"/>
    <col customWidth="1" min="11" max="11" width="5.109375"/>
    <col customWidth="1" min="12" max="12" width="10"/>
    <col customWidth="1" min="13" max="13" width="5.109375"/>
    <col customWidth="1" min="14" max="14" width="10.44140625"/>
    <col customWidth="1" min="15" max="16" width="5.109375"/>
    <col customWidth="1" min="17" max="17" width="9.00390625"/>
    <col customWidth="1" min="18" max="18" width="12.6640625"/>
    <col customWidth="1" min="19" max="30" width="9.1406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s="21" customFormat="1" ht="14.25">
      <c r="A10" s="143"/>
      <c r="B10" s="43" t="s">
        <v>17</v>
      </c>
      <c r="C10" s="142"/>
      <c r="D10" s="43" t="s">
        <v>18</v>
      </c>
      <c r="E10" s="142"/>
      <c r="F10" s="43" t="s">
        <v>19</v>
      </c>
      <c r="G10" s="43"/>
      <c r="H10" s="43" t="s">
        <v>20</v>
      </c>
      <c r="I10" s="142"/>
      <c r="J10" s="45" t="s">
        <v>21</v>
      </c>
      <c r="K10" s="45"/>
      <c r="L10" s="43" t="s">
        <v>22</v>
      </c>
      <c r="M10" s="43"/>
      <c r="N10" s="43" t="s">
        <v>23</v>
      </c>
      <c r="O10" s="43"/>
      <c r="P10" s="208" t="s">
        <v>24</v>
      </c>
      <c r="Q10" s="209"/>
      <c r="R10" s="117">
        <v>184</v>
      </c>
      <c r="S10" s="143"/>
      <c r="T10" s="143"/>
      <c r="U10" s="286">
        <v>184</v>
      </c>
      <c r="V10" s="90"/>
      <c r="W10" s="62"/>
      <c r="X10" s="51"/>
      <c r="Y10" s="7"/>
      <c r="Z10" s="7"/>
      <c r="AA10" s="7"/>
      <c r="AB10" s="13"/>
      <c r="AC10" s="13"/>
      <c r="AD10" s="13"/>
    </row>
    <row r="11" s="21" customFormat="1" ht="14.25">
      <c r="A11" s="317"/>
      <c r="B11" s="53">
        <v>46202</v>
      </c>
      <c r="C11" s="53"/>
      <c r="D11" s="53">
        <v>46203</v>
      </c>
      <c r="E11" s="53"/>
      <c r="F11" s="53">
        <v>46204</v>
      </c>
      <c r="G11" s="53"/>
      <c r="H11" s="53">
        <v>46205</v>
      </c>
      <c r="I11" s="53"/>
      <c r="J11" s="53">
        <v>46206</v>
      </c>
      <c r="K11" s="53"/>
      <c r="L11" s="53">
        <v>46207</v>
      </c>
      <c r="M11" s="53"/>
      <c r="N11" s="53">
        <v>46208</v>
      </c>
      <c r="O11" s="54"/>
      <c r="P11" s="318" t="s">
        <v>25</v>
      </c>
      <c r="Q11" s="214" t="s">
        <v>26</v>
      </c>
      <c r="R11" s="287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217" t="s">
        <v>35</v>
      </c>
      <c r="B12" s="319"/>
      <c r="C12" s="319"/>
      <c r="D12" s="319"/>
      <c r="E12" s="319"/>
      <c r="F12" s="319"/>
      <c r="G12" s="319" t="s">
        <v>33</v>
      </c>
      <c r="H12" s="319"/>
      <c r="I12" s="319" t="s">
        <v>33</v>
      </c>
      <c r="J12" s="319"/>
      <c r="K12" s="319" t="s">
        <v>33</v>
      </c>
      <c r="L12" s="320"/>
      <c r="M12" s="320"/>
      <c r="N12" s="320"/>
      <c r="O12" s="320"/>
      <c r="P12" s="218">
        <f t="shared" ref="P12:P75" si="69">C12+E12+G12+I12+K12+M12+O12</f>
        <v>24</v>
      </c>
      <c r="Q12" s="62">
        <f>R10-P12</f>
        <v>160</v>
      </c>
      <c r="R12" s="288" t="str">
        <f t="shared" ref="R12:R75" si="70">A12</f>
        <v>Рычков</v>
      </c>
      <c r="S12" s="76" t="s">
        <v>10</v>
      </c>
      <c r="T12" s="77" t="s">
        <v>9</v>
      </c>
      <c r="U12" s="73">
        <f t="shared" ref="U12:U56" si="71">COUNTIF(T12,B12)+COUNTIF(T12,D12)+COUNTIF(T12,F12)+COUNTIF(T12,H12)+COUNTIF(T12,J12)+COUNTIF(T12,L12)+COUNTIF(T12,N12)</f>
        <v>0</v>
      </c>
      <c r="V12" s="62">
        <f t="shared" ref="V12:V56" si="72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 t="s">
        <v>60</v>
      </c>
      <c r="AB12" s="13"/>
      <c r="AC12" s="13"/>
      <c r="AD12" s="13"/>
    </row>
    <row r="13" s="21" customFormat="1" ht="14.25">
      <c r="A13" s="203" t="s">
        <v>39</v>
      </c>
      <c r="B13" s="319"/>
      <c r="C13" s="319"/>
      <c r="D13" s="319"/>
      <c r="E13" s="319"/>
      <c r="F13" s="319"/>
      <c r="G13" s="319" t="s">
        <v>33</v>
      </c>
      <c r="H13" s="319"/>
      <c r="I13" s="319" t="s">
        <v>33</v>
      </c>
      <c r="J13" s="319"/>
      <c r="K13" s="319" t="s">
        <v>33</v>
      </c>
      <c r="L13" s="320"/>
      <c r="M13" s="320"/>
      <c r="N13" s="320"/>
      <c r="O13" s="320"/>
      <c r="P13" s="218">
        <f t="shared" si="69"/>
        <v>24</v>
      </c>
      <c r="Q13" s="62">
        <f>R10-P13</f>
        <v>160</v>
      </c>
      <c r="R13" s="288" t="str">
        <f t="shared" si="70"/>
        <v>Игумнов</v>
      </c>
      <c r="S13" s="76" t="s">
        <v>10</v>
      </c>
      <c r="T13" s="77" t="s">
        <v>9</v>
      </c>
      <c r="U13" s="73">
        <f t="shared" si="71"/>
        <v>0</v>
      </c>
      <c r="V13" s="62">
        <f t="shared" si="72"/>
        <v>0</v>
      </c>
      <c r="W13" s="62"/>
      <c r="X13" s="74" t="s">
        <v>38</v>
      </c>
      <c r="Y13" s="7"/>
      <c r="Z13" s="7"/>
      <c r="AA13" s="7"/>
      <c r="AB13" s="13"/>
      <c r="AC13" s="13"/>
      <c r="AD13" s="13"/>
    </row>
    <row r="14" s="21" customFormat="1" ht="14.25">
      <c r="A14" s="203" t="s">
        <v>40</v>
      </c>
      <c r="B14" s="319"/>
      <c r="C14" s="319"/>
      <c r="D14" s="319"/>
      <c r="E14" s="319"/>
      <c r="F14" s="319"/>
      <c r="G14" s="319" t="s">
        <v>33</v>
      </c>
      <c r="H14" s="319"/>
      <c r="I14" s="319" t="s">
        <v>33</v>
      </c>
      <c r="J14" s="319"/>
      <c r="K14" s="319" t="s">
        <v>33</v>
      </c>
      <c r="L14" s="320"/>
      <c r="M14" s="320"/>
      <c r="N14" s="320"/>
      <c r="O14" s="320"/>
      <c r="P14" s="218">
        <f t="shared" si="69"/>
        <v>24</v>
      </c>
      <c r="Q14" s="62">
        <f>R10-P14</f>
        <v>160</v>
      </c>
      <c r="R14" s="288" t="str">
        <f t="shared" si="70"/>
        <v>Душин</v>
      </c>
      <c r="S14" s="76" t="s">
        <v>58</v>
      </c>
      <c r="T14" s="77" t="s">
        <v>59</v>
      </c>
      <c r="U14" s="73">
        <f t="shared" si="71"/>
        <v>0</v>
      </c>
      <c r="V14" s="62">
        <f t="shared" si="72"/>
        <v>0</v>
      </c>
      <c r="W14" s="62"/>
      <c r="X14" s="74" t="s">
        <v>34</v>
      </c>
      <c r="Y14" s="7"/>
      <c r="Z14" s="7"/>
      <c r="AA14" s="7"/>
      <c r="AB14" s="13"/>
      <c r="AC14" s="13"/>
      <c r="AD14" s="13"/>
    </row>
    <row r="15" s="21" customFormat="1" ht="14.25">
      <c r="A15" s="203" t="s">
        <v>31</v>
      </c>
      <c r="B15" s="319"/>
      <c r="C15" s="319"/>
      <c r="D15" s="319"/>
      <c r="E15" s="319"/>
      <c r="F15" s="319"/>
      <c r="G15" s="319" t="s">
        <v>33</v>
      </c>
      <c r="H15" s="319"/>
      <c r="I15" s="319" t="s">
        <v>33</v>
      </c>
      <c r="J15" s="319"/>
      <c r="K15" s="319" t="s">
        <v>33</v>
      </c>
      <c r="L15" s="320"/>
      <c r="M15" s="320"/>
      <c r="N15" s="320"/>
      <c r="O15" s="320"/>
      <c r="P15" s="218">
        <f t="shared" si="69"/>
        <v>24</v>
      </c>
      <c r="Q15" s="62">
        <f>R10-P15</f>
        <v>160</v>
      </c>
      <c r="R15" s="288" t="str">
        <f t="shared" si="70"/>
        <v>Нетронин</v>
      </c>
      <c r="S15" s="76" t="s">
        <v>58</v>
      </c>
      <c r="T15" s="77" t="s">
        <v>59</v>
      </c>
      <c r="U15" s="73">
        <f t="shared" si="71"/>
        <v>0</v>
      </c>
      <c r="V15" s="62">
        <f t="shared" si="72"/>
        <v>0</v>
      </c>
      <c r="W15" s="62"/>
      <c r="X15" s="74" t="s">
        <v>34</v>
      </c>
      <c r="Y15" s="7"/>
      <c r="Z15" s="7"/>
      <c r="AA15" s="7"/>
      <c r="AB15" s="13"/>
      <c r="AC15" s="13"/>
      <c r="AD15" s="13"/>
    </row>
    <row r="16" s="21" customFormat="1" ht="14.25">
      <c r="A16" s="203" t="s">
        <v>61</v>
      </c>
      <c r="B16" s="319"/>
      <c r="C16" s="319"/>
      <c r="D16" s="319"/>
      <c r="E16" s="319"/>
      <c r="F16" s="319"/>
      <c r="G16" s="319" t="s">
        <v>33</v>
      </c>
      <c r="H16" s="319"/>
      <c r="I16" s="319" t="s">
        <v>33</v>
      </c>
      <c r="J16" s="319"/>
      <c r="K16" s="319" t="s">
        <v>33</v>
      </c>
      <c r="L16" s="320"/>
      <c r="M16" s="320"/>
      <c r="N16" s="320"/>
      <c r="O16" s="320"/>
      <c r="P16" s="218">
        <f t="shared" si="69"/>
        <v>24</v>
      </c>
      <c r="Q16" s="62">
        <f>R10-P16</f>
        <v>160</v>
      </c>
      <c r="R16" s="219" t="str">
        <f t="shared" si="70"/>
        <v>Раимова</v>
      </c>
      <c r="S16" s="76" t="s">
        <v>10</v>
      </c>
      <c r="T16" s="77" t="s">
        <v>9</v>
      </c>
      <c r="U16" s="73">
        <f t="shared" si="71"/>
        <v>0</v>
      </c>
      <c r="V16" s="62">
        <f t="shared" si="72"/>
        <v>0</v>
      </c>
      <c r="W16" s="62"/>
      <c r="X16" s="242" t="s">
        <v>38</v>
      </c>
      <c r="Y16" s="7"/>
      <c r="Z16" s="7"/>
      <c r="AA16" s="7"/>
      <c r="AB16" s="13"/>
      <c r="AC16" s="13"/>
      <c r="AD16" s="13"/>
    </row>
    <row r="17" s="21" customFormat="1" ht="14.25">
      <c r="A17" s="203" t="s">
        <v>62</v>
      </c>
      <c r="B17" s="319"/>
      <c r="C17" s="321"/>
      <c r="D17" s="319"/>
      <c r="E17" s="319"/>
      <c r="F17" s="319"/>
      <c r="G17" s="319" t="s">
        <v>33</v>
      </c>
      <c r="H17" s="319"/>
      <c r="I17" s="319" t="s">
        <v>33</v>
      </c>
      <c r="J17" s="319"/>
      <c r="K17" s="319" t="s">
        <v>33</v>
      </c>
      <c r="L17" s="320"/>
      <c r="M17" s="320"/>
      <c r="N17" s="320"/>
      <c r="O17" s="320"/>
      <c r="P17" s="218">
        <f t="shared" si="69"/>
        <v>24</v>
      </c>
      <c r="Q17" s="62">
        <f>R10-P17</f>
        <v>160</v>
      </c>
      <c r="R17" s="322" t="str">
        <f t="shared" si="70"/>
        <v>Войтехович</v>
      </c>
      <c r="S17" s="173" t="s">
        <v>10</v>
      </c>
      <c r="T17" s="300" t="s">
        <v>9</v>
      </c>
      <c r="U17" s="227">
        <f t="shared" si="71"/>
        <v>0</v>
      </c>
      <c r="V17" s="62">
        <f t="shared" si="72"/>
        <v>0</v>
      </c>
      <c r="W17" s="62"/>
      <c r="X17" s="242" t="s">
        <v>34</v>
      </c>
      <c r="Y17" s="7"/>
      <c r="Z17" s="7"/>
      <c r="AA17" s="7"/>
      <c r="AB17" s="13"/>
      <c r="AC17" s="13"/>
      <c r="AD17" s="13"/>
    </row>
    <row r="18" s="21" customFormat="1" ht="14.25">
      <c r="A18" s="203" t="s">
        <v>63</v>
      </c>
      <c r="B18" s="319"/>
      <c r="C18" s="319"/>
      <c r="D18" s="319"/>
      <c r="E18" s="319"/>
      <c r="F18" s="319"/>
      <c r="G18" s="319" t="s">
        <v>33</v>
      </c>
      <c r="H18" s="319"/>
      <c r="I18" s="319" t="s">
        <v>33</v>
      </c>
      <c r="J18" s="319"/>
      <c r="K18" s="319" t="s">
        <v>33</v>
      </c>
      <c r="L18" s="320"/>
      <c r="M18" s="320"/>
      <c r="N18" s="320"/>
      <c r="O18" s="320"/>
      <c r="P18" s="218">
        <f t="shared" si="69"/>
        <v>24</v>
      </c>
      <c r="Q18" s="62">
        <f>R10-P18</f>
        <v>160</v>
      </c>
      <c r="R18" s="288" t="str">
        <f t="shared" si="70"/>
        <v>Васильев</v>
      </c>
      <c r="S18" s="71" t="s">
        <v>12</v>
      </c>
      <c r="T18" s="72" t="s">
        <v>11</v>
      </c>
      <c r="U18" s="73">
        <f t="shared" si="71"/>
        <v>0</v>
      </c>
      <c r="V18" s="62">
        <f t="shared" si="72"/>
        <v>0</v>
      </c>
      <c r="W18" s="62"/>
      <c r="X18" s="242" t="s">
        <v>38</v>
      </c>
      <c r="Y18" s="7"/>
      <c r="Z18" s="7"/>
      <c r="AA18" s="7"/>
      <c r="AB18" s="13"/>
      <c r="AC18" s="13"/>
      <c r="AD18" s="13"/>
    </row>
    <row r="19" s="21" customFormat="1" ht="14.25">
      <c r="A19" s="205" t="s">
        <v>43</v>
      </c>
      <c r="B19" s="323"/>
      <c r="C19" s="323"/>
      <c r="D19" s="323"/>
      <c r="E19" s="323"/>
      <c r="F19" s="76"/>
      <c r="G19" s="324">
        <v>11</v>
      </c>
      <c r="H19" s="76"/>
      <c r="I19" s="324">
        <v>11</v>
      </c>
      <c r="J19" s="76"/>
      <c r="K19" s="324">
        <v>11</v>
      </c>
      <c r="L19" s="325"/>
      <c r="M19" s="325"/>
      <c r="N19" s="326"/>
      <c r="O19" s="327"/>
      <c r="P19" s="218">
        <f t="shared" si="69"/>
        <v>33</v>
      </c>
      <c r="Q19" s="62">
        <f>R10-P19</f>
        <v>151</v>
      </c>
      <c r="R19" s="288" t="str">
        <f t="shared" si="70"/>
        <v>Дащенко</v>
      </c>
      <c r="S19" s="76" t="s">
        <v>10</v>
      </c>
      <c r="T19" s="77" t="s">
        <v>9</v>
      </c>
      <c r="U19" s="73">
        <v>0</v>
      </c>
      <c r="V19" s="62">
        <v>3</v>
      </c>
      <c r="W19" s="229"/>
      <c r="X19" s="74" t="s">
        <v>34</v>
      </c>
      <c r="Y19" s="7"/>
      <c r="Z19" s="7"/>
      <c r="AA19" s="7"/>
      <c r="AB19" s="13"/>
      <c r="AC19" s="13"/>
      <c r="AD19" s="13"/>
    </row>
    <row r="20" s="21" customFormat="1" ht="14.25">
      <c r="A20" s="205" t="s">
        <v>45</v>
      </c>
      <c r="B20" s="323"/>
      <c r="C20" s="328"/>
      <c r="D20" s="77"/>
      <c r="E20" s="329"/>
      <c r="F20" s="77"/>
      <c r="G20" s="329">
        <v>11</v>
      </c>
      <c r="H20" s="67"/>
      <c r="I20" s="330"/>
      <c r="J20" s="325"/>
      <c r="K20" s="325"/>
      <c r="L20" s="76"/>
      <c r="M20" s="324">
        <v>11</v>
      </c>
      <c r="N20" s="76"/>
      <c r="O20" s="324">
        <v>11</v>
      </c>
      <c r="P20" s="218">
        <f t="shared" si="69"/>
        <v>33</v>
      </c>
      <c r="Q20" s="62">
        <f>R10-P20</f>
        <v>151</v>
      </c>
      <c r="R20" s="288" t="str">
        <f t="shared" si="70"/>
        <v>Пузырь</v>
      </c>
      <c r="S20" s="76" t="s">
        <v>10</v>
      </c>
      <c r="T20" s="77" t="s">
        <v>9</v>
      </c>
      <c r="U20" s="73">
        <v>1</v>
      </c>
      <c r="V20" s="62">
        <v>2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s="21" customFormat="1" ht="14.25">
      <c r="A21" s="205" t="s">
        <v>64</v>
      </c>
      <c r="B21" s="323"/>
      <c r="C21" s="323"/>
      <c r="D21" s="323"/>
      <c r="E21" s="323"/>
      <c r="F21" s="326"/>
      <c r="G21" s="327"/>
      <c r="H21" s="77"/>
      <c r="I21" s="329">
        <v>11</v>
      </c>
      <c r="J21" s="77"/>
      <c r="K21" s="329">
        <v>11</v>
      </c>
      <c r="L21" s="67"/>
      <c r="M21" s="330"/>
      <c r="N21" s="67"/>
      <c r="O21" s="330"/>
      <c r="P21" s="218">
        <f t="shared" si="69"/>
        <v>22</v>
      </c>
      <c r="Q21" s="62">
        <f>R10-P21</f>
        <v>162</v>
      </c>
      <c r="R21" s="288" t="str">
        <f t="shared" si="70"/>
        <v>Рожнева</v>
      </c>
      <c r="S21" s="76" t="s">
        <v>10</v>
      </c>
      <c r="T21" s="77" t="s">
        <v>9</v>
      </c>
      <c r="U21" s="73">
        <v>2</v>
      </c>
      <c r="V21" s="62">
        <v>0</v>
      </c>
      <c r="W21" s="62"/>
      <c r="X21" s="74" t="s">
        <v>34</v>
      </c>
      <c r="Y21" s="7"/>
      <c r="Z21" s="7"/>
      <c r="AA21" s="7"/>
      <c r="AB21" s="13"/>
      <c r="AC21" s="13"/>
      <c r="AD21" s="13"/>
    </row>
    <row r="22" s="21" customFormat="1" ht="14.25">
      <c r="A22" s="205" t="s">
        <v>47</v>
      </c>
      <c r="B22" s="77"/>
      <c r="C22" s="329"/>
      <c r="D22" s="323"/>
      <c r="E22" s="323"/>
      <c r="F22" s="323"/>
      <c r="G22" s="323"/>
      <c r="H22" s="67"/>
      <c r="I22" s="330"/>
      <c r="J22" s="77"/>
      <c r="K22" s="329">
        <v>11</v>
      </c>
      <c r="L22" s="77"/>
      <c r="M22" s="329">
        <v>11</v>
      </c>
      <c r="N22" s="67"/>
      <c r="O22" s="330"/>
      <c r="P22" s="218">
        <f t="shared" si="69"/>
        <v>22</v>
      </c>
      <c r="Q22" s="62">
        <f>R10-P22</f>
        <v>162</v>
      </c>
      <c r="R22" s="288" t="str">
        <f t="shared" si="70"/>
        <v>Торубара</v>
      </c>
      <c r="S22" s="76" t="s">
        <v>10</v>
      </c>
      <c r="T22" s="77" t="s">
        <v>9</v>
      </c>
      <c r="U22" s="73">
        <v>2</v>
      </c>
      <c r="V22" s="62">
        <v>0</v>
      </c>
      <c r="W22" s="62"/>
      <c r="X22" s="74" t="s">
        <v>34</v>
      </c>
      <c r="Y22" s="7"/>
      <c r="Z22" s="7"/>
      <c r="AA22" s="7"/>
      <c r="AB22" s="13"/>
      <c r="AC22" s="13"/>
      <c r="AD22" s="13"/>
    </row>
    <row r="23" s="21" customFormat="1" ht="14.25">
      <c r="A23" s="205" t="s">
        <v>48</v>
      </c>
      <c r="B23" s="323"/>
      <c r="C23" s="323"/>
      <c r="D23" s="323"/>
      <c r="E23" s="323"/>
      <c r="F23" s="76"/>
      <c r="G23" s="324">
        <v>11</v>
      </c>
      <c r="H23" s="76"/>
      <c r="I23" s="324">
        <v>11</v>
      </c>
      <c r="J23" s="67"/>
      <c r="K23" s="330"/>
      <c r="L23" s="67"/>
      <c r="M23" s="330"/>
      <c r="N23" s="76"/>
      <c r="O23" s="324">
        <v>11</v>
      </c>
      <c r="P23" s="218">
        <f t="shared" si="69"/>
        <v>33</v>
      </c>
      <c r="Q23" s="62">
        <f>R10-P23</f>
        <v>151</v>
      </c>
      <c r="R23" s="288" t="str">
        <f t="shared" si="70"/>
        <v>Стрыгин</v>
      </c>
      <c r="S23" s="71" t="s">
        <v>8</v>
      </c>
      <c r="T23" s="72" t="s">
        <v>7</v>
      </c>
      <c r="U23" s="73">
        <v>0</v>
      </c>
      <c r="V23" s="62">
        <v>3</v>
      </c>
      <c r="W23" s="62"/>
      <c r="X23" s="74" t="s">
        <v>49</v>
      </c>
      <c r="Y23" s="7"/>
      <c r="Z23" s="7"/>
      <c r="AA23" s="7"/>
      <c r="AB23" s="13"/>
      <c r="AC23" s="13"/>
      <c r="AD23" s="13"/>
    </row>
    <row r="24" s="21" customFormat="1" ht="14.25">
      <c r="A24" s="205" t="s">
        <v>50</v>
      </c>
      <c r="B24" s="76"/>
      <c r="C24" s="324"/>
      <c r="D24" s="76"/>
      <c r="E24" s="324"/>
      <c r="F24" s="323"/>
      <c r="G24" s="323"/>
      <c r="H24" s="67"/>
      <c r="I24" s="330"/>
      <c r="J24" s="326"/>
      <c r="K24" s="327"/>
      <c r="L24" s="77"/>
      <c r="M24" s="329">
        <v>11</v>
      </c>
      <c r="N24" s="77"/>
      <c r="O24" s="329">
        <v>11</v>
      </c>
      <c r="P24" s="218">
        <f t="shared" si="69"/>
        <v>22</v>
      </c>
      <c r="Q24" s="62">
        <f>R10-P24</f>
        <v>162</v>
      </c>
      <c r="R24" s="219" t="str">
        <f t="shared" si="70"/>
        <v>Фрик</v>
      </c>
      <c r="S24" s="71" t="s">
        <v>12</v>
      </c>
      <c r="T24" s="72" t="s">
        <v>11</v>
      </c>
      <c r="U24" s="90">
        <v>2</v>
      </c>
      <c r="V24" s="62">
        <v>0</v>
      </c>
      <c r="W24" s="62"/>
      <c r="X24" s="74" t="s">
        <v>44</v>
      </c>
      <c r="Y24" s="7"/>
      <c r="Z24" s="7"/>
      <c r="AA24" s="7"/>
      <c r="AB24" s="13"/>
      <c r="AC24" s="13"/>
      <c r="AD24" s="13"/>
    </row>
    <row r="25" ht="14.25">
      <c r="A25" s="206" t="s">
        <v>51</v>
      </c>
      <c r="B25" s="323"/>
      <c r="C25" s="323"/>
      <c r="D25" s="323"/>
      <c r="E25" s="323"/>
      <c r="F25" s="77"/>
      <c r="G25" s="329">
        <v>11</v>
      </c>
      <c r="H25" s="77"/>
      <c r="I25" s="329">
        <v>11</v>
      </c>
      <c r="J25" s="67"/>
      <c r="K25" s="330"/>
      <c r="L25" s="67"/>
      <c r="M25" s="330"/>
      <c r="N25" s="77"/>
      <c r="O25" s="329">
        <v>11</v>
      </c>
      <c r="P25" s="218">
        <f t="shared" si="69"/>
        <v>33</v>
      </c>
      <c r="Q25" s="62">
        <f>R10-P25</f>
        <v>151</v>
      </c>
      <c r="R25" s="219" t="str">
        <f t="shared" si="70"/>
        <v>Истрашкин</v>
      </c>
      <c r="S25" s="71" t="s">
        <v>10</v>
      </c>
      <c r="T25" s="72" t="s">
        <v>9</v>
      </c>
      <c r="U25" s="90">
        <v>3</v>
      </c>
      <c r="V25" s="62">
        <v>0</v>
      </c>
      <c r="W25" s="62"/>
      <c r="X25" s="74" t="s">
        <v>34</v>
      </c>
      <c r="Y25" s="7"/>
      <c r="Z25" s="7"/>
      <c r="AA25" s="7"/>
      <c r="AB25" s="13"/>
      <c r="AC25" s="13"/>
      <c r="AD25" s="13"/>
    </row>
    <row r="26" ht="14.25">
      <c r="A26" s="206" t="s">
        <v>65</v>
      </c>
      <c r="B26" s="76"/>
      <c r="C26" s="324"/>
      <c r="D26" s="76"/>
      <c r="E26" s="324"/>
      <c r="F26" s="323"/>
      <c r="G26" s="323"/>
      <c r="H26" s="325"/>
      <c r="I26" s="325"/>
      <c r="J26" s="76"/>
      <c r="K26" s="324">
        <v>11</v>
      </c>
      <c r="L26" s="76"/>
      <c r="M26" s="324">
        <v>11</v>
      </c>
      <c r="N26" s="67"/>
      <c r="O26" s="330"/>
      <c r="P26" s="218">
        <f t="shared" si="69"/>
        <v>22</v>
      </c>
      <c r="Q26" s="62">
        <f>R10-P26</f>
        <v>162</v>
      </c>
      <c r="R26" s="219" t="str">
        <f t="shared" si="70"/>
        <v>Качаев</v>
      </c>
      <c r="S26" s="71"/>
      <c r="T26" s="72"/>
      <c r="U26" s="90">
        <v>0</v>
      </c>
      <c r="V26" s="62">
        <v>2</v>
      </c>
      <c r="W26" s="62"/>
      <c r="X26" s="331"/>
      <c r="Y26" s="7"/>
      <c r="Z26" s="7"/>
      <c r="AA26" s="7"/>
      <c r="AB26" s="13"/>
      <c r="AC26" s="13"/>
      <c r="AD26" s="13"/>
    </row>
    <row r="27" ht="14.25">
      <c r="A27" s="332"/>
      <c r="B27" s="53">
        <f>B11</f>
        <v>46202</v>
      </c>
      <c r="C27" s="53"/>
      <c r="D27" s="53">
        <f>D11</f>
        <v>46203</v>
      </c>
      <c r="E27" s="53"/>
      <c r="F27" s="53">
        <f>F11</f>
        <v>46204</v>
      </c>
      <c r="G27" s="53"/>
      <c r="H27" s="53">
        <f>H11</f>
        <v>46205</v>
      </c>
      <c r="I27" s="53"/>
      <c r="J27" s="53">
        <f>J11</f>
        <v>46206</v>
      </c>
      <c r="K27" s="53"/>
      <c r="L27" s="53">
        <f>L11</f>
        <v>46207</v>
      </c>
      <c r="M27" s="53"/>
      <c r="N27" s="53">
        <f>N11</f>
        <v>46208</v>
      </c>
      <c r="O27" s="54"/>
      <c r="P27" s="333"/>
      <c r="Q27" s="334"/>
      <c r="R27" s="297"/>
      <c r="S27" s="138"/>
      <c r="T27" s="138"/>
      <c r="U27" s="60" t="s">
        <v>27</v>
      </c>
      <c r="V27" s="61" t="s">
        <v>28</v>
      </c>
      <c r="W27" s="335" t="s">
        <v>29</v>
      </c>
      <c r="X27" s="87"/>
      <c r="Y27" s="7"/>
      <c r="Z27" s="7"/>
      <c r="AA27" s="7"/>
      <c r="AB27" s="13"/>
      <c r="AC27" s="13"/>
      <c r="AD27" s="13"/>
    </row>
    <row r="28" ht="14.25">
      <c r="A28" s="336"/>
      <c r="B28" s="337"/>
      <c r="C28" s="337"/>
      <c r="D28" s="337"/>
      <c r="E28" s="337"/>
      <c r="F28" s="337"/>
      <c r="G28" s="337"/>
      <c r="H28" s="337"/>
      <c r="I28" s="337"/>
      <c r="J28" s="337"/>
      <c r="K28" s="337"/>
      <c r="L28" s="337"/>
      <c r="M28" s="337"/>
      <c r="N28" s="337"/>
      <c r="O28" s="337"/>
      <c r="P28" s="337"/>
      <c r="Q28" s="338"/>
      <c r="R28" s="339"/>
      <c r="S28" s="165"/>
      <c r="T28" s="165"/>
      <c r="U28" s="340"/>
      <c r="V28" s="100"/>
      <c r="W28" s="100"/>
      <c r="X28" s="341"/>
      <c r="Y28" s="7"/>
      <c r="Z28" s="80"/>
      <c r="AA28" s="80"/>
      <c r="AB28" s="13"/>
      <c r="AC28" s="13"/>
      <c r="AD28" s="13"/>
    </row>
    <row r="29" ht="14.25">
      <c r="A29" s="98"/>
      <c r="B29" s="101" t="s">
        <v>17</v>
      </c>
      <c r="C29" s="101"/>
      <c r="D29" s="101" t="s">
        <v>18</v>
      </c>
      <c r="E29" s="101"/>
      <c r="F29" s="101" t="s">
        <v>19</v>
      </c>
      <c r="G29" s="101"/>
      <c r="H29" s="101" t="s">
        <v>20</v>
      </c>
      <c r="I29" s="101"/>
      <c r="J29" s="102" t="s">
        <v>21</v>
      </c>
      <c r="K29" s="102"/>
      <c r="L29" s="101" t="s">
        <v>22</v>
      </c>
      <c r="M29" s="101"/>
      <c r="N29" s="101" t="s">
        <v>23</v>
      </c>
      <c r="O29" s="101"/>
      <c r="P29" s="342" t="s">
        <v>24</v>
      </c>
      <c r="Q29" s="343"/>
      <c r="R29" s="339"/>
      <c r="S29" s="165"/>
      <c r="T29" s="165"/>
      <c r="U29" s="340"/>
      <c r="V29" s="100"/>
      <c r="W29" s="100"/>
      <c r="X29" s="74"/>
      <c r="Y29" s="80"/>
      <c r="Z29" s="80"/>
      <c r="AA29" s="80"/>
      <c r="AB29" s="13"/>
      <c r="AC29" s="13"/>
      <c r="AD29" s="13"/>
    </row>
    <row r="30" ht="14.25">
      <c r="A30" s="344"/>
      <c r="B30" s="53">
        <v>46209</v>
      </c>
      <c r="C30" s="53"/>
      <c r="D30" s="53">
        <v>46210</v>
      </c>
      <c r="E30" s="53"/>
      <c r="F30" s="53">
        <v>46211</v>
      </c>
      <c r="G30" s="53"/>
      <c r="H30" s="53">
        <v>46212</v>
      </c>
      <c r="I30" s="53"/>
      <c r="J30" s="345">
        <v>46213</v>
      </c>
      <c r="K30" s="345"/>
      <c r="L30" s="53">
        <v>46214</v>
      </c>
      <c r="M30" s="53"/>
      <c r="N30" s="53">
        <v>46215</v>
      </c>
      <c r="O30" s="53"/>
      <c r="P30" s="346" t="s">
        <v>25</v>
      </c>
      <c r="Q30" s="347" t="s">
        <v>26</v>
      </c>
      <c r="R30" s="348"/>
      <c r="S30" s="239"/>
      <c r="T30" s="239"/>
      <c r="U30" s="172" t="s">
        <v>27</v>
      </c>
      <c r="V30" s="106" t="s">
        <v>28</v>
      </c>
      <c r="W30" s="100" t="s">
        <v>29</v>
      </c>
      <c r="X30" s="74" t="s">
        <v>30</v>
      </c>
      <c r="Y30" s="80"/>
      <c r="Z30" s="80"/>
      <c r="AA30" s="80"/>
      <c r="AB30" s="13"/>
      <c r="AC30" s="13"/>
      <c r="AD30" s="13"/>
    </row>
    <row r="31" ht="14.25">
      <c r="A31" s="217" t="s">
        <v>35</v>
      </c>
      <c r="B31" s="319"/>
      <c r="C31" s="319" t="s">
        <v>33</v>
      </c>
      <c r="D31" s="319"/>
      <c r="E31" s="319" t="s">
        <v>33</v>
      </c>
      <c r="F31" s="319"/>
      <c r="G31" s="319" t="s">
        <v>33</v>
      </c>
      <c r="H31" s="319"/>
      <c r="I31" s="319" t="s">
        <v>33</v>
      </c>
      <c r="J31" s="349"/>
      <c r="K31" s="349" t="s">
        <v>33</v>
      </c>
      <c r="L31" s="320"/>
      <c r="M31" s="350"/>
      <c r="N31" s="320"/>
      <c r="O31" s="350"/>
      <c r="P31" s="218">
        <f t="shared" si="69"/>
        <v>40</v>
      </c>
      <c r="Q31" s="62">
        <f t="shared" ref="Q31:Q94" si="73">Q12-P31</f>
        <v>120</v>
      </c>
      <c r="R31" s="351" t="str">
        <f t="shared" si="70"/>
        <v>Рычков</v>
      </c>
      <c r="S31" s="173" t="s">
        <v>10</v>
      </c>
      <c r="T31" s="77" t="s">
        <v>9</v>
      </c>
      <c r="U31" s="227">
        <f t="shared" si="71"/>
        <v>0</v>
      </c>
      <c r="V31" s="62">
        <f t="shared" si="72"/>
        <v>0</v>
      </c>
      <c r="W31" s="227"/>
      <c r="X31" s="74" t="s">
        <v>34</v>
      </c>
      <c r="Y31" s="80"/>
      <c r="Z31" s="80"/>
      <c r="AA31" s="80"/>
      <c r="AB31" s="13"/>
      <c r="AC31" s="13"/>
      <c r="AD31" s="13"/>
    </row>
    <row r="32" ht="14.25">
      <c r="A32" s="203" t="s">
        <v>39</v>
      </c>
      <c r="B32" s="123"/>
      <c r="C32" s="123" t="s">
        <v>33</v>
      </c>
      <c r="D32" s="123"/>
      <c r="E32" s="123" t="s">
        <v>33</v>
      </c>
      <c r="F32" s="123"/>
      <c r="G32" s="123" t="s">
        <v>33</v>
      </c>
      <c r="H32" s="123"/>
      <c r="I32" s="123" t="s">
        <v>33</v>
      </c>
      <c r="J32" s="122"/>
      <c r="K32" s="122" t="s">
        <v>33</v>
      </c>
      <c r="L32" s="123"/>
      <c r="M32" s="123"/>
      <c r="N32" s="123"/>
      <c r="O32" s="123"/>
      <c r="P32" s="218">
        <f t="shared" si="69"/>
        <v>40</v>
      </c>
      <c r="Q32" s="62">
        <f t="shared" si="73"/>
        <v>120</v>
      </c>
      <c r="R32" s="288" t="str">
        <f t="shared" si="70"/>
        <v>Игумнов</v>
      </c>
      <c r="S32" s="76" t="s">
        <v>10</v>
      </c>
      <c r="T32" s="77" t="s">
        <v>9</v>
      </c>
      <c r="U32" s="73">
        <f t="shared" si="71"/>
        <v>0</v>
      </c>
      <c r="V32" s="62">
        <f t="shared" si="72"/>
        <v>0</v>
      </c>
      <c r="W32" s="62"/>
      <c r="X32" s="74" t="s">
        <v>38</v>
      </c>
      <c r="Y32" s="80"/>
      <c r="Z32" s="7"/>
      <c r="AA32" s="7"/>
      <c r="AB32" s="13"/>
      <c r="AC32" s="13"/>
      <c r="AD32" s="13"/>
    </row>
    <row r="33" ht="14.25">
      <c r="A33" s="203" t="s">
        <v>40</v>
      </c>
      <c r="B33" s="319"/>
      <c r="C33" s="319" t="s">
        <v>33</v>
      </c>
      <c r="D33" s="319"/>
      <c r="E33" s="319" t="s">
        <v>33</v>
      </c>
      <c r="F33" s="319"/>
      <c r="G33" s="319" t="s">
        <v>33</v>
      </c>
      <c r="H33" s="319"/>
      <c r="I33" s="319" t="s">
        <v>33</v>
      </c>
      <c r="J33" s="349"/>
      <c r="K33" s="352" t="s">
        <v>33</v>
      </c>
      <c r="L33" s="320"/>
      <c r="M33" s="320"/>
      <c r="N33" s="320"/>
      <c r="O33" s="353"/>
      <c r="P33" s="218">
        <f t="shared" si="69"/>
        <v>40</v>
      </c>
      <c r="Q33" s="62">
        <f t="shared" si="73"/>
        <v>120</v>
      </c>
      <c r="R33" s="288" t="str">
        <f t="shared" si="70"/>
        <v>Душин</v>
      </c>
      <c r="S33" s="354" t="s">
        <v>58</v>
      </c>
      <c r="T33" s="251" t="s">
        <v>59</v>
      </c>
      <c r="U33" s="73">
        <f t="shared" si="71"/>
        <v>0</v>
      </c>
      <c r="V33" s="62">
        <f t="shared" si="72"/>
        <v>0</v>
      </c>
      <c r="W33" s="90"/>
      <c r="X33" s="74" t="s">
        <v>34</v>
      </c>
      <c r="Y33" s="80"/>
      <c r="Z33" s="7"/>
      <c r="AA33" s="7"/>
      <c r="AB33" s="13"/>
      <c r="AC33" s="13"/>
      <c r="AD33" s="13"/>
    </row>
    <row r="34" ht="14.25">
      <c r="A34" s="203" t="s">
        <v>31</v>
      </c>
      <c r="B34" s="123"/>
      <c r="C34" s="123" t="s">
        <v>33</v>
      </c>
      <c r="D34" s="123"/>
      <c r="E34" s="123" t="s">
        <v>33</v>
      </c>
      <c r="F34" s="123"/>
      <c r="G34" s="123" t="s">
        <v>33</v>
      </c>
      <c r="H34" s="123"/>
      <c r="I34" s="123" t="s">
        <v>33</v>
      </c>
      <c r="J34" s="122"/>
      <c r="K34" s="122" t="s">
        <v>33</v>
      </c>
      <c r="L34" s="123"/>
      <c r="M34" s="355"/>
      <c r="N34" s="123"/>
      <c r="O34" s="123"/>
      <c r="P34" s="218">
        <f t="shared" si="69"/>
        <v>40</v>
      </c>
      <c r="Q34" s="62">
        <f t="shared" si="73"/>
        <v>120</v>
      </c>
      <c r="R34" s="288" t="str">
        <f t="shared" si="70"/>
        <v>Нетронин</v>
      </c>
      <c r="S34" s="76" t="s">
        <v>58</v>
      </c>
      <c r="T34" s="77" t="s">
        <v>59</v>
      </c>
      <c r="U34" s="73">
        <f t="shared" si="71"/>
        <v>0</v>
      </c>
      <c r="V34" s="229">
        <f t="shared" si="72"/>
        <v>0</v>
      </c>
      <c r="W34" s="62"/>
      <c r="X34" s="74" t="s">
        <v>34</v>
      </c>
      <c r="Y34" s="7"/>
      <c r="Z34" s="7"/>
      <c r="AA34" s="7"/>
      <c r="AB34" s="13"/>
      <c r="AC34" s="13"/>
      <c r="AD34" s="13"/>
    </row>
    <row r="35" ht="14.25">
      <c r="A35" s="203" t="s">
        <v>61</v>
      </c>
      <c r="B35" s="319"/>
      <c r="C35" s="321" t="s">
        <v>33</v>
      </c>
      <c r="D35" s="319"/>
      <c r="E35" s="319" t="s">
        <v>33</v>
      </c>
      <c r="F35" s="319"/>
      <c r="G35" s="319" t="s">
        <v>33</v>
      </c>
      <c r="H35" s="321"/>
      <c r="I35" s="319" t="s">
        <v>33</v>
      </c>
      <c r="J35" s="352"/>
      <c r="K35" s="349" t="s">
        <v>33</v>
      </c>
      <c r="L35" s="350"/>
      <c r="M35" s="320"/>
      <c r="N35" s="320"/>
      <c r="O35" s="320"/>
      <c r="P35" s="218">
        <f t="shared" si="69"/>
        <v>40</v>
      </c>
      <c r="Q35" s="62">
        <f t="shared" si="73"/>
        <v>120</v>
      </c>
      <c r="R35" s="288" t="str">
        <f t="shared" si="70"/>
        <v>Раимова</v>
      </c>
      <c r="S35" s="76" t="s">
        <v>10</v>
      </c>
      <c r="T35" s="77" t="s">
        <v>9</v>
      </c>
      <c r="U35" s="73">
        <f t="shared" si="71"/>
        <v>0</v>
      </c>
      <c r="V35" s="62">
        <f t="shared" si="72"/>
        <v>0</v>
      </c>
      <c r="W35" s="62"/>
      <c r="X35" s="74" t="s">
        <v>38</v>
      </c>
      <c r="Y35" s="7"/>
      <c r="Z35" s="7"/>
      <c r="AA35" s="7"/>
      <c r="AB35" s="13"/>
      <c r="AC35" s="13"/>
      <c r="AD35" s="13"/>
    </row>
    <row r="36" ht="14.25">
      <c r="A36" s="203" t="s">
        <v>62</v>
      </c>
      <c r="B36" s="319"/>
      <c r="C36" s="319" t="s">
        <v>33</v>
      </c>
      <c r="D36" s="321"/>
      <c r="E36" s="319" t="s">
        <v>33</v>
      </c>
      <c r="F36" s="321"/>
      <c r="G36" s="319" t="s">
        <v>33</v>
      </c>
      <c r="H36" s="319"/>
      <c r="I36" s="319" t="s">
        <v>33</v>
      </c>
      <c r="J36" s="349"/>
      <c r="K36" s="349" t="s">
        <v>33</v>
      </c>
      <c r="L36" s="320"/>
      <c r="M36" s="320"/>
      <c r="N36" s="320"/>
      <c r="O36" s="320"/>
      <c r="P36" s="218">
        <f t="shared" si="69"/>
        <v>40</v>
      </c>
      <c r="Q36" s="62">
        <f t="shared" si="73"/>
        <v>120</v>
      </c>
      <c r="R36" s="288" t="str">
        <f t="shared" si="70"/>
        <v>Войтехович</v>
      </c>
      <c r="S36" s="76" t="s">
        <v>10</v>
      </c>
      <c r="T36" s="77" t="s">
        <v>9</v>
      </c>
      <c r="U36" s="73">
        <f t="shared" si="71"/>
        <v>0</v>
      </c>
      <c r="V36" s="62">
        <f t="shared" si="72"/>
        <v>0</v>
      </c>
      <c r="W36" s="62"/>
      <c r="X36" s="74" t="s">
        <v>38</v>
      </c>
      <c r="Y36" s="7"/>
      <c r="Z36" s="7"/>
      <c r="AA36" s="7"/>
      <c r="AB36" s="13"/>
      <c r="AC36" s="13"/>
      <c r="AD36" s="13"/>
    </row>
    <row r="37" ht="14.25">
      <c r="A37" s="203" t="s">
        <v>63</v>
      </c>
      <c r="B37" s="319"/>
      <c r="C37" s="319" t="s">
        <v>33</v>
      </c>
      <c r="D37" s="319"/>
      <c r="E37" s="319" t="s">
        <v>33</v>
      </c>
      <c r="F37" s="319"/>
      <c r="G37" s="319" t="s">
        <v>33</v>
      </c>
      <c r="H37" s="321"/>
      <c r="I37" s="319" t="s">
        <v>33</v>
      </c>
      <c r="J37" s="352"/>
      <c r="K37" s="349" t="s">
        <v>33</v>
      </c>
      <c r="L37" s="320"/>
      <c r="M37" s="350"/>
      <c r="N37" s="320"/>
      <c r="O37" s="320"/>
      <c r="P37" s="218">
        <f t="shared" si="69"/>
        <v>40</v>
      </c>
      <c r="Q37" s="62">
        <f t="shared" si="73"/>
        <v>120</v>
      </c>
      <c r="R37" s="288" t="str">
        <f t="shared" si="70"/>
        <v>Васильев</v>
      </c>
      <c r="S37" s="71" t="s">
        <v>12</v>
      </c>
      <c r="T37" s="72" t="s">
        <v>11</v>
      </c>
      <c r="U37" s="73">
        <f t="shared" si="71"/>
        <v>0</v>
      </c>
      <c r="V37" s="62">
        <f t="shared" si="72"/>
        <v>0</v>
      </c>
      <c r="W37" s="62"/>
      <c r="X37" s="356" t="s">
        <v>44</v>
      </c>
      <c r="Y37" s="7"/>
      <c r="Z37" s="7"/>
      <c r="AA37" s="7"/>
      <c r="AB37" s="13"/>
      <c r="AC37" s="13"/>
      <c r="AD37" s="13"/>
    </row>
    <row r="38" ht="14.25">
      <c r="A38" s="205" t="s">
        <v>43</v>
      </c>
      <c r="B38" s="76"/>
      <c r="C38" s="357">
        <v>11</v>
      </c>
      <c r="D38" s="76"/>
      <c r="E38" s="324">
        <v>11</v>
      </c>
      <c r="F38" s="320"/>
      <c r="G38" s="320"/>
      <c r="H38" s="67"/>
      <c r="I38" s="330"/>
      <c r="J38" s="66"/>
      <c r="K38" s="358"/>
      <c r="L38" s="77"/>
      <c r="M38" s="329">
        <v>11</v>
      </c>
      <c r="N38" s="77"/>
      <c r="O38" s="329">
        <v>11</v>
      </c>
      <c r="P38" s="218">
        <f t="shared" si="69"/>
        <v>44</v>
      </c>
      <c r="Q38" s="62">
        <f t="shared" si="73"/>
        <v>107</v>
      </c>
      <c r="R38" s="288" t="str">
        <f t="shared" si="70"/>
        <v>Дащенко</v>
      </c>
      <c r="S38" s="76" t="s">
        <v>10</v>
      </c>
      <c r="T38" s="77" t="s">
        <v>9</v>
      </c>
      <c r="U38" s="73">
        <v>2</v>
      </c>
      <c r="V38" s="62">
        <v>2</v>
      </c>
      <c r="W38" s="62"/>
      <c r="X38" s="74" t="s">
        <v>34</v>
      </c>
      <c r="Y38" s="7"/>
      <c r="Z38" s="7"/>
      <c r="AA38" s="7"/>
      <c r="AB38" s="13"/>
      <c r="AC38" s="13"/>
      <c r="AD38" s="13"/>
    </row>
    <row r="39" ht="14.25">
      <c r="A39" s="205" t="s">
        <v>45</v>
      </c>
      <c r="B39" s="67"/>
      <c r="C39" s="330"/>
      <c r="D39" s="359"/>
      <c r="E39" s="320"/>
      <c r="F39" s="251"/>
      <c r="G39" s="329">
        <v>11</v>
      </c>
      <c r="H39" s="77"/>
      <c r="I39" s="329">
        <v>11</v>
      </c>
      <c r="J39" s="66"/>
      <c r="K39" s="358"/>
      <c r="L39" s="261"/>
      <c r="M39" s="330"/>
      <c r="N39" s="251"/>
      <c r="O39" s="329">
        <v>11</v>
      </c>
      <c r="P39" s="218">
        <f t="shared" si="69"/>
        <v>33</v>
      </c>
      <c r="Q39" s="62">
        <f t="shared" si="73"/>
        <v>118</v>
      </c>
      <c r="R39" s="288" t="str">
        <f t="shared" si="70"/>
        <v>Пузырь</v>
      </c>
      <c r="S39" s="76" t="s">
        <v>10</v>
      </c>
      <c r="T39" s="77" t="s">
        <v>9</v>
      </c>
      <c r="U39" s="73">
        <v>3</v>
      </c>
      <c r="V39" s="62"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25">
      <c r="A40" s="205" t="s">
        <v>64</v>
      </c>
      <c r="B40" s="77"/>
      <c r="C40" s="329">
        <v>11</v>
      </c>
      <c r="D40" s="77"/>
      <c r="E40" s="329">
        <v>11</v>
      </c>
      <c r="F40" s="123"/>
      <c r="G40" s="123" t="s">
        <v>33</v>
      </c>
      <c r="H40" s="123"/>
      <c r="I40" s="123" t="s">
        <v>33</v>
      </c>
      <c r="J40" s="122"/>
      <c r="K40" s="122" t="s">
        <v>33</v>
      </c>
      <c r="L40" s="123"/>
      <c r="M40" s="123"/>
      <c r="N40" s="123"/>
      <c r="O40" s="123"/>
      <c r="P40" s="218">
        <f t="shared" si="69"/>
        <v>46</v>
      </c>
      <c r="Q40" s="62">
        <f t="shared" si="73"/>
        <v>116</v>
      </c>
      <c r="R40" s="219" t="str">
        <f t="shared" si="70"/>
        <v>Рожнева</v>
      </c>
      <c r="S40" s="76" t="s">
        <v>10</v>
      </c>
      <c r="T40" s="77" t="s">
        <v>9</v>
      </c>
      <c r="U40" s="90">
        <v>2</v>
      </c>
      <c r="V40" s="62">
        <v>0</v>
      </c>
      <c r="W40" s="62"/>
      <c r="X40" s="74" t="s">
        <v>34</v>
      </c>
      <c r="Y40" s="7"/>
      <c r="Z40" s="7"/>
      <c r="AA40" s="7"/>
      <c r="AB40" s="13"/>
      <c r="AC40" s="13"/>
      <c r="AD40" s="13"/>
    </row>
    <row r="41" ht="14.25">
      <c r="A41" s="205" t="s">
        <v>47</v>
      </c>
      <c r="B41" s="67"/>
      <c r="C41" s="330"/>
      <c r="D41" s="76"/>
      <c r="E41" s="324">
        <v>11</v>
      </c>
      <c r="F41" s="76"/>
      <c r="G41" s="324">
        <v>11</v>
      </c>
      <c r="H41" s="67"/>
      <c r="I41" s="330"/>
      <c r="J41" s="66"/>
      <c r="K41" s="358"/>
      <c r="L41" s="76"/>
      <c r="M41" s="324">
        <v>11</v>
      </c>
      <c r="N41" s="76"/>
      <c r="O41" s="324">
        <v>11</v>
      </c>
      <c r="P41" s="218">
        <f t="shared" si="69"/>
        <v>44</v>
      </c>
      <c r="Q41" s="62">
        <f t="shared" si="73"/>
        <v>118</v>
      </c>
      <c r="R41" s="219" t="str">
        <f t="shared" si="70"/>
        <v>Торубара</v>
      </c>
      <c r="S41" s="76" t="s">
        <v>10</v>
      </c>
      <c r="T41" s="77" t="s">
        <v>9</v>
      </c>
      <c r="U41" s="90">
        <v>4</v>
      </c>
      <c r="V41" s="62">
        <v>0</v>
      </c>
      <c r="W41" s="62"/>
      <c r="X41" s="74" t="s">
        <v>34</v>
      </c>
      <c r="Y41" s="7"/>
      <c r="Z41" s="7"/>
      <c r="AA41" s="7"/>
      <c r="AB41" s="13"/>
      <c r="AC41" s="13"/>
      <c r="AD41" s="13"/>
    </row>
    <row r="42" ht="14.25">
      <c r="A42" s="205" t="s">
        <v>48</v>
      </c>
      <c r="B42" s="76"/>
      <c r="C42" s="324">
        <v>11</v>
      </c>
      <c r="D42" s="67"/>
      <c r="E42" s="330"/>
      <c r="F42" s="67"/>
      <c r="G42" s="330"/>
      <c r="H42" s="320"/>
      <c r="I42" s="320"/>
      <c r="J42" s="83"/>
      <c r="K42" s="360">
        <v>11</v>
      </c>
      <c r="L42" s="77"/>
      <c r="M42" s="329">
        <v>11</v>
      </c>
      <c r="N42" s="67"/>
      <c r="O42" s="330"/>
      <c r="P42" s="218">
        <f t="shared" si="69"/>
        <v>33</v>
      </c>
      <c r="Q42" s="62">
        <f t="shared" si="73"/>
        <v>118</v>
      </c>
      <c r="R42" s="219" t="str">
        <f t="shared" si="70"/>
        <v>Стрыгин</v>
      </c>
      <c r="S42" s="71" t="s">
        <v>8</v>
      </c>
      <c r="T42" s="72" t="s">
        <v>7</v>
      </c>
      <c r="U42" s="90">
        <v>2</v>
      </c>
      <c r="V42" s="62">
        <v>1</v>
      </c>
      <c r="W42" s="62"/>
      <c r="X42" s="74" t="s">
        <v>49</v>
      </c>
      <c r="Y42" s="7"/>
      <c r="Z42" s="7"/>
      <c r="AA42" s="7"/>
      <c r="AB42" s="13"/>
      <c r="AC42" s="13"/>
      <c r="AD42" s="13"/>
    </row>
    <row r="43" ht="14.25">
      <c r="A43" s="361" t="s">
        <v>50</v>
      </c>
      <c r="B43" s="362"/>
      <c r="C43" s="363"/>
      <c r="D43" s="362"/>
      <c r="E43" s="364"/>
      <c r="F43" s="76"/>
      <c r="G43" s="365">
        <v>11</v>
      </c>
      <c r="H43" s="76"/>
      <c r="I43" s="365">
        <v>11</v>
      </c>
      <c r="J43" s="78"/>
      <c r="K43" s="366">
        <v>11</v>
      </c>
      <c r="L43" s="367"/>
      <c r="M43" s="364"/>
      <c r="N43" s="67"/>
      <c r="O43" s="368"/>
      <c r="P43" s="218">
        <f t="shared" si="69"/>
        <v>33</v>
      </c>
      <c r="Q43" s="62">
        <f t="shared" si="73"/>
        <v>129</v>
      </c>
      <c r="R43" s="219" t="str">
        <f t="shared" si="70"/>
        <v>Фрик</v>
      </c>
      <c r="S43" s="71" t="s">
        <v>12</v>
      </c>
      <c r="T43" s="72" t="s">
        <v>11</v>
      </c>
      <c r="U43" s="90">
        <f t="shared" si="71"/>
        <v>0</v>
      </c>
      <c r="V43" s="62">
        <v>3</v>
      </c>
      <c r="W43" s="62"/>
      <c r="X43" s="74" t="s">
        <v>44</v>
      </c>
      <c r="Y43" s="7"/>
      <c r="Z43" s="7"/>
      <c r="AA43" s="7"/>
      <c r="AB43" s="13"/>
      <c r="AC43" s="13"/>
      <c r="AD43" s="13"/>
    </row>
    <row r="44" ht="14.25">
      <c r="A44" s="206" t="s">
        <v>51</v>
      </c>
      <c r="B44" s="123"/>
      <c r="C44" s="123" t="s">
        <v>33</v>
      </c>
      <c r="D44" s="123"/>
      <c r="E44" s="123" t="s">
        <v>33</v>
      </c>
      <c r="F44" s="123"/>
      <c r="G44" s="123" t="s">
        <v>33</v>
      </c>
      <c r="H44" s="123"/>
      <c r="I44" s="123" t="s">
        <v>33</v>
      </c>
      <c r="J44" s="122"/>
      <c r="K44" s="122" t="s">
        <v>33</v>
      </c>
      <c r="L44" s="123"/>
      <c r="M44" s="123"/>
      <c r="N44" s="123"/>
      <c r="O44" s="123"/>
      <c r="P44" s="218">
        <f t="shared" si="69"/>
        <v>40</v>
      </c>
      <c r="Q44" s="62">
        <f t="shared" si="73"/>
        <v>111</v>
      </c>
      <c r="R44" s="288" t="str">
        <f t="shared" si="70"/>
        <v>Истрашкин</v>
      </c>
      <c r="S44" s="71" t="s">
        <v>10</v>
      </c>
      <c r="T44" s="72" t="s">
        <v>9</v>
      </c>
      <c r="U44" s="73">
        <v>1</v>
      </c>
      <c r="V44" s="62">
        <v>2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25">
      <c r="A45" s="369" t="s">
        <v>65</v>
      </c>
      <c r="B45" s="320"/>
      <c r="C45" s="320"/>
      <c r="D45" s="77"/>
      <c r="E45" s="329">
        <v>11</v>
      </c>
      <c r="F45" s="67"/>
      <c r="G45" s="330"/>
      <c r="H45" s="76"/>
      <c r="I45" s="324">
        <v>11</v>
      </c>
      <c r="J45" s="78"/>
      <c r="K45" s="370">
        <v>11</v>
      </c>
      <c r="L45" s="67"/>
      <c r="M45" s="330"/>
      <c r="N45" s="67"/>
      <c r="O45" s="330"/>
      <c r="P45" s="218">
        <f t="shared" si="69"/>
        <v>33</v>
      </c>
      <c r="Q45" s="62">
        <f t="shared" si="73"/>
        <v>129</v>
      </c>
      <c r="R45" s="288" t="str">
        <f t="shared" si="70"/>
        <v>Качаев</v>
      </c>
      <c r="S45" s="71" t="s">
        <v>10</v>
      </c>
      <c r="T45" s="72" t="s">
        <v>9</v>
      </c>
      <c r="U45" s="73">
        <v>1</v>
      </c>
      <c r="V45" s="62">
        <v>2</v>
      </c>
      <c r="W45" s="62"/>
      <c r="X45" s="74" t="s">
        <v>34</v>
      </c>
      <c r="Y45" s="7"/>
      <c r="Z45" s="7"/>
      <c r="AA45" s="7"/>
      <c r="AB45" s="13"/>
      <c r="AC45" s="13"/>
      <c r="AD45" s="13"/>
    </row>
    <row r="46" ht="14.25">
      <c r="A46" s="97"/>
      <c r="B46" s="53">
        <f>B30</f>
        <v>46209</v>
      </c>
      <c r="C46" s="53"/>
      <c r="D46" s="53">
        <f>D30</f>
        <v>46210</v>
      </c>
      <c r="E46" s="53"/>
      <c r="F46" s="53">
        <f>F30</f>
        <v>46211</v>
      </c>
      <c r="G46" s="53"/>
      <c r="H46" s="53">
        <f>H30</f>
        <v>46212</v>
      </c>
      <c r="I46" s="53"/>
      <c r="J46" s="345">
        <f>J30</f>
        <v>46213</v>
      </c>
      <c r="K46" s="345"/>
      <c r="L46" s="53">
        <f>L30</f>
        <v>46214</v>
      </c>
      <c r="M46" s="53"/>
      <c r="N46" s="53">
        <f>N30</f>
        <v>46215</v>
      </c>
      <c r="O46" s="53"/>
      <c r="P46" s="371"/>
      <c r="Q46" s="282"/>
      <c r="R46" s="372"/>
      <c r="S46" s="178"/>
      <c r="T46" s="178"/>
      <c r="U46" s="340"/>
      <c r="V46" s="100"/>
      <c r="W46" s="100"/>
      <c r="X46" s="373"/>
      <c r="Y46" s="7"/>
      <c r="Z46" s="7"/>
      <c r="AA46" s="7"/>
      <c r="AB46" s="13"/>
      <c r="AC46" s="13"/>
      <c r="AD46" s="13"/>
    </row>
    <row r="47" ht="14.25">
      <c r="A47" s="336"/>
      <c r="B47" s="337"/>
      <c r="C47" s="337"/>
      <c r="D47" s="337"/>
      <c r="E47" s="337"/>
      <c r="F47" s="337"/>
      <c r="G47" s="337"/>
      <c r="H47" s="337"/>
      <c r="I47" s="337"/>
      <c r="J47" s="337"/>
      <c r="K47" s="337"/>
      <c r="L47" s="337"/>
      <c r="M47" s="337"/>
      <c r="N47" s="337"/>
      <c r="O47" s="337"/>
      <c r="P47" s="337"/>
      <c r="Q47" s="338"/>
      <c r="R47" s="339"/>
      <c r="S47" s="165"/>
      <c r="T47" s="165"/>
      <c r="U47" s="12"/>
      <c r="V47" s="100"/>
      <c r="W47" s="12"/>
      <c r="X47" s="74"/>
      <c r="Y47" s="7"/>
      <c r="Z47" s="7"/>
      <c r="AA47" s="7"/>
      <c r="AB47" s="13"/>
      <c r="AC47" s="13"/>
      <c r="AD47" s="13"/>
    </row>
    <row r="48" ht="14.25">
      <c r="A48" s="52"/>
      <c r="B48" s="56" t="s">
        <v>17</v>
      </c>
      <c r="C48" s="116"/>
      <c r="D48" s="56" t="s">
        <v>18</v>
      </c>
      <c r="E48" s="116"/>
      <c r="F48" s="56" t="s">
        <v>19</v>
      </c>
      <c r="G48" s="56"/>
      <c r="H48" s="56" t="s">
        <v>20</v>
      </c>
      <c r="I48" s="116"/>
      <c r="J48" s="56" t="s">
        <v>21</v>
      </c>
      <c r="K48" s="56"/>
      <c r="L48" s="56" t="s">
        <v>22</v>
      </c>
      <c r="M48" s="56"/>
      <c r="N48" s="56" t="s">
        <v>23</v>
      </c>
      <c r="O48" s="56"/>
      <c r="P48" s="374" t="s">
        <v>24</v>
      </c>
      <c r="Q48" s="375"/>
      <c r="R48" s="376"/>
      <c r="S48" s="143"/>
      <c r="T48" s="143"/>
      <c r="U48" s="90"/>
      <c r="V48" s="62"/>
      <c r="W48" s="62"/>
      <c r="X48" s="74"/>
      <c r="Y48" s="7"/>
      <c r="Z48" s="7"/>
      <c r="AA48" s="7"/>
      <c r="AB48" s="13"/>
      <c r="AC48" s="13"/>
      <c r="AD48" s="13"/>
    </row>
    <row r="49" ht="14.25">
      <c r="A49" s="377"/>
      <c r="B49" s="53">
        <v>46216</v>
      </c>
      <c r="C49" s="53"/>
      <c r="D49" s="53">
        <v>46217</v>
      </c>
      <c r="E49" s="53"/>
      <c r="F49" s="53">
        <v>46218</v>
      </c>
      <c r="G49" s="53"/>
      <c r="H49" s="53">
        <v>46219</v>
      </c>
      <c r="I49" s="53"/>
      <c r="J49" s="53">
        <v>46220</v>
      </c>
      <c r="K49" s="53"/>
      <c r="L49" s="378">
        <v>46221</v>
      </c>
      <c r="M49" s="53"/>
      <c r="N49" s="378">
        <v>46222</v>
      </c>
      <c r="O49" s="54"/>
      <c r="P49" s="379" t="s">
        <v>25</v>
      </c>
      <c r="Q49" s="380" t="s">
        <v>26</v>
      </c>
      <c r="R49" s="381"/>
      <c r="S49" s="147"/>
      <c r="T49" s="147"/>
      <c r="U49" s="194" t="s">
        <v>27</v>
      </c>
      <c r="V49" s="382" t="s">
        <v>28</v>
      </c>
      <c r="W49" s="62" t="s">
        <v>29</v>
      </c>
      <c r="X49" s="74" t="s">
        <v>30</v>
      </c>
      <c r="Y49" s="7"/>
      <c r="Z49" s="7"/>
      <c r="AA49" s="7"/>
      <c r="AB49" s="13"/>
      <c r="AC49" s="13"/>
      <c r="AD49" s="13"/>
    </row>
    <row r="50" ht="14.25">
      <c r="A50" s="217" t="s">
        <v>35</v>
      </c>
      <c r="B50" s="319"/>
      <c r="C50" s="319" t="s">
        <v>33</v>
      </c>
      <c r="D50" s="319"/>
      <c r="E50" s="319" t="s">
        <v>33</v>
      </c>
      <c r="F50" s="319"/>
      <c r="G50" s="319" t="s">
        <v>33</v>
      </c>
      <c r="H50" s="319"/>
      <c r="I50" s="319" t="s">
        <v>33</v>
      </c>
      <c r="J50" s="355"/>
      <c r="K50" s="123" t="s">
        <v>33</v>
      </c>
      <c r="L50" s="123"/>
      <c r="M50" s="123"/>
      <c r="N50" s="123"/>
      <c r="O50" s="123"/>
      <c r="P50" s="218">
        <f t="shared" si="69"/>
        <v>40</v>
      </c>
      <c r="Q50" s="62">
        <f t="shared" si="73"/>
        <v>80</v>
      </c>
      <c r="R50" s="288" t="str">
        <f t="shared" si="70"/>
        <v>Рычков</v>
      </c>
      <c r="S50" s="76" t="s">
        <v>10</v>
      </c>
      <c r="T50" s="77" t="s">
        <v>9</v>
      </c>
      <c r="U50" s="73">
        <f t="shared" si="71"/>
        <v>0</v>
      </c>
      <c r="V50" s="62">
        <f t="shared" si="72"/>
        <v>0</v>
      </c>
      <c r="W50" s="62"/>
      <c r="X50" s="74" t="s">
        <v>34</v>
      </c>
      <c r="Y50" s="7"/>
      <c r="Z50" s="7"/>
      <c r="AA50" s="7"/>
      <c r="AB50" s="13"/>
      <c r="AC50" s="13"/>
      <c r="AD50" s="13"/>
    </row>
    <row r="51" ht="14.25">
      <c r="A51" s="203" t="s">
        <v>39</v>
      </c>
      <c r="B51" s="123"/>
      <c r="C51" s="123" t="s">
        <v>33</v>
      </c>
      <c r="D51" s="123"/>
      <c r="E51" s="123" t="s">
        <v>33</v>
      </c>
      <c r="F51" s="123"/>
      <c r="G51" s="123" t="s">
        <v>33</v>
      </c>
      <c r="H51" s="123"/>
      <c r="I51" s="123" t="s">
        <v>33</v>
      </c>
      <c r="J51" s="319"/>
      <c r="K51" s="383" t="s">
        <v>33</v>
      </c>
      <c r="L51" s="320"/>
      <c r="M51" s="384"/>
      <c r="N51" s="320"/>
      <c r="O51" s="384"/>
      <c r="P51" s="218">
        <f t="shared" si="69"/>
        <v>40</v>
      </c>
      <c r="Q51" s="62">
        <f t="shared" si="73"/>
        <v>80</v>
      </c>
      <c r="R51" s="288" t="str">
        <f t="shared" si="70"/>
        <v>Игумнов</v>
      </c>
      <c r="S51" s="76" t="s">
        <v>10</v>
      </c>
      <c r="T51" s="77" t="s">
        <v>9</v>
      </c>
      <c r="U51" s="73">
        <f t="shared" si="71"/>
        <v>0</v>
      </c>
      <c r="V51" s="62">
        <f t="shared" si="72"/>
        <v>0</v>
      </c>
      <c r="W51" s="62"/>
      <c r="X51" s="74" t="s">
        <v>38</v>
      </c>
      <c r="Y51" s="7"/>
      <c r="Z51" s="7"/>
      <c r="AA51" s="7"/>
      <c r="AB51" s="13"/>
      <c r="AC51" s="13"/>
      <c r="AD51" s="13"/>
    </row>
    <row r="52" ht="14.25">
      <c r="A52" s="203" t="s">
        <v>40</v>
      </c>
      <c r="B52" s="319"/>
      <c r="C52" s="383" t="s">
        <v>33</v>
      </c>
      <c r="D52" s="319"/>
      <c r="E52" s="385" t="s">
        <v>33</v>
      </c>
      <c r="F52" s="319"/>
      <c r="G52" s="386" t="s">
        <v>33</v>
      </c>
      <c r="H52" s="319"/>
      <c r="I52" s="386" t="s">
        <v>33</v>
      </c>
      <c r="J52" s="319"/>
      <c r="K52" s="386" t="s">
        <v>33</v>
      </c>
      <c r="L52" s="320"/>
      <c r="M52" s="387"/>
      <c r="N52" s="320"/>
      <c r="O52" s="387"/>
      <c r="P52" s="218">
        <f t="shared" si="69"/>
        <v>40</v>
      </c>
      <c r="Q52" s="62">
        <f t="shared" si="73"/>
        <v>80</v>
      </c>
      <c r="R52" s="288" t="str">
        <f t="shared" si="70"/>
        <v>Душин</v>
      </c>
      <c r="S52" s="76" t="s">
        <v>58</v>
      </c>
      <c r="T52" s="77" t="s">
        <v>59</v>
      </c>
      <c r="U52" s="73">
        <f t="shared" si="71"/>
        <v>0</v>
      </c>
      <c r="V52" s="62">
        <f t="shared" si="72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25">
      <c r="A53" s="203" t="s">
        <v>31</v>
      </c>
      <c r="B53" s="123"/>
      <c r="C53" s="123" t="s">
        <v>33</v>
      </c>
      <c r="D53" s="123"/>
      <c r="E53" s="123" t="s">
        <v>33</v>
      </c>
      <c r="F53" s="355"/>
      <c r="G53" s="123" t="s">
        <v>33</v>
      </c>
      <c r="H53" s="388"/>
      <c r="I53" s="355" t="s">
        <v>33</v>
      </c>
      <c r="J53" s="123"/>
      <c r="K53" s="123" t="s">
        <v>33</v>
      </c>
      <c r="L53" s="123"/>
      <c r="M53" s="123"/>
      <c r="N53" s="355"/>
      <c r="O53" s="123"/>
      <c r="P53" s="218">
        <f t="shared" si="69"/>
        <v>40</v>
      </c>
      <c r="Q53" s="62">
        <f t="shared" si="73"/>
        <v>80</v>
      </c>
      <c r="R53" s="288" t="str">
        <f t="shared" si="70"/>
        <v>Нетронин</v>
      </c>
      <c r="S53" s="76" t="s">
        <v>58</v>
      </c>
      <c r="T53" s="77" t="s">
        <v>59</v>
      </c>
      <c r="U53" s="73">
        <f t="shared" si="71"/>
        <v>0</v>
      </c>
      <c r="V53" s="62">
        <f t="shared" si="72"/>
        <v>0</v>
      </c>
      <c r="W53" s="62"/>
      <c r="X53" s="74" t="s">
        <v>34</v>
      </c>
      <c r="Y53" s="7"/>
      <c r="Z53" s="7"/>
      <c r="AA53" s="7"/>
      <c r="AB53" s="13"/>
      <c r="AC53" s="13"/>
      <c r="AD53" s="13"/>
    </row>
    <row r="54" ht="14.25">
      <c r="A54" s="203" t="s">
        <v>61</v>
      </c>
      <c r="B54" s="319"/>
      <c r="C54" s="319" t="s">
        <v>33</v>
      </c>
      <c r="D54" s="321"/>
      <c r="E54" s="319" t="s">
        <v>33</v>
      </c>
      <c r="F54" s="319"/>
      <c r="G54" s="319" t="s">
        <v>33</v>
      </c>
      <c r="H54" s="319"/>
      <c r="I54" s="319" t="s">
        <v>33</v>
      </c>
      <c r="J54" s="321"/>
      <c r="K54" s="319" t="s">
        <v>33</v>
      </c>
      <c r="L54" s="350"/>
      <c r="M54" s="320"/>
      <c r="N54" s="320"/>
      <c r="O54" s="320"/>
      <c r="P54" s="218">
        <f t="shared" si="69"/>
        <v>40</v>
      </c>
      <c r="Q54" s="62">
        <f t="shared" si="73"/>
        <v>80</v>
      </c>
      <c r="R54" s="288" t="str">
        <f t="shared" si="70"/>
        <v>Раимова</v>
      </c>
      <c r="S54" s="76" t="s">
        <v>10</v>
      </c>
      <c r="T54" s="77" t="s">
        <v>9</v>
      </c>
      <c r="U54" s="73">
        <f t="shared" si="71"/>
        <v>0</v>
      </c>
      <c r="V54" s="62">
        <f t="shared" si="72"/>
        <v>0</v>
      </c>
      <c r="W54" s="62"/>
      <c r="X54" s="74" t="s">
        <v>38</v>
      </c>
      <c r="Y54" s="7"/>
      <c r="Z54" s="7"/>
      <c r="AA54" s="7"/>
      <c r="AB54" s="13"/>
      <c r="AC54" s="13"/>
      <c r="AD54" s="13"/>
    </row>
    <row r="55" ht="14.25">
      <c r="A55" s="203" t="s">
        <v>62</v>
      </c>
      <c r="B55" s="319"/>
      <c r="C55" s="319" t="s">
        <v>33</v>
      </c>
      <c r="D55" s="319"/>
      <c r="E55" s="319" t="s">
        <v>33</v>
      </c>
      <c r="F55" s="321"/>
      <c r="G55" s="319" t="s">
        <v>33</v>
      </c>
      <c r="H55" s="321"/>
      <c r="I55" s="319" t="s">
        <v>33</v>
      </c>
      <c r="J55" s="319"/>
      <c r="K55" s="319" t="s">
        <v>33</v>
      </c>
      <c r="L55" s="320"/>
      <c r="M55" s="320"/>
      <c r="N55" s="350"/>
      <c r="O55" s="320"/>
      <c r="P55" s="218">
        <f t="shared" si="69"/>
        <v>40</v>
      </c>
      <c r="Q55" s="62">
        <f t="shared" si="73"/>
        <v>80</v>
      </c>
      <c r="R55" s="288" t="str">
        <f t="shared" si="70"/>
        <v>Войтехович</v>
      </c>
      <c r="S55" s="76" t="s">
        <v>10</v>
      </c>
      <c r="T55" s="77" t="s">
        <v>9</v>
      </c>
      <c r="U55" s="73">
        <f t="shared" si="71"/>
        <v>0</v>
      </c>
      <c r="V55" s="62">
        <f t="shared" si="72"/>
        <v>0</v>
      </c>
      <c r="W55" s="62"/>
      <c r="X55" s="74" t="s">
        <v>38</v>
      </c>
      <c r="Y55" s="7"/>
      <c r="Z55" s="7"/>
      <c r="AA55" s="7"/>
      <c r="AB55" s="13"/>
      <c r="AC55" s="13"/>
      <c r="AD55" s="13"/>
    </row>
    <row r="56" ht="14.25">
      <c r="A56" s="203" t="s">
        <v>63</v>
      </c>
      <c r="B56" s="319"/>
      <c r="C56" s="319" t="s">
        <v>33</v>
      </c>
      <c r="D56" s="319"/>
      <c r="E56" s="319" t="s">
        <v>33</v>
      </c>
      <c r="F56" s="319"/>
      <c r="G56" s="319" t="s">
        <v>33</v>
      </c>
      <c r="H56" s="319"/>
      <c r="I56" s="319" t="s">
        <v>33</v>
      </c>
      <c r="J56" s="319"/>
      <c r="K56" s="319" t="s">
        <v>33</v>
      </c>
      <c r="L56" s="320"/>
      <c r="M56" s="320"/>
      <c r="N56" s="320"/>
      <c r="O56" s="320"/>
      <c r="P56" s="218">
        <f t="shared" si="69"/>
        <v>40</v>
      </c>
      <c r="Q56" s="62">
        <f t="shared" si="73"/>
        <v>80</v>
      </c>
      <c r="R56" s="219" t="str">
        <f t="shared" si="70"/>
        <v>Васильев</v>
      </c>
      <c r="S56" s="71" t="s">
        <v>12</v>
      </c>
      <c r="T56" s="72" t="s">
        <v>11</v>
      </c>
      <c r="U56" s="90">
        <f t="shared" si="71"/>
        <v>0</v>
      </c>
      <c r="V56" s="62">
        <f t="shared" si="72"/>
        <v>0</v>
      </c>
      <c r="W56" s="62"/>
      <c r="X56" s="356" t="s">
        <v>44</v>
      </c>
      <c r="Y56" s="7"/>
      <c r="Z56" s="7"/>
      <c r="AA56" s="7"/>
      <c r="AB56" s="13"/>
      <c r="AC56" s="13"/>
      <c r="AD56" s="13"/>
    </row>
    <row r="57" ht="14.25">
      <c r="A57" s="205" t="s">
        <v>43</v>
      </c>
      <c r="B57" s="67"/>
      <c r="C57" s="330"/>
      <c r="D57" s="67"/>
      <c r="E57" s="330"/>
      <c r="F57" s="77"/>
      <c r="G57" s="329">
        <v>11</v>
      </c>
      <c r="H57" s="77"/>
      <c r="I57" s="329">
        <v>11</v>
      </c>
      <c r="J57" s="67"/>
      <c r="K57" s="330"/>
      <c r="L57" s="123"/>
      <c r="M57" s="123"/>
      <c r="N57" s="123"/>
      <c r="O57" s="123"/>
      <c r="P57" s="218">
        <f t="shared" si="69"/>
        <v>22</v>
      </c>
      <c r="Q57" s="62">
        <f t="shared" si="73"/>
        <v>85</v>
      </c>
      <c r="R57" s="219" t="str">
        <f t="shared" si="70"/>
        <v>Дащенко</v>
      </c>
      <c r="S57" s="76" t="s">
        <v>10</v>
      </c>
      <c r="T57" s="77" t="s">
        <v>9</v>
      </c>
      <c r="U57" s="73">
        <v>2</v>
      </c>
      <c r="V57" s="62">
        <v>0</v>
      </c>
      <c r="W57" s="62"/>
      <c r="X57" s="74" t="s">
        <v>34</v>
      </c>
      <c r="Y57" s="7"/>
      <c r="Z57" s="7"/>
      <c r="AA57" s="7"/>
      <c r="AB57" s="13"/>
      <c r="AC57" s="13"/>
      <c r="AD57" s="13"/>
    </row>
    <row r="58" ht="14.25">
      <c r="A58" s="205" t="s">
        <v>45</v>
      </c>
      <c r="B58" s="77"/>
      <c r="C58" s="329">
        <v>11</v>
      </c>
      <c r="D58" s="67"/>
      <c r="E58" s="330"/>
      <c r="F58" s="67"/>
      <c r="G58" s="330"/>
      <c r="H58" s="320"/>
      <c r="I58" s="320"/>
      <c r="J58" s="77"/>
      <c r="K58" s="329">
        <v>11</v>
      </c>
      <c r="L58" s="77"/>
      <c r="M58" s="329">
        <v>11</v>
      </c>
      <c r="N58" s="67"/>
      <c r="O58" s="330"/>
      <c r="P58" s="218">
        <f t="shared" si="69"/>
        <v>33</v>
      </c>
      <c r="Q58" s="62">
        <f t="shared" si="73"/>
        <v>85</v>
      </c>
      <c r="R58" s="219" t="str">
        <f t="shared" si="70"/>
        <v>Пузырь</v>
      </c>
      <c r="S58" s="76" t="s">
        <v>10</v>
      </c>
      <c r="T58" s="77" t="s">
        <v>9</v>
      </c>
      <c r="U58" s="90">
        <v>2</v>
      </c>
      <c r="V58" s="62">
        <f>COUNTIF(S58,B58)+COUNTIF(S58,D58)+COUNTIF(S58,F58)+COUNTIF(S58,H58)+COUNTIF(S58,J58)+COUNTIF(S58,#REF!)+COUNTIF(S58,N58)</f>
        <v>0</v>
      </c>
      <c r="W58" s="62"/>
      <c r="X58" s="74" t="s">
        <v>34</v>
      </c>
      <c r="Y58" s="7"/>
      <c r="Z58" s="7"/>
      <c r="AA58" s="7"/>
      <c r="AB58" s="13"/>
      <c r="AC58" s="13"/>
      <c r="AD58" s="13"/>
    </row>
    <row r="59" ht="14.25">
      <c r="A59" s="205" t="s">
        <v>64</v>
      </c>
      <c r="B59" s="123"/>
      <c r="C59" s="123" t="s">
        <v>33</v>
      </c>
      <c r="D59" s="123"/>
      <c r="E59" s="123" t="s">
        <v>33</v>
      </c>
      <c r="F59" s="123"/>
      <c r="G59" s="123" t="s">
        <v>33</v>
      </c>
      <c r="H59" s="123"/>
      <c r="I59" s="123" t="s">
        <v>33</v>
      </c>
      <c r="J59" s="123"/>
      <c r="K59" s="123" t="s">
        <v>33</v>
      </c>
      <c r="L59" s="123"/>
      <c r="M59" s="123"/>
      <c r="N59" s="123"/>
      <c r="O59" s="123"/>
      <c r="P59" s="218">
        <f t="shared" si="69"/>
        <v>40</v>
      </c>
      <c r="Q59" s="62">
        <f t="shared" si="73"/>
        <v>76</v>
      </c>
      <c r="R59" s="219" t="str">
        <f t="shared" si="70"/>
        <v>Рожнева</v>
      </c>
      <c r="S59" s="76" t="s">
        <v>10</v>
      </c>
      <c r="T59" s="77" t="s">
        <v>9</v>
      </c>
      <c r="U59" s="90">
        <f>COUNTIF(T59,B59)+COUNTIF(T59,D59)+COUNTIF(T59,F59)+COUNTIF(T59,H59)+COUNTIF(T59,J59)+COUNTIF(T59,L58)+COUNTIF(T59,N59)</f>
        <v>0</v>
      </c>
      <c r="V59" s="62">
        <v>0</v>
      </c>
      <c r="W59" s="62"/>
      <c r="X59" s="74" t="s">
        <v>34</v>
      </c>
      <c r="Y59" s="7"/>
      <c r="Z59" s="7"/>
      <c r="AA59" s="7"/>
      <c r="AB59" s="13"/>
      <c r="AC59" s="13"/>
      <c r="AD59" s="13"/>
    </row>
    <row r="60" ht="14.25">
      <c r="A60" s="361" t="s">
        <v>47</v>
      </c>
      <c r="B60" s="362"/>
      <c r="C60" s="363"/>
      <c r="D60" s="362"/>
      <c r="E60" s="364"/>
      <c r="F60" s="76"/>
      <c r="G60" s="365">
        <v>11</v>
      </c>
      <c r="H60" s="76"/>
      <c r="I60" s="365">
        <v>11</v>
      </c>
      <c r="J60" s="367"/>
      <c r="K60" s="364"/>
      <c r="L60" s="67"/>
      <c r="M60" s="368"/>
      <c r="N60" s="77"/>
      <c r="O60" s="389">
        <v>11</v>
      </c>
      <c r="P60" s="218">
        <f t="shared" si="69"/>
        <v>33</v>
      </c>
      <c r="Q60" s="62">
        <f t="shared" si="73"/>
        <v>85</v>
      </c>
      <c r="R60" s="288" t="str">
        <f t="shared" si="70"/>
        <v>Торубара</v>
      </c>
      <c r="S60" s="76" t="s">
        <v>10</v>
      </c>
      <c r="T60" s="77" t="s">
        <v>9</v>
      </c>
      <c r="U60" s="73">
        <v>1</v>
      </c>
      <c r="V60" s="62">
        <v>2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205" t="s">
        <v>48</v>
      </c>
      <c r="B61" s="123"/>
      <c r="C61" s="123" t="s">
        <v>33</v>
      </c>
      <c r="D61" s="123"/>
      <c r="E61" s="123" t="s">
        <v>33</v>
      </c>
      <c r="F61" s="123"/>
      <c r="G61" s="123" t="s">
        <v>33</v>
      </c>
      <c r="H61" s="123"/>
      <c r="I61" s="123" t="s">
        <v>33</v>
      </c>
      <c r="J61" s="123"/>
      <c r="K61" s="123" t="s">
        <v>33</v>
      </c>
      <c r="L61" s="123"/>
      <c r="M61" s="355"/>
      <c r="N61" s="123"/>
      <c r="O61" s="355"/>
      <c r="P61" s="218">
        <f t="shared" si="69"/>
        <v>40</v>
      </c>
      <c r="Q61" s="62">
        <f t="shared" si="73"/>
        <v>78</v>
      </c>
      <c r="R61" s="288" t="str">
        <f t="shared" si="70"/>
        <v>Стрыгин</v>
      </c>
      <c r="S61" s="71" t="s">
        <v>8</v>
      </c>
      <c r="T61" s="72" t="s">
        <v>7</v>
      </c>
      <c r="U61" s="73">
        <v>2</v>
      </c>
      <c r="V61" s="62">
        <f>COUNTIF(S61,B61)+COUNTIF(S61,D61)+COUNTIF(S61,F61)+COUNTIF(S61,H61)+COUNTIF(S61,J61)+COUNTIF(S61,L61)+COUNTIF(S61,N61)</f>
        <v>0</v>
      </c>
      <c r="W61" s="62"/>
      <c r="X61" s="74" t="s">
        <v>49</v>
      </c>
      <c r="Y61" s="7"/>
      <c r="Z61" s="7"/>
      <c r="AA61" s="7"/>
      <c r="AB61" s="13"/>
      <c r="AC61" s="13"/>
      <c r="AD61" s="13"/>
    </row>
    <row r="62" ht="14.25">
      <c r="A62" s="205" t="s">
        <v>50</v>
      </c>
      <c r="B62" s="67"/>
      <c r="C62" s="368"/>
      <c r="D62" s="77"/>
      <c r="E62" s="329">
        <v>11</v>
      </c>
      <c r="F62" s="77"/>
      <c r="G62" s="329">
        <v>11</v>
      </c>
      <c r="H62" s="77"/>
      <c r="I62" s="329">
        <v>11</v>
      </c>
      <c r="J62" s="67"/>
      <c r="K62" s="330"/>
      <c r="L62" s="325"/>
      <c r="M62" s="325"/>
      <c r="N62" s="76"/>
      <c r="O62" s="324">
        <v>11</v>
      </c>
      <c r="P62" s="218">
        <f t="shared" si="69"/>
        <v>44</v>
      </c>
      <c r="Q62" s="62">
        <f t="shared" si="73"/>
        <v>85</v>
      </c>
      <c r="R62" s="288" t="str">
        <f t="shared" si="70"/>
        <v>Фрик</v>
      </c>
      <c r="S62" s="71" t="s">
        <v>12</v>
      </c>
      <c r="T62" s="72" t="s">
        <v>11</v>
      </c>
      <c r="U62" s="73">
        <v>3</v>
      </c>
      <c r="V62" s="62">
        <v>1</v>
      </c>
      <c r="W62" s="62"/>
      <c r="X62" s="74" t="s">
        <v>44</v>
      </c>
      <c r="Y62" s="7"/>
      <c r="Z62" s="7"/>
      <c r="AA62" s="7"/>
      <c r="AB62" s="13"/>
      <c r="AC62" s="13"/>
      <c r="AD62" s="13"/>
    </row>
    <row r="63" ht="14.25">
      <c r="A63" s="206" t="s">
        <v>51</v>
      </c>
      <c r="B63" s="77"/>
      <c r="C63" s="329">
        <v>11</v>
      </c>
      <c r="D63" s="77"/>
      <c r="E63" s="329">
        <v>11</v>
      </c>
      <c r="F63" s="320"/>
      <c r="G63" s="320"/>
      <c r="H63" s="67"/>
      <c r="I63" s="330"/>
      <c r="J63" s="76"/>
      <c r="K63" s="324">
        <v>11</v>
      </c>
      <c r="L63" s="76"/>
      <c r="M63" s="357">
        <v>11</v>
      </c>
      <c r="N63" s="320"/>
      <c r="O63" s="350"/>
      <c r="P63" s="218">
        <f t="shared" si="69"/>
        <v>44</v>
      </c>
      <c r="Q63" s="62">
        <f t="shared" si="73"/>
        <v>67</v>
      </c>
      <c r="R63" s="351" t="str">
        <f t="shared" si="70"/>
        <v>Истрашкин</v>
      </c>
      <c r="S63" s="268" t="s">
        <v>10</v>
      </c>
      <c r="T63" s="72" t="s">
        <v>9</v>
      </c>
      <c r="U63" s="227">
        <v>2</v>
      </c>
      <c r="V63" s="62">
        <v>2</v>
      </c>
      <c r="W63" s="227"/>
      <c r="X63" s="74" t="s">
        <v>34</v>
      </c>
      <c r="Y63" s="7"/>
      <c r="Z63" s="7"/>
      <c r="AA63" s="7"/>
      <c r="AB63" s="13"/>
      <c r="AC63" s="13"/>
      <c r="AD63" s="13"/>
    </row>
    <row r="64" ht="14.25">
      <c r="A64" s="369" t="s">
        <v>65</v>
      </c>
      <c r="B64" s="76"/>
      <c r="C64" s="324">
        <v>11</v>
      </c>
      <c r="D64" s="76"/>
      <c r="E64" s="324">
        <v>11</v>
      </c>
      <c r="F64" s="67"/>
      <c r="G64" s="330"/>
      <c r="H64" s="67"/>
      <c r="I64" s="330"/>
      <c r="J64" s="77"/>
      <c r="K64" s="329">
        <v>11</v>
      </c>
      <c r="L64" s="77"/>
      <c r="M64" s="329">
        <v>11</v>
      </c>
      <c r="N64" s="67"/>
      <c r="O64" s="330"/>
      <c r="P64" s="333">
        <f t="shared" si="69"/>
        <v>44</v>
      </c>
      <c r="Q64" s="390">
        <f t="shared" si="73"/>
        <v>85</v>
      </c>
      <c r="R64" s="288" t="str">
        <f t="shared" si="70"/>
        <v>Качаев</v>
      </c>
      <c r="S64" s="71" t="s">
        <v>10</v>
      </c>
      <c r="T64" s="72" t="s">
        <v>9</v>
      </c>
      <c r="U64" s="73">
        <v>2</v>
      </c>
      <c r="V64" s="62">
        <v>2</v>
      </c>
      <c r="W64" s="62"/>
      <c r="X64" s="74" t="s">
        <v>34</v>
      </c>
      <c r="Y64" s="7"/>
      <c r="Z64" s="7"/>
      <c r="AA64" s="7"/>
      <c r="AB64" s="13"/>
      <c r="AC64" s="13"/>
      <c r="AD64" s="13"/>
    </row>
    <row r="65" ht="14.4">
      <c r="A65" s="92"/>
      <c r="B65" s="53">
        <f>B49</f>
        <v>46216</v>
      </c>
      <c r="C65" s="378"/>
      <c r="D65" s="53">
        <f>D49</f>
        <v>46217</v>
      </c>
      <c r="E65" s="378"/>
      <c r="F65" s="53">
        <f>F49</f>
        <v>46218</v>
      </c>
      <c r="G65" s="378"/>
      <c r="H65" s="53">
        <f>H49</f>
        <v>46219</v>
      </c>
      <c r="I65" s="378"/>
      <c r="J65" s="53">
        <f>J49</f>
        <v>46220</v>
      </c>
      <c r="K65" s="378"/>
      <c r="L65" s="53">
        <f>L49</f>
        <v>46221</v>
      </c>
      <c r="M65" s="378"/>
      <c r="N65" s="53">
        <f>N49</f>
        <v>46222</v>
      </c>
      <c r="O65" s="378"/>
      <c r="P65" s="68"/>
      <c r="Q65" s="67"/>
      <c r="R65" s="391"/>
      <c r="S65" s="138"/>
      <c r="T65" s="138"/>
      <c r="U65" s="194" t="s">
        <v>27</v>
      </c>
      <c r="V65" s="382" t="s">
        <v>28</v>
      </c>
      <c r="W65" s="62" t="s">
        <v>29</v>
      </c>
      <c r="X65" s="74" t="s">
        <v>34</v>
      </c>
      <c r="Y65" s="7"/>
      <c r="Z65" s="7"/>
      <c r="AA65" s="7"/>
      <c r="AB65" s="13"/>
      <c r="AC65" s="13"/>
      <c r="AD65" s="13"/>
    </row>
    <row r="66" ht="14.4">
      <c r="A66" s="98"/>
      <c r="B66" s="98"/>
      <c r="C66" s="98"/>
      <c r="D66" s="98"/>
      <c r="E66" s="98"/>
      <c r="F66" s="153"/>
      <c r="G66" s="98"/>
      <c r="H66" s="98"/>
      <c r="I66" s="98"/>
      <c r="J66" s="98"/>
      <c r="K66" s="98"/>
      <c r="L66" s="153"/>
      <c r="M66" s="98"/>
      <c r="N66" s="153"/>
      <c r="O66" s="98"/>
      <c r="P66" s="98"/>
      <c r="Q66" s="98"/>
      <c r="R66" s="392"/>
      <c r="S66" s="393"/>
      <c r="T66" s="393"/>
      <c r="U66" s="339"/>
      <c r="V66" s="165"/>
      <c r="W66" s="100"/>
      <c r="X66" s="373"/>
      <c r="Y66" s="7"/>
      <c r="Z66" s="7"/>
      <c r="AA66" s="7"/>
      <c r="AB66" s="13"/>
      <c r="AC66" s="13"/>
      <c r="AD66" s="13"/>
    </row>
    <row r="67" ht="14.4">
      <c r="A67" s="52"/>
      <c r="B67" s="56" t="s">
        <v>17</v>
      </c>
      <c r="C67" s="116"/>
      <c r="D67" s="56" t="s">
        <v>18</v>
      </c>
      <c r="E67" s="116"/>
      <c r="F67" s="56" t="s">
        <v>19</v>
      </c>
      <c r="G67" s="56"/>
      <c r="H67" s="56" t="s">
        <v>20</v>
      </c>
      <c r="I67" s="116"/>
      <c r="J67" s="129" t="s">
        <v>21</v>
      </c>
      <c r="K67" s="129"/>
      <c r="L67" s="56" t="s">
        <v>22</v>
      </c>
      <c r="M67" s="56"/>
      <c r="N67" s="56" t="s">
        <v>23</v>
      </c>
      <c r="O67" s="56"/>
      <c r="P67" s="374" t="s">
        <v>24</v>
      </c>
      <c r="Q67" s="375"/>
      <c r="R67" s="376"/>
      <c r="S67" s="143"/>
      <c r="T67" s="143"/>
      <c r="U67" s="90"/>
      <c r="V67" s="62"/>
      <c r="W67" s="62"/>
      <c r="X67" s="74"/>
      <c r="Y67" s="7"/>
      <c r="Z67" s="7"/>
      <c r="AA67" s="7"/>
      <c r="AB67" s="13"/>
      <c r="AC67" s="13"/>
      <c r="AD67" s="13"/>
    </row>
    <row r="68" ht="14.4">
      <c r="A68" s="377"/>
      <c r="B68" s="53">
        <v>46223</v>
      </c>
      <c r="C68" s="53"/>
      <c r="D68" s="53">
        <v>46224</v>
      </c>
      <c r="E68" s="53"/>
      <c r="F68" s="53">
        <v>46225</v>
      </c>
      <c r="G68" s="53"/>
      <c r="H68" s="53">
        <v>46226</v>
      </c>
      <c r="I68" s="53"/>
      <c r="J68" s="53">
        <v>46227</v>
      </c>
      <c r="K68" s="53"/>
      <c r="L68" s="53">
        <v>46228</v>
      </c>
      <c r="M68" s="53"/>
      <c r="N68" s="53">
        <v>46229</v>
      </c>
      <c r="O68" s="54"/>
      <c r="P68" s="379" t="s">
        <v>25</v>
      </c>
      <c r="Q68" s="380" t="s">
        <v>26</v>
      </c>
      <c r="R68" s="381"/>
      <c r="S68" s="147"/>
      <c r="T68" s="147"/>
      <c r="U68" s="194" t="s">
        <v>27</v>
      </c>
      <c r="V68" s="61" t="s">
        <v>28</v>
      </c>
      <c r="W68" s="62" t="s">
        <v>29</v>
      </c>
      <c r="X68" s="74" t="s">
        <v>30</v>
      </c>
      <c r="Y68" s="7"/>
      <c r="Z68" s="7"/>
      <c r="AA68" s="7"/>
      <c r="AB68" s="13"/>
      <c r="AC68" s="13"/>
      <c r="AD68" s="13"/>
    </row>
    <row r="69" ht="14.4">
      <c r="A69" s="203" t="s">
        <v>35</v>
      </c>
      <c r="B69" s="123"/>
      <c r="C69" s="123" t="s">
        <v>33</v>
      </c>
      <c r="D69" s="355"/>
      <c r="E69" s="123" t="s">
        <v>33</v>
      </c>
      <c r="F69" s="123"/>
      <c r="G69" s="123" t="s">
        <v>33</v>
      </c>
      <c r="H69" s="355"/>
      <c r="I69" s="123" t="s">
        <v>33</v>
      </c>
      <c r="J69" s="355"/>
      <c r="K69" s="123" t="s">
        <v>33</v>
      </c>
      <c r="L69" s="123"/>
      <c r="M69" s="123"/>
      <c r="N69" s="123"/>
      <c r="O69" s="123"/>
      <c r="P69" s="218">
        <f t="shared" si="69"/>
        <v>40</v>
      </c>
      <c r="Q69" s="62">
        <f t="shared" si="73"/>
        <v>40</v>
      </c>
      <c r="R69" s="288" t="str">
        <f t="shared" si="70"/>
        <v>Рычков</v>
      </c>
      <c r="S69" s="76" t="s">
        <v>10</v>
      </c>
      <c r="T69" s="77" t="s">
        <v>9</v>
      </c>
      <c r="U69" s="73">
        <f t="shared" ref="U69:U95" si="74">COUNTIF(T69,B69)+COUNTIF(T69,D69)+COUNTIF(T69,F69)+COUNTIF(T69,H69)+COUNTIF(T69,J69)+COUNTIF(T69,L69)+COUNTIF(T69,N69)</f>
        <v>0</v>
      </c>
      <c r="V69" s="62">
        <f t="shared" ref="V69:V97" si="75">COUNTIF(S69,B69)+COUNTIF(S69,D69)+COUNTIF(S69,F69)+COUNTIF(S69,H69)+COUNTIF(S69,J69)+COUNTIF(S69,L69)+COUNTIF(S69,N69)</f>
        <v>0</v>
      </c>
      <c r="W69" s="62"/>
      <c r="X69" s="74" t="s">
        <v>34</v>
      </c>
      <c r="Y69" s="7"/>
      <c r="Z69" s="7"/>
      <c r="AA69" s="7"/>
      <c r="AB69" s="13"/>
      <c r="AC69" s="13"/>
      <c r="AD69" s="13"/>
    </row>
    <row r="70" ht="14.4">
      <c r="A70" s="203" t="s">
        <v>39</v>
      </c>
      <c r="B70" s="319"/>
      <c r="C70" s="321" t="s">
        <v>33</v>
      </c>
      <c r="D70" s="319"/>
      <c r="E70" s="319" t="s">
        <v>33</v>
      </c>
      <c r="F70" s="321"/>
      <c r="G70" s="319" t="s">
        <v>33</v>
      </c>
      <c r="H70" s="319"/>
      <c r="I70" s="319" t="s">
        <v>33</v>
      </c>
      <c r="J70" s="319"/>
      <c r="K70" s="321" t="s">
        <v>33</v>
      </c>
      <c r="L70" s="320"/>
      <c r="M70" s="320"/>
      <c r="N70" s="350"/>
      <c r="O70" s="320"/>
      <c r="P70" s="218">
        <f t="shared" si="69"/>
        <v>40</v>
      </c>
      <c r="Q70" s="62">
        <f t="shared" si="73"/>
        <v>40</v>
      </c>
      <c r="R70" s="288" t="str">
        <f t="shared" si="70"/>
        <v>Игумнов</v>
      </c>
      <c r="S70" s="76" t="s">
        <v>10</v>
      </c>
      <c r="T70" s="77" t="s">
        <v>9</v>
      </c>
      <c r="U70" s="73">
        <f t="shared" si="74"/>
        <v>0</v>
      </c>
      <c r="V70" s="62">
        <f t="shared" si="75"/>
        <v>0</v>
      </c>
      <c r="W70" s="62"/>
      <c r="X70" s="74" t="s">
        <v>38</v>
      </c>
      <c r="Y70" s="7"/>
      <c r="Z70" s="7"/>
      <c r="AA70" s="7"/>
      <c r="AB70" s="13"/>
      <c r="AC70" s="13"/>
      <c r="AD70" s="13"/>
    </row>
    <row r="71" ht="14.4">
      <c r="A71" s="203" t="s">
        <v>40</v>
      </c>
      <c r="B71" s="394"/>
      <c r="C71" s="395" t="s">
        <v>33</v>
      </c>
      <c r="D71" s="394"/>
      <c r="E71" s="395" t="s">
        <v>33</v>
      </c>
      <c r="F71" s="394"/>
      <c r="G71" s="395" t="s">
        <v>33</v>
      </c>
      <c r="H71" s="394"/>
      <c r="I71" s="395" t="s">
        <v>33</v>
      </c>
      <c r="J71" s="394"/>
      <c r="K71" s="395" t="s">
        <v>33</v>
      </c>
      <c r="L71" s="396"/>
      <c r="M71" s="397"/>
      <c r="N71" s="396"/>
      <c r="O71" s="397"/>
      <c r="P71" s="218">
        <f t="shared" si="69"/>
        <v>40</v>
      </c>
      <c r="Q71" s="62">
        <f t="shared" si="73"/>
        <v>40</v>
      </c>
      <c r="R71" s="288" t="str">
        <f t="shared" si="70"/>
        <v>Душин</v>
      </c>
      <c r="S71" s="76" t="s">
        <v>58</v>
      </c>
      <c r="T71" s="77" t="s">
        <v>59</v>
      </c>
      <c r="U71" s="73">
        <f t="shared" si="74"/>
        <v>0</v>
      </c>
      <c r="V71" s="62">
        <f t="shared" si="75"/>
        <v>0</v>
      </c>
      <c r="W71" s="62"/>
      <c r="X71" s="74" t="s">
        <v>34</v>
      </c>
      <c r="Y71" s="7"/>
      <c r="Z71" s="7"/>
      <c r="AA71" s="7"/>
      <c r="AB71" s="13"/>
      <c r="AC71" s="13"/>
      <c r="AD71" s="13"/>
    </row>
    <row r="72" ht="14.4">
      <c r="A72" s="203" t="s">
        <v>31</v>
      </c>
      <c r="B72" s="398"/>
      <c r="C72" s="398" t="s">
        <v>33</v>
      </c>
      <c r="D72" s="398"/>
      <c r="E72" s="398" t="s">
        <v>33</v>
      </c>
      <c r="F72" s="398"/>
      <c r="G72" s="398" t="s">
        <v>33</v>
      </c>
      <c r="H72" s="398"/>
      <c r="I72" s="398" t="s">
        <v>33</v>
      </c>
      <c r="J72" s="398"/>
      <c r="K72" s="398" t="s">
        <v>33</v>
      </c>
      <c r="L72" s="399"/>
      <c r="M72" s="399"/>
      <c r="N72" s="399"/>
      <c r="O72" s="399"/>
      <c r="P72" s="218">
        <f t="shared" si="69"/>
        <v>40</v>
      </c>
      <c r="Q72" s="62">
        <f t="shared" si="73"/>
        <v>40</v>
      </c>
      <c r="R72" s="219" t="str">
        <f t="shared" si="70"/>
        <v>Нетронин</v>
      </c>
      <c r="S72" s="76" t="s">
        <v>58</v>
      </c>
      <c r="T72" s="77" t="s">
        <v>59</v>
      </c>
      <c r="U72" s="90">
        <f t="shared" si="74"/>
        <v>0</v>
      </c>
      <c r="V72" s="62">
        <f t="shared" si="75"/>
        <v>0</v>
      </c>
      <c r="W72" s="62"/>
      <c r="X72" s="74" t="s">
        <v>34</v>
      </c>
      <c r="Y72" s="7"/>
      <c r="Z72" s="7"/>
      <c r="AA72" s="7"/>
      <c r="AB72" s="13"/>
      <c r="AC72" s="13"/>
      <c r="AD72" s="13"/>
    </row>
    <row r="73" ht="14.4">
      <c r="A73" s="203" t="s">
        <v>61</v>
      </c>
      <c r="B73" s="319"/>
      <c r="C73" s="319" t="s">
        <v>33</v>
      </c>
      <c r="D73" s="319"/>
      <c r="E73" s="319" t="s">
        <v>33</v>
      </c>
      <c r="F73" s="319"/>
      <c r="G73" s="319" t="s">
        <v>33</v>
      </c>
      <c r="H73" s="319"/>
      <c r="I73" s="319" t="s">
        <v>33</v>
      </c>
      <c r="J73" s="319"/>
      <c r="K73" s="319" t="s">
        <v>33</v>
      </c>
      <c r="L73" s="320"/>
      <c r="M73" s="320"/>
      <c r="N73" s="320"/>
      <c r="O73" s="320"/>
      <c r="P73" s="218">
        <f t="shared" si="69"/>
        <v>40</v>
      </c>
      <c r="Q73" s="62">
        <f t="shared" si="73"/>
        <v>40</v>
      </c>
      <c r="R73" s="219" t="str">
        <f t="shared" si="70"/>
        <v>Раимова</v>
      </c>
      <c r="S73" s="76" t="s">
        <v>10</v>
      </c>
      <c r="T73" s="77" t="s">
        <v>9</v>
      </c>
      <c r="U73" s="73">
        <f t="shared" si="74"/>
        <v>0</v>
      </c>
      <c r="V73" s="62">
        <f t="shared" si="75"/>
        <v>0</v>
      </c>
      <c r="W73" s="62"/>
      <c r="X73" s="74" t="s">
        <v>38</v>
      </c>
      <c r="Y73" s="7"/>
      <c r="Z73" s="7"/>
      <c r="AA73" s="7"/>
      <c r="AB73" s="13"/>
      <c r="AC73" s="13"/>
      <c r="AD73" s="13"/>
    </row>
    <row r="74" ht="14.4">
      <c r="A74" s="203" t="s">
        <v>62</v>
      </c>
      <c r="B74" s="394"/>
      <c r="C74" s="395" t="s">
        <v>33</v>
      </c>
      <c r="D74" s="394"/>
      <c r="E74" s="395" t="s">
        <v>33</v>
      </c>
      <c r="F74" s="394"/>
      <c r="G74" s="395" t="s">
        <v>33</v>
      </c>
      <c r="H74" s="394"/>
      <c r="I74" s="395" t="s">
        <v>33</v>
      </c>
      <c r="J74" s="394"/>
      <c r="K74" s="395" t="s">
        <v>33</v>
      </c>
      <c r="L74" s="396"/>
      <c r="M74" s="397"/>
      <c r="N74" s="396"/>
      <c r="O74" s="397"/>
      <c r="P74" s="218">
        <f t="shared" si="69"/>
        <v>40</v>
      </c>
      <c r="Q74" s="62">
        <f t="shared" si="73"/>
        <v>40</v>
      </c>
      <c r="R74" s="219" t="str">
        <f t="shared" si="70"/>
        <v>Войтехович</v>
      </c>
      <c r="S74" s="76" t="s">
        <v>10</v>
      </c>
      <c r="T74" s="77" t="s">
        <v>9</v>
      </c>
      <c r="U74" s="90">
        <f t="shared" si="74"/>
        <v>0</v>
      </c>
      <c r="V74" s="62">
        <f t="shared" si="75"/>
        <v>0</v>
      </c>
      <c r="W74" s="62"/>
      <c r="X74" s="74" t="s">
        <v>38</v>
      </c>
      <c r="Y74" s="7"/>
      <c r="Z74" s="7"/>
      <c r="AA74" s="7"/>
      <c r="AB74" s="13"/>
      <c r="AC74" s="13"/>
      <c r="AD74" s="13"/>
    </row>
    <row r="75" ht="14.4">
      <c r="A75" s="203" t="s">
        <v>63</v>
      </c>
      <c r="B75" s="398"/>
      <c r="C75" s="398" t="s">
        <v>33</v>
      </c>
      <c r="D75" s="398"/>
      <c r="E75" s="398" t="s">
        <v>33</v>
      </c>
      <c r="F75" s="398"/>
      <c r="G75" s="398" t="s">
        <v>33</v>
      </c>
      <c r="H75" s="398"/>
      <c r="I75" s="398" t="s">
        <v>33</v>
      </c>
      <c r="J75" s="398"/>
      <c r="K75" s="398" t="s">
        <v>33</v>
      </c>
      <c r="L75" s="399"/>
      <c r="M75" s="399"/>
      <c r="N75" s="399"/>
      <c r="O75" s="399"/>
      <c r="P75" s="218">
        <f t="shared" si="69"/>
        <v>40</v>
      </c>
      <c r="Q75" s="62">
        <f t="shared" si="73"/>
        <v>40</v>
      </c>
      <c r="R75" s="219" t="str">
        <f t="shared" si="70"/>
        <v>Васильев</v>
      </c>
      <c r="S75" s="71" t="s">
        <v>12</v>
      </c>
      <c r="T75" s="72" t="s">
        <v>11</v>
      </c>
      <c r="U75" s="90">
        <f t="shared" si="74"/>
        <v>0</v>
      </c>
      <c r="V75" s="62">
        <f t="shared" si="75"/>
        <v>0</v>
      </c>
      <c r="W75" s="62"/>
      <c r="X75" s="356" t="s">
        <v>44</v>
      </c>
      <c r="Y75" s="7"/>
      <c r="Z75" s="7"/>
      <c r="AA75" s="7"/>
      <c r="AB75" s="13"/>
      <c r="AC75" s="13"/>
      <c r="AD75" s="13"/>
    </row>
    <row r="76" ht="14.4">
      <c r="A76" s="205" t="s">
        <v>43</v>
      </c>
      <c r="B76" s="123"/>
      <c r="C76" s="123" t="s">
        <v>33</v>
      </c>
      <c r="D76" s="123"/>
      <c r="E76" s="123" t="s">
        <v>33</v>
      </c>
      <c r="F76" s="123"/>
      <c r="G76" s="123" t="s">
        <v>33</v>
      </c>
      <c r="H76" s="123"/>
      <c r="I76" s="123" t="s">
        <v>33</v>
      </c>
      <c r="J76" s="123"/>
      <c r="K76" s="123" t="s">
        <v>33</v>
      </c>
      <c r="L76" s="123"/>
      <c r="M76" s="123"/>
      <c r="N76" s="123"/>
      <c r="O76" s="123"/>
      <c r="P76" s="218">
        <f t="shared" ref="P76:P99" si="76">C76+E76+G76+I76+K76+M76+O76</f>
        <v>40</v>
      </c>
      <c r="Q76" s="62">
        <f t="shared" si="73"/>
        <v>45</v>
      </c>
      <c r="R76" s="288" t="str">
        <f t="shared" ref="R76:R99" si="77">A76</f>
        <v>Дащенко</v>
      </c>
      <c r="S76" s="76" t="s">
        <v>10</v>
      </c>
      <c r="T76" s="77" t="s">
        <v>9</v>
      </c>
      <c r="U76" s="73">
        <v>0</v>
      </c>
      <c r="V76" s="62"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ht="14.4">
      <c r="A77" s="205" t="s">
        <v>45</v>
      </c>
      <c r="B77" s="320"/>
      <c r="C77" s="320"/>
      <c r="D77" s="76"/>
      <c r="E77" s="324">
        <v>11</v>
      </c>
      <c r="F77" s="76"/>
      <c r="G77" s="324">
        <v>11</v>
      </c>
      <c r="H77" s="67"/>
      <c r="I77" s="330"/>
      <c r="J77" s="67"/>
      <c r="K77" s="330"/>
      <c r="L77" s="77"/>
      <c r="M77" s="389">
        <v>11</v>
      </c>
      <c r="N77" s="77"/>
      <c r="O77" s="389">
        <v>11</v>
      </c>
      <c r="P77" s="218">
        <f t="shared" si="76"/>
        <v>44</v>
      </c>
      <c r="Q77" s="62">
        <f t="shared" si="73"/>
        <v>41</v>
      </c>
      <c r="R77" s="288" t="str">
        <f t="shared" si="77"/>
        <v>Пузырь</v>
      </c>
      <c r="S77" s="76" t="s">
        <v>10</v>
      </c>
      <c r="T77" s="77" t="s">
        <v>9</v>
      </c>
      <c r="U77" s="73">
        <v>2</v>
      </c>
      <c r="V77" s="62">
        <v>2</v>
      </c>
      <c r="W77" s="62"/>
      <c r="X77" s="74" t="s">
        <v>34</v>
      </c>
      <c r="Y77" s="7"/>
      <c r="Z77" s="7"/>
      <c r="AA77" s="7"/>
      <c r="AB77" s="13"/>
      <c r="AC77" s="13"/>
      <c r="AD77" s="13"/>
    </row>
    <row r="78" ht="14.4">
      <c r="A78" s="205" t="s">
        <v>64</v>
      </c>
      <c r="B78" s="123"/>
      <c r="C78" s="123" t="s">
        <v>33</v>
      </c>
      <c r="D78" s="123"/>
      <c r="E78" s="123" t="s">
        <v>33</v>
      </c>
      <c r="F78" s="76"/>
      <c r="G78" s="324">
        <v>11</v>
      </c>
      <c r="H78" s="76"/>
      <c r="I78" s="324">
        <v>11</v>
      </c>
      <c r="J78" s="320"/>
      <c r="K78" s="320"/>
      <c r="L78" s="67"/>
      <c r="M78" s="400"/>
      <c r="N78" s="77"/>
      <c r="O78" s="401">
        <v>11</v>
      </c>
      <c r="P78" s="218">
        <f t="shared" si="76"/>
        <v>49</v>
      </c>
      <c r="Q78" s="62">
        <f t="shared" si="73"/>
        <v>27</v>
      </c>
      <c r="R78" s="288" t="str">
        <f t="shared" si="77"/>
        <v>Рожнева</v>
      </c>
      <c r="S78" s="76" t="s">
        <v>10</v>
      </c>
      <c r="T78" s="77" t="s">
        <v>9</v>
      </c>
      <c r="U78" s="73">
        <v>2</v>
      </c>
      <c r="V78" s="62">
        <v>1</v>
      </c>
      <c r="W78" s="62"/>
      <c r="X78" s="74" t="s">
        <v>34</v>
      </c>
      <c r="Y78" s="7"/>
      <c r="Z78" s="7"/>
      <c r="AA78" s="7"/>
      <c r="AB78" s="13"/>
      <c r="AC78" s="13"/>
      <c r="AD78" s="13"/>
    </row>
    <row r="79" ht="14.4">
      <c r="A79" s="205" t="s">
        <v>47</v>
      </c>
      <c r="B79" s="77"/>
      <c r="C79" s="389">
        <v>11</v>
      </c>
      <c r="D79" s="367"/>
      <c r="E79" s="363"/>
      <c r="F79" s="362"/>
      <c r="G79" s="364"/>
      <c r="H79" s="77"/>
      <c r="I79" s="389">
        <v>11</v>
      </c>
      <c r="J79" s="77"/>
      <c r="K79" s="389">
        <v>11</v>
      </c>
      <c r="L79" s="367"/>
      <c r="M79" s="363"/>
      <c r="N79" s="362"/>
      <c r="O79" s="363"/>
      <c r="P79" s="253">
        <f t="shared" si="76"/>
        <v>33</v>
      </c>
      <c r="Q79" s="62">
        <f t="shared" si="73"/>
        <v>52</v>
      </c>
      <c r="R79" s="351" t="str">
        <f t="shared" si="77"/>
        <v>Торубара</v>
      </c>
      <c r="S79" s="173" t="s">
        <v>10</v>
      </c>
      <c r="T79" s="77" t="s">
        <v>9</v>
      </c>
      <c r="U79" s="227">
        <v>3</v>
      </c>
      <c r="V79" s="62">
        <f t="shared" si="75"/>
        <v>0</v>
      </c>
      <c r="W79" s="227"/>
      <c r="X79" s="74" t="s">
        <v>34</v>
      </c>
      <c r="Y79" s="7"/>
      <c r="Z79" s="7"/>
      <c r="AA79" s="7"/>
      <c r="AB79" s="13"/>
      <c r="AC79" s="13"/>
      <c r="AD79" s="13"/>
    </row>
    <row r="80" ht="14.4">
      <c r="A80" s="205" t="s">
        <v>48</v>
      </c>
      <c r="B80" s="123"/>
      <c r="C80" s="123" t="s">
        <v>33</v>
      </c>
      <c r="D80" s="123"/>
      <c r="E80" s="123" t="s">
        <v>33</v>
      </c>
      <c r="F80" s="123"/>
      <c r="G80" s="123" t="s">
        <v>33</v>
      </c>
      <c r="H80" s="123"/>
      <c r="I80" s="123" t="s">
        <v>33</v>
      </c>
      <c r="J80" s="123"/>
      <c r="K80" s="123" t="s">
        <v>33</v>
      </c>
      <c r="L80" s="123"/>
      <c r="M80" s="123"/>
      <c r="N80" s="123"/>
      <c r="O80" s="123"/>
      <c r="P80" s="218">
        <f t="shared" si="76"/>
        <v>40</v>
      </c>
      <c r="Q80" s="62">
        <f t="shared" si="73"/>
        <v>38</v>
      </c>
      <c r="R80" s="288" t="str">
        <f t="shared" si="77"/>
        <v>Стрыгин</v>
      </c>
      <c r="S80" s="71" t="s">
        <v>8</v>
      </c>
      <c r="T80" s="72" t="s">
        <v>7</v>
      </c>
      <c r="U80" s="73">
        <v>0</v>
      </c>
      <c r="V80" s="62">
        <v>0</v>
      </c>
      <c r="W80" s="62"/>
      <c r="X80" s="74" t="s">
        <v>49</v>
      </c>
      <c r="Y80" s="7"/>
      <c r="Z80" s="7"/>
      <c r="AA80" s="7"/>
      <c r="AB80" s="13"/>
      <c r="AC80" s="13"/>
      <c r="AD80" s="13"/>
    </row>
    <row r="81" ht="14.4">
      <c r="A81" s="205" t="s">
        <v>50</v>
      </c>
      <c r="B81" s="76"/>
      <c r="C81" s="324">
        <v>11</v>
      </c>
      <c r="D81" s="350"/>
      <c r="E81" s="320"/>
      <c r="F81" s="350"/>
      <c r="G81" s="320"/>
      <c r="H81" s="173"/>
      <c r="I81" s="324">
        <v>11</v>
      </c>
      <c r="J81" s="173"/>
      <c r="K81" s="324">
        <v>11</v>
      </c>
      <c r="L81" s="320"/>
      <c r="M81" s="320"/>
      <c r="N81" s="320"/>
      <c r="O81" s="320"/>
      <c r="P81" s="218">
        <f t="shared" si="76"/>
        <v>33</v>
      </c>
      <c r="Q81" s="62">
        <f t="shared" si="73"/>
        <v>52</v>
      </c>
      <c r="R81" s="288" t="str">
        <f t="shared" si="77"/>
        <v>Фрик</v>
      </c>
      <c r="S81" s="149" t="s">
        <v>12</v>
      </c>
      <c r="T81" s="262" t="s">
        <v>11</v>
      </c>
      <c r="U81" s="73">
        <v>0</v>
      </c>
      <c r="V81" s="227">
        <v>3</v>
      </c>
      <c r="W81" s="62"/>
      <c r="X81" s="74" t="s">
        <v>44</v>
      </c>
      <c r="Y81" s="7"/>
      <c r="Z81" s="7"/>
      <c r="AA81" s="7"/>
      <c r="AB81" s="13"/>
      <c r="AC81" s="13"/>
      <c r="AD81" s="13"/>
    </row>
    <row r="82" ht="14.4">
      <c r="A82" s="206" t="s">
        <v>51</v>
      </c>
      <c r="B82" s="320"/>
      <c r="C82" s="320"/>
      <c r="D82" s="77"/>
      <c r="E82" s="329">
        <v>11</v>
      </c>
      <c r="F82" s="77"/>
      <c r="G82" s="329">
        <v>11</v>
      </c>
      <c r="H82" s="320"/>
      <c r="I82" s="320"/>
      <c r="J82" s="320"/>
      <c r="K82" s="320"/>
      <c r="L82" s="76"/>
      <c r="M82" s="324">
        <v>11</v>
      </c>
      <c r="N82" s="76"/>
      <c r="O82" s="324">
        <v>11</v>
      </c>
      <c r="P82" s="218">
        <f t="shared" si="76"/>
        <v>44</v>
      </c>
      <c r="Q82" s="62">
        <f t="shared" si="73"/>
        <v>23</v>
      </c>
      <c r="R82" s="288" t="str">
        <f t="shared" si="77"/>
        <v>Истрашкин</v>
      </c>
      <c r="S82" s="71" t="s">
        <v>10</v>
      </c>
      <c r="T82" s="72" t="s">
        <v>9</v>
      </c>
      <c r="U82" s="73">
        <v>2</v>
      </c>
      <c r="V82" s="62">
        <v>2</v>
      </c>
      <c r="W82" s="62"/>
      <c r="X82" s="74" t="s">
        <v>34</v>
      </c>
      <c r="Y82" s="7"/>
      <c r="Z82" s="7"/>
      <c r="AA82" s="7"/>
      <c r="AB82" s="13"/>
      <c r="AC82" s="13"/>
      <c r="AD82" s="13"/>
    </row>
    <row r="83" ht="14.4">
      <c r="A83" s="369" t="s">
        <v>65</v>
      </c>
      <c r="B83" s="76"/>
      <c r="C83" s="324">
        <v>11</v>
      </c>
      <c r="D83" s="76"/>
      <c r="E83" s="324">
        <v>11</v>
      </c>
      <c r="F83" s="402"/>
      <c r="G83" s="403"/>
      <c r="H83" s="67"/>
      <c r="I83" s="330"/>
      <c r="J83" s="77"/>
      <c r="K83" s="329">
        <v>11</v>
      </c>
      <c r="L83" s="77"/>
      <c r="M83" s="329">
        <v>11</v>
      </c>
      <c r="N83" s="320"/>
      <c r="O83" s="320"/>
      <c r="P83" s="333">
        <f t="shared" si="76"/>
        <v>44</v>
      </c>
      <c r="Q83" s="390">
        <f t="shared" si="73"/>
        <v>41</v>
      </c>
      <c r="R83" s="288" t="str">
        <f t="shared" si="77"/>
        <v>Качаев</v>
      </c>
      <c r="S83" s="71" t="s">
        <v>10</v>
      </c>
      <c r="T83" s="72" t="s">
        <v>9</v>
      </c>
      <c r="U83" s="73">
        <v>2</v>
      </c>
      <c r="V83" s="62">
        <v>2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ht="14.4">
      <c r="A84" s="92"/>
      <c r="B84" s="53">
        <f>B68</f>
        <v>46223</v>
      </c>
      <c r="C84" s="53"/>
      <c r="D84" s="53">
        <f>D68</f>
        <v>46224</v>
      </c>
      <c r="E84" s="53"/>
      <c r="F84" s="53">
        <f>F68</f>
        <v>46225</v>
      </c>
      <c r="G84" s="53"/>
      <c r="H84" s="53">
        <f>H68</f>
        <v>46226</v>
      </c>
      <c r="I84" s="53"/>
      <c r="J84" s="53">
        <f>J68</f>
        <v>46227</v>
      </c>
      <c r="K84" s="53"/>
      <c r="L84" s="53">
        <f>L68</f>
        <v>46228</v>
      </c>
      <c r="M84" s="53"/>
      <c r="N84" s="53">
        <f>N68</f>
        <v>46229</v>
      </c>
      <c r="O84" s="53"/>
      <c r="P84" s="68"/>
      <c r="Q84" s="67"/>
      <c r="R84" s="391"/>
      <c r="S84" s="138"/>
      <c r="T84" s="138"/>
      <c r="U84" s="194" t="s">
        <v>27</v>
      </c>
      <c r="V84" s="61" t="s">
        <v>28</v>
      </c>
      <c r="W84" s="62" t="s">
        <v>29</v>
      </c>
      <c r="X84" s="373"/>
      <c r="Y84" s="7"/>
      <c r="Z84" s="7"/>
      <c r="AA84" s="7"/>
      <c r="AB84" s="13"/>
      <c r="AC84" s="13"/>
      <c r="AD84" s="13"/>
    </row>
    <row r="85" ht="14.4">
      <c r="A85" s="314"/>
      <c r="B85" s="314"/>
      <c r="C85" s="314"/>
      <c r="D85" s="7"/>
      <c r="E85" s="314"/>
      <c r="F85" s="314"/>
      <c r="G85" s="314"/>
      <c r="H85" s="314"/>
      <c r="I85" s="314"/>
      <c r="J85" s="314"/>
      <c r="K85" s="314"/>
      <c r="L85" s="314"/>
      <c r="M85" s="314"/>
      <c r="N85" s="314"/>
      <c r="O85" s="314"/>
      <c r="P85" s="314"/>
      <c r="Q85" s="98"/>
      <c r="R85" s="404"/>
      <c r="S85" s="404"/>
      <c r="T85" s="404"/>
      <c r="U85" s="339"/>
      <c r="V85" s="165"/>
      <c r="W85" s="100"/>
      <c r="X85" s="373"/>
      <c r="Y85" s="7"/>
      <c r="Z85" s="7"/>
      <c r="AA85" s="7"/>
      <c r="AB85" s="13"/>
      <c r="AC85" s="13"/>
      <c r="AD85" s="13"/>
    </row>
    <row r="86" ht="14.4">
      <c r="A86" s="52"/>
      <c r="B86" s="56" t="s">
        <v>17</v>
      </c>
      <c r="C86" s="116"/>
      <c r="D86" s="56" t="s">
        <v>18</v>
      </c>
      <c r="E86" s="405"/>
      <c r="F86" s="56" t="s">
        <v>19</v>
      </c>
      <c r="G86" s="56"/>
      <c r="H86" s="56" t="s">
        <v>20</v>
      </c>
      <c r="I86" s="116"/>
      <c r="J86" s="129" t="s">
        <v>21</v>
      </c>
      <c r="K86" s="129"/>
      <c r="L86" s="56" t="s">
        <v>22</v>
      </c>
      <c r="M86" s="56"/>
      <c r="N86" s="56" t="s">
        <v>23</v>
      </c>
      <c r="O86" s="56"/>
      <c r="P86" s="374" t="s">
        <v>24</v>
      </c>
      <c r="Q86" s="375"/>
      <c r="R86" s="376"/>
      <c r="S86" s="143"/>
      <c r="T86" s="143"/>
      <c r="U86" s="90"/>
      <c r="V86" s="62"/>
      <c r="W86" s="62"/>
      <c r="X86" s="74"/>
      <c r="Y86" s="7"/>
      <c r="Z86" s="7"/>
      <c r="AA86" s="7"/>
      <c r="AB86" s="13"/>
      <c r="AC86" s="13"/>
      <c r="AD86" s="13"/>
    </row>
    <row r="87" ht="14.4">
      <c r="A87" s="377"/>
      <c r="B87" s="53">
        <v>46230</v>
      </c>
      <c r="C87" s="378"/>
      <c r="D87" s="53">
        <v>46231</v>
      </c>
      <c r="E87" s="53"/>
      <c r="F87" s="53">
        <v>46232</v>
      </c>
      <c r="G87" s="53"/>
      <c r="H87" s="53">
        <v>46233</v>
      </c>
      <c r="I87" s="378"/>
      <c r="J87" s="53">
        <v>46234</v>
      </c>
      <c r="K87" s="53"/>
      <c r="L87" s="53">
        <v>46235</v>
      </c>
      <c r="M87" s="53"/>
      <c r="N87" s="53">
        <v>46236</v>
      </c>
      <c r="O87" s="54"/>
      <c r="P87" s="379" t="s">
        <v>25</v>
      </c>
      <c r="Q87" s="380" t="s">
        <v>26</v>
      </c>
      <c r="R87" s="381"/>
      <c r="S87" s="147"/>
      <c r="T87" s="147"/>
      <c r="U87" s="194" t="s">
        <v>27</v>
      </c>
      <c r="V87" s="61" t="s">
        <v>28</v>
      </c>
      <c r="W87" s="62" t="s">
        <v>29</v>
      </c>
      <c r="X87" s="74" t="s">
        <v>30</v>
      </c>
      <c r="Y87" s="7"/>
      <c r="Z87" s="7"/>
      <c r="AA87" s="7"/>
      <c r="AB87" s="13"/>
      <c r="AC87" s="13"/>
      <c r="AD87" s="13"/>
    </row>
    <row r="88" ht="14.4">
      <c r="A88" s="203" t="s">
        <v>35</v>
      </c>
      <c r="B88" s="123"/>
      <c r="C88" s="123" t="s">
        <v>33</v>
      </c>
      <c r="D88" s="123"/>
      <c r="E88" s="123" t="s">
        <v>33</v>
      </c>
      <c r="F88" s="406"/>
      <c r="G88" s="406" t="s">
        <v>33</v>
      </c>
      <c r="H88" s="406"/>
      <c r="I88" s="123" t="s">
        <v>33</v>
      </c>
      <c r="J88" s="319"/>
      <c r="K88" s="319" t="s">
        <v>33</v>
      </c>
      <c r="L88" s="320"/>
      <c r="M88" s="320"/>
      <c r="N88" s="320"/>
      <c r="O88" s="320"/>
      <c r="P88" s="218">
        <f t="shared" si="76"/>
        <v>40</v>
      </c>
      <c r="Q88" s="62">
        <f t="shared" si="73"/>
        <v>0</v>
      </c>
      <c r="R88" s="219" t="str">
        <f t="shared" si="77"/>
        <v>Рычков</v>
      </c>
      <c r="S88" s="76" t="s">
        <v>10</v>
      </c>
      <c r="T88" s="77" t="s">
        <v>9</v>
      </c>
      <c r="U88" s="90">
        <f t="shared" si="74"/>
        <v>0</v>
      </c>
      <c r="V88" s="62">
        <f t="shared" si="75"/>
        <v>0</v>
      </c>
      <c r="W88" s="62"/>
      <c r="X88" s="74" t="s">
        <v>34</v>
      </c>
      <c r="Y88" s="7"/>
      <c r="Z88" s="7"/>
      <c r="AA88" s="7"/>
      <c r="AB88" s="13"/>
      <c r="AC88" s="13"/>
      <c r="AD88" s="13"/>
    </row>
    <row r="89" ht="14.4">
      <c r="A89" s="203" t="s">
        <v>39</v>
      </c>
      <c r="B89" s="319"/>
      <c r="C89" s="319" t="s">
        <v>33</v>
      </c>
      <c r="D89" s="319"/>
      <c r="E89" s="319" t="s">
        <v>33</v>
      </c>
      <c r="F89" s="319"/>
      <c r="G89" s="319" t="s">
        <v>33</v>
      </c>
      <c r="H89" s="319"/>
      <c r="I89" s="319" t="s">
        <v>33</v>
      </c>
      <c r="J89" s="319"/>
      <c r="K89" s="319" t="s">
        <v>33</v>
      </c>
      <c r="L89" s="407"/>
      <c r="M89" s="408"/>
      <c r="N89" s="408"/>
      <c r="O89" s="409"/>
      <c r="P89" s="218">
        <f t="shared" si="76"/>
        <v>40</v>
      </c>
      <c r="Q89" s="62">
        <f t="shared" si="73"/>
        <v>0</v>
      </c>
      <c r="R89" s="219" t="str">
        <f t="shared" si="77"/>
        <v>Игумнов</v>
      </c>
      <c r="S89" s="76" t="s">
        <v>10</v>
      </c>
      <c r="T89" s="77" t="s">
        <v>9</v>
      </c>
      <c r="U89" s="73">
        <f t="shared" si="74"/>
        <v>0</v>
      </c>
      <c r="V89" s="62">
        <f t="shared" si="75"/>
        <v>0</v>
      </c>
      <c r="W89" s="62"/>
      <c r="X89" s="74" t="s">
        <v>38</v>
      </c>
      <c r="Y89" s="7"/>
      <c r="Z89" s="7"/>
      <c r="AA89" s="7"/>
      <c r="AB89" s="13"/>
      <c r="AC89" s="13"/>
      <c r="AD89" s="13"/>
    </row>
    <row r="90" ht="14.4">
      <c r="A90" s="203" t="s">
        <v>40</v>
      </c>
      <c r="B90" s="319"/>
      <c r="C90" s="319" t="s">
        <v>33</v>
      </c>
      <c r="D90" s="319"/>
      <c r="E90" s="319" t="s">
        <v>33</v>
      </c>
      <c r="F90" s="319"/>
      <c r="G90" s="319" t="s">
        <v>33</v>
      </c>
      <c r="H90" s="319"/>
      <c r="I90" s="319" t="s">
        <v>33</v>
      </c>
      <c r="J90" s="319"/>
      <c r="K90" s="319" t="s">
        <v>33</v>
      </c>
      <c r="L90" s="353"/>
      <c r="M90" s="350"/>
      <c r="N90" s="350"/>
      <c r="O90" s="410"/>
      <c r="P90" s="218">
        <f t="shared" si="76"/>
        <v>40</v>
      </c>
      <c r="Q90" s="62">
        <f t="shared" si="73"/>
        <v>0</v>
      </c>
      <c r="R90" s="219" t="str">
        <f t="shared" si="77"/>
        <v>Душин</v>
      </c>
      <c r="S90" s="76" t="s">
        <v>58</v>
      </c>
      <c r="T90" s="77" t="s">
        <v>59</v>
      </c>
      <c r="U90" s="73">
        <f t="shared" si="74"/>
        <v>0</v>
      </c>
      <c r="V90" s="62">
        <f t="shared" si="75"/>
        <v>0</v>
      </c>
      <c r="W90" s="62"/>
      <c r="X90" s="74" t="s">
        <v>34</v>
      </c>
      <c r="Y90" s="7"/>
      <c r="Z90" s="7"/>
      <c r="AA90" s="7"/>
      <c r="AB90" s="13"/>
      <c r="AC90" s="13"/>
      <c r="AD90" s="13"/>
    </row>
    <row r="91" ht="14.4">
      <c r="A91" s="203" t="s">
        <v>31</v>
      </c>
      <c r="B91" s="319"/>
      <c r="C91" s="319" t="s">
        <v>33</v>
      </c>
      <c r="D91" s="319"/>
      <c r="E91" s="319" t="s">
        <v>33</v>
      </c>
      <c r="F91" s="319"/>
      <c r="G91" s="319" t="s">
        <v>33</v>
      </c>
      <c r="H91" s="319"/>
      <c r="I91" s="319" t="s">
        <v>33</v>
      </c>
      <c r="J91" s="319"/>
      <c r="K91" s="319" t="s">
        <v>33</v>
      </c>
      <c r="L91" s="350"/>
      <c r="M91" s="350"/>
      <c r="N91" s="350"/>
      <c r="O91" s="410"/>
      <c r="P91" s="218">
        <f t="shared" si="76"/>
        <v>40</v>
      </c>
      <c r="Q91" s="62">
        <f t="shared" si="73"/>
        <v>0</v>
      </c>
      <c r="R91" s="219" t="str">
        <f t="shared" si="77"/>
        <v>Нетронин</v>
      </c>
      <c r="S91" s="76" t="s">
        <v>58</v>
      </c>
      <c r="T91" s="77" t="s">
        <v>59</v>
      </c>
      <c r="U91" s="73">
        <f t="shared" si="74"/>
        <v>0</v>
      </c>
      <c r="V91" s="62">
        <f t="shared" si="75"/>
        <v>0</v>
      </c>
      <c r="W91" s="62"/>
      <c r="X91" s="74" t="s">
        <v>34</v>
      </c>
      <c r="Y91" s="7"/>
      <c r="Z91" s="7"/>
      <c r="AA91" s="7"/>
      <c r="AB91" s="13"/>
      <c r="AC91" s="13"/>
      <c r="AD91" s="13"/>
    </row>
    <row r="92" ht="14.4">
      <c r="A92" s="203" t="s">
        <v>61</v>
      </c>
      <c r="B92" s="319"/>
      <c r="C92" s="319" t="s">
        <v>33</v>
      </c>
      <c r="D92" s="319"/>
      <c r="E92" s="319" t="s">
        <v>33</v>
      </c>
      <c r="F92" s="319"/>
      <c r="G92" s="319" t="s">
        <v>33</v>
      </c>
      <c r="H92" s="319"/>
      <c r="I92" s="319" t="s">
        <v>33</v>
      </c>
      <c r="J92" s="319"/>
      <c r="K92" s="319" t="s">
        <v>33</v>
      </c>
      <c r="L92" s="411"/>
      <c r="M92" s="412"/>
      <c r="N92" s="412"/>
      <c r="O92" s="413"/>
      <c r="P92" s="218">
        <f t="shared" si="76"/>
        <v>40</v>
      </c>
      <c r="Q92" s="62">
        <f t="shared" si="73"/>
        <v>0</v>
      </c>
      <c r="R92" s="219" t="str">
        <f t="shared" si="77"/>
        <v>Раимова</v>
      </c>
      <c r="S92" s="76" t="s">
        <v>10</v>
      </c>
      <c r="T92" s="77" t="s">
        <v>9</v>
      </c>
      <c r="U92" s="73">
        <f t="shared" si="74"/>
        <v>0</v>
      </c>
      <c r="V92" s="62">
        <f t="shared" si="75"/>
        <v>0</v>
      </c>
      <c r="W92" s="62"/>
      <c r="X92" s="74" t="s">
        <v>38</v>
      </c>
      <c r="Y92" s="7"/>
      <c r="Z92" s="7"/>
      <c r="AA92" s="7"/>
      <c r="AB92" s="13"/>
      <c r="AC92" s="13"/>
      <c r="AD92" s="13"/>
    </row>
    <row r="93" ht="14.4">
      <c r="A93" s="203" t="s">
        <v>62</v>
      </c>
      <c r="B93" s="123"/>
      <c r="C93" s="414" t="s">
        <v>33</v>
      </c>
      <c r="D93" s="123"/>
      <c r="E93" s="414" t="s">
        <v>33</v>
      </c>
      <c r="F93" s="123"/>
      <c r="G93" s="414" t="s">
        <v>33</v>
      </c>
      <c r="H93" s="123"/>
      <c r="I93" s="414" t="s">
        <v>33</v>
      </c>
      <c r="J93" s="123"/>
      <c r="K93" s="414" t="s">
        <v>33</v>
      </c>
      <c r="L93" s="123"/>
      <c r="M93" s="414"/>
      <c r="N93" s="123"/>
      <c r="O93" s="414"/>
      <c r="P93" s="218">
        <f t="shared" si="76"/>
        <v>40</v>
      </c>
      <c r="Q93" s="62">
        <f t="shared" si="73"/>
        <v>0</v>
      </c>
      <c r="R93" s="219" t="str">
        <f t="shared" si="77"/>
        <v>Войтехович</v>
      </c>
      <c r="S93" s="76" t="s">
        <v>10</v>
      </c>
      <c r="T93" s="77" t="s">
        <v>9</v>
      </c>
      <c r="U93" s="73">
        <f t="shared" si="74"/>
        <v>0</v>
      </c>
      <c r="V93" s="62">
        <f t="shared" si="75"/>
        <v>0</v>
      </c>
      <c r="W93" s="62"/>
      <c r="X93" s="74" t="s">
        <v>38</v>
      </c>
      <c r="Y93" s="7"/>
      <c r="Z93" s="7"/>
      <c r="AA93" s="7"/>
      <c r="AB93" s="13"/>
      <c r="AC93" s="13"/>
      <c r="AD93" s="13"/>
    </row>
    <row r="94" ht="14.4">
      <c r="A94" s="203" t="s">
        <v>63</v>
      </c>
      <c r="B94" s="319"/>
      <c r="C94" s="319" t="s">
        <v>33</v>
      </c>
      <c r="D94" s="319"/>
      <c r="E94" s="319" t="s">
        <v>33</v>
      </c>
      <c r="F94" s="319"/>
      <c r="G94" s="319" t="s">
        <v>33</v>
      </c>
      <c r="H94" s="319"/>
      <c r="I94" s="319" t="s">
        <v>33</v>
      </c>
      <c r="J94" s="319"/>
      <c r="K94" s="319" t="s">
        <v>33</v>
      </c>
      <c r="L94" s="359"/>
      <c r="M94" s="415"/>
      <c r="N94" s="415"/>
      <c r="O94" s="403"/>
      <c r="P94" s="218">
        <f t="shared" si="76"/>
        <v>40</v>
      </c>
      <c r="Q94" s="62">
        <f t="shared" si="73"/>
        <v>0</v>
      </c>
      <c r="R94" s="219" t="str">
        <f t="shared" si="77"/>
        <v>Васильев</v>
      </c>
      <c r="S94" s="71" t="s">
        <v>12</v>
      </c>
      <c r="T94" s="72" t="s">
        <v>11</v>
      </c>
      <c r="U94" s="73">
        <f t="shared" si="74"/>
        <v>0</v>
      </c>
      <c r="V94" s="62">
        <f t="shared" si="75"/>
        <v>0</v>
      </c>
      <c r="W94" s="62"/>
      <c r="X94" s="416" t="s">
        <v>44</v>
      </c>
      <c r="Y94" s="7"/>
      <c r="Z94" s="7"/>
      <c r="AA94" s="7"/>
      <c r="AB94" s="13"/>
      <c r="AC94" s="13"/>
      <c r="AD94" s="13"/>
    </row>
    <row r="95" ht="14.4">
      <c r="A95" s="205" t="s">
        <v>43</v>
      </c>
      <c r="B95" s="123"/>
      <c r="C95" s="123" t="s">
        <v>33</v>
      </c>
      <c r="D95" s="123"/>
      <c r="E95" s="123" t="s">
        <v>33</v>
      </c>
      <c r="F95" s="123"/>
      <c r="G95" s="123" t="s">
        <v>33</v>
      </c>
      <c r="H95" s="123"/>
      <c r="I95" s="123" t="s">
        <v>33</v>
      </c>
      <c r="J95" s="123"/>
      <c r="K95" s="123" t="s">
        <v>33</v>
      </c>
      <c r="L95" s="76"/>
      <c r="M95" s="324"/>
      <c r="N95" s="76"/>
      <c r="O95" s="324"/>
      <c r="P95" s="218">
        <f t="shared" si="76"/>
        <v>40</v>
      </c>
      <c r="Q95" s="62">
        <f t="shared" ref="Q95:Q99" si="78">Q76-P95</f>
        <v>5</v>
      </c>
      <c r="R95" s="219" t="str">
        <f t="shared" si="77"/>
        <v>Дащенко</v>
      </c>
      <c r="S95" s="76" t="s">
        <v>10</v>
      </c>
      <c r="T95" s="77" t="s">
        <v>9</v>
      </c>
      <c r="U95" s="73">
        <f t="shared" si="74"/>
        <v>0</v>
      </c>
      <c r="V95" s="62">
        <f t="shared" si="75"/>
        <v>0</v>
      </c>
      <c r="W95" s="62"/>
      <c r="X95" s="74" t="s">
        <v>34</v>
      </c>
      <c r="Y95" s="7"/>
      <c r="Z95" s="7"/>
      <c r="AA95" s="7"/>
      <c r="AB95" s="13"/>
      <c r="AC95" s="13"/>
      <c r="AD95" s="13"/>
    </row>
    <row r="96" ht="14.4">
      <c r="A96" s="205" t="s">
        <v>45</v>
      </c>
      <c r="B96" s="320"/>
      <c r="C96" s="320"/>
      <c r="D96" s="67"/>
      <c r="E96" s="330"/>
      <c r="F96" s="76"/>
      <c r="G96" s="324">
        <v>11</v>
      </c>
      <c r="H96" s="76"/>
      <c r="I96" s="324">
        <v>11</v>
      </c>
      <c r="J96" s="320"/>
      <c r="K96" s="320"/>
      <c r="L96" s="320"/>
      <c r="M96" s="320"/>
      <c r="N96" s="77"/>
      <c r="O96" s="389"/>
      <c r="P96" s="218">
        <f t="shared" si="76"/>
        <v>22</v>
      </c>
      <c r="Q96" s="62">
        <f t="shared" si="78"/>
        <v>19</v>
      </c>
      <c r="R96" s="219" t="str">
        <f t="shared" si="77"/>
        <v>Пузырь</v>
      </c>
      <c r="S96" s="76" t="s">
        <v>10</v>
      </c>
      <c r="T96" s="77" t="s">
        <v>9</v>
      </c>
      <c r="U96" s="73">
        <v>0</v>
      </c>
      <c r="V96" s="62">
        <v>2</v>
      </c>
      <c r="W96" s="62"/>
      <c r="X96" s="74" t="s">
        <v>34</v>
      </c>
      <c r="Y96" s="7"/>
      <c r="Z96" s="7"/>
      <c r="AA96" s="7"/>
      <c r="AB96" s="13"/>
      <c r="AC96" s="13"/>
      <c r="AD96" s="13"/>
    </row>
    <row r="97" ht="14.4">
      <c r="A97" s="205" t="s">
        <v>64</v>
      </c>
      <c r="B97" s="77"/>
      <c r="C97" s="389">
        <v>11</v>
      </c>
      <c r="D97" s="320"/>
      <c r="E97" s="320"/>
      <c r="F97" s="320"/>
      <c r="G97" s="320"/>
      <c r="H97" s="77"/>
      <c r="I97" s="389">
        <v>11</v>
      </c>
      <c r="J97" s="320"/>
      <c r="K97" s="320"/>
      <c r="L97" s="320"/>
      <c r="M97" s="320"/>
      <c r="N97" s="77"/>
      <c r="O97" s="389"/>
      <c r="P97" s="218">
        <f t="shared" si="76"/>
        <v>22</v>
      </c>
      <c r="Q97" s="62">
        <f t="shared" si="78"/>
        <v>5</v>
      </c>
      <c r="R97" s="219" t="str">
        <f t="shared" si="77"/>
        <v>Рожнева</v>
      </c>
      <c r="S97" s="76" t="s">
        <v>10</v>
      </c>
      <c r="T97" s="77" t="s">
        <v>9</v>
      </c>
      <c r="U97" s="73">
        <v>2</v>
      </c>
      <c r="V97" s="62">
        <f t="shared" si="75"/>
        <v>0</v>
      </c>
      <c r="W97" s="62"/>
      <c r="X97" s="74" t="s">
        <v>34</v>
      </c>
      <c r="Y97" s="7"/>
      <c r="Z97" s="7"/>
      <c r="AA97" s="7"/>
      <c r="AB97" s="13"/>
      <c r="AC97" s="13"/>
      <c r="AD97" s="13"/>
    </row>
    <row r="98" ht="14.4">
      <c r="A98" s="205" t="s">
        <v>47</v>
      </c>
      <c r="B98" s="76"/>
      <c r="C98" s="324">
        <v>11</v>
      </c>
      <c r="D98" s="76"/>
      <c r="E98" s="324">
        <v>11</v>
      </c>
      <c r="F98" s="320"/>
      <c r="G98" s="320"/>
      <c r="H98" s="320"/>
      <c r="I98" s="320"/>
      <c r="J98" s="76"/>
      <c r="K98" s="324">
        <v>11</v>
      </c>
      <c r="L98" s="76"/>
      <c r="M98" s="324"/>
      <c r="N98" s="320"/>
      <c r="O98" s="320"/>
      <c r="P98" s="218">
        <f t="shared" si="76"/>
        <v>33</v>
      </c>
      <c r="Q98" s="62">
        <f t="shared" si="78"/>
        <v>19</v>
      </c>
      <c r="R98" s="219" t="str">
        <f t="shared" si="77"/>
        <v>Торубара</v>
      </c>
      <c r="S98" s="76" t="s">
        <v>10</v>
      </c>
      <c r="T98" s="77" t="s">
        <v>9</v>
      </c>
      <c r="U98" s="73">
        <v>0</v>
      </c>
      <c r="V98" s="62">
        <v>3</v>
      </c>
      <c r="W98" s="62"/>
      <c r="X98" s="74" t="s">
        <v>34</v>
      </c>
      <c r="Y98" s="7"/>
      <c r="Z98" s="7"/>
      <c r="AA98" s="7"/>
      <c r="AB98" s="13"/>
      <c r="AC98" s="13"/>
      <c r="AD98" s="13"/>
    </row>
    <row r="99" ht="14.4">
      <c r="A99" s="205" t="s">
        <v>48</v>
      </c>
      <c r="B99" s="76"/>
      <c r="C99" s="324">
        <v>11</v>
      </c>
      <c r="D99" s="76"/>
      <c r="E99" s="324">
        <v>11</v>
      </c>
      <c r="F99" s="320"/>
      <c r="G99" s="320"/>
      <c r="H99" s="320"/>
      <c r="I99" s="320"/>
      <c r="J99" s="77"/>
      <c r="K99" s="389">
        <v>11</v>
      </c>
      <c r="L99" s="77"/>
      <c r="M99" s="389"/>
      <c r="N99" s="320"/>
      <c r="O99" s="320"/>
      <c r="P99" s="218">
        <f t="shared" si="76"/>
        <v>33</v>
      </c>
      <c r="Q99" s="62">
        <f t="shared" si="78"/>
        <v>5</v>
      </c>
      <c r="R99" s="219" t="str">
        <f t="shared" si="77"/>
        <v>Стрыгин</v>
      </c>
      <c r="S99" s="71" t="s">
        <v>8</v>
      </c>
      <c r="T99" s="72" t="s">
        <v>7</v>
      </c>
      <c r="U99" s="73">
        <v>1</v>
      </c>
      <c r="V99" s="62">
        <v>2</v>
      </c>
      <c r="W99" s="62"/>
      <c r="X99" s="74" t="s">
        <v>49</v>
      </c>
      <c r="Y99" s="7"/>
      <c r="Z99" s="7"/>
      <c r="AA99" s="7"/>
      <c r="AB99" s="13"/>
      <c r="AC99" s="13"/>
      <c r="AD99" s="13"/>
    </row>
    <row r="100" ht="14.4">
      <c r="A100" s="205" t="s">
        <v>50</v>
      </c>
      <c r="B100" s="77"/>
      <c r="C100" s="389">
        <v>11</v>
      </c>
      <c r="D100" s="77"/>
      <c r="E100" s="389">
        <v>11</v>
      </c>
      <c r="F100" s="320"/>
      <c r="G100" s="320"/>
      <c r="H100" s="325"/>
      <c r="I100" s="325"/>
      <c r="J100" s="77"/>
      <c r="K100" s="389">
        <v>11</v>
      </c>
      <c r="L100" s="77"/>
      <c r="M100" s="389"/>
      <c r="N100" s="320"/>
      <c r="O100" s="320"/>
      <c r="P100" s="218">
        <f t="shared" ref="P100:P102" si="79">C100+E100+G100+I100+K100+M100+O100</f>
        <v>33</v>
      </c>
      <c r="Q100" s="62">
        <f t="shared" ref="Q100:Q102" si="80">Q81-P100</f>
        <v>19</v>
      </c>
      <c r="R100" s="219" t="str">
        <f t="shared" ref="R100:R102" si="81">A100</f>
        <v>Фрик</v>
      </c>
      <c r="S100" s="71" t="s">
        <v>12</v>
      </c>
      <c r="T100" s="72" t="s">
        <v>11</v>
      </c>
      <c r="U100" s="73">
        <v>3</v>
      </c>
      <c r="V100" s="62">
        <v>0</v>
      </c>
      <c r="W100" s="62"/>
      <c r="X100" s="74" t="s">
        <v>44</v>
      </c>
      <c r="Y100" s="7"/>
      <c r="Z100" s="7"/>
      <c r="AA100" s="7"/>
      <c r="AB100" s="13"/>
      <c r="AC100" s="13"/>
      <c r="AD100" s="13"/>
    </row>
    <row r="101" ht="14.4">
      <c r="A101" s="206" t="s">
        <v>51</v>
      </c>
      <c r="B101" s="320"/>
      <c r="C101" s="320"/>
      <c r="D101" s="320"/>
      <c r="E101" s="320"/>
      <c r="F101" s="77"/>
      <c r="G101" s="329">
        <v>11</v>
      </c>
      <c r="H101" s="77"/>
      <c r="I101" s="329">
        <v>11</v>
      </c>
      <c r="J101" s="320"/>
      <c r="K101" s="320"/>
      <c r="L101" s="320"/>
      <c r="M101" s="320"/>
      <c r="N101" s="67"/>
      <c r="O101" s="330"/>
      <c r="P101" s="218">
        <f t="shared" si="79"/>
        <v>22</v>
      </c>
      <c r="Q101" s="62">
        <f t="shared" si="80"/>
        <v>1</v>
      </c>
      <c r="R101" s="219" t="str">
        <f t="shared" si="81"/>
        <v>Истрашкин</v>
      </c>
      <c r="S101" s="71" t="s">
        <v>10</v>
      </c>
      <c r="T101" s="72" t="s">
        <v>9</v>
      </c>
      <c r="U101" s="73">
        <v>2</v>
      </c>
      <c r="V101" s="62">
        <f>COUNTIF(S101,B101)+COUNTIF(S101,D101)+COUNTIF(S101,F101)+COUNTIF(S101,H101)+COUNTIF(S101,J101)+COUNTIF(S101,L101)+COUNTIF(S101,N101)</f>
        <v>0</v>
      </c>
      <c r="W101" s="62"/>
      <c r="X101" s="74" t="s">
        <v>34</v>
      </c>
      <c r="Y101" s="7"/>
      <c r="Z101" s="7"/>
      <c r="AA101" s="7"/>
      <c r="AB101" s="13"/>
      <c r="AC101" s="13"/>
      <c r="AD101" s="13"/>
    </row>
    <row r="102" ht="14.4">
      <c r="A102" s="369" t="s">
        <v>65</v>
      </c>
      <c r="B102" s="67"/>
      <c r="C102" s="330"/>
      <c r="D102" s="77"/>
      <c r="E102" s="329">
        <v>11</v>
      </c>
      <c r="F102" s="77"/>
      <c r="G102" s="329">
        <v>11</v>
      </c>
      <c r="H102" s="320"/>
      <c r="I102" s="320"/>
      <c r="J102" s="320"/>
      <c r="K102" s="320"/>
      <c r="L102" s="67"/>
      <c r="M102" s="330"/>
      <c r="N102" s="76"/>
      <c r="O102" s="324"/>
      <c r="P102" s="333">
        <f t="shared" si="79"/>
        <v>22</v>
      </c>
      <c r="Q102" s="390">
        <f t="shared" si="80"/>
        <v>19</v>
      </c>
      <c r="R102" s="219" t="str">
        <f t="shared" si="81"/>
        <v>Качаев</v>
      </c>
      <c r="S102" s="71" t="s">
        <v>10</v>
      </c>
      <c r="T102" s="72" t="s">
        <v>9</v>
      </c>
      <c r="U102" s="73">
        <v>2</v>
      </c>
      <c r="V102" s="62">
        <v>0</v>
      </c>
      <c r="W102" s="62"/>
      <c r="X102" s="299" t="s">
        <v>34</v>
      </c>
      <c r="Y102" s="7"/>
      <c r="Z102" s="7"/>
      <c r="AA102" s="7"/>
      <c r="AB102" s="13"/>
      <c r="AC102" s="13"/>
      <c r="AD102" s="13"/>
    </row>
    <row r="103" ht="14.4">
      <c r="A103" s="92"/>
      <c r="B103" s="53">
        <f>B87</f>
        <v>46230</v>
      </c>
      <c r="C103" s="53"/>
      <c r="D103" s="53">
        <f>D87</f>
        <v>46231</v>
      </c>
      <c r="E103" s="53"/>
      <c r="F103" s="53">
        <f>F87</f>
        <v>46232</v>
      </c>
      <c r="G103" s="53"/>
      <c r="H103" s="53">
        <f>H87</f>
        <v>46233</v>
      </c>
      <c r="I103" s="53"/>
      <c r="J103" s="53">
        <f>J87</f>
        <v>46234</v>
      </c>
      <c r="K103" s="53"/>
      <c r="L103" s="53">
        <f>L87</f>
        <v>46235</v>
      </c>
      <c r="M103" s="53"/>
      <c r="N103" s="53">
        <f>N87</f>
        <v>46236</v>
      </c>
      <c r="O103" s="53"/>
      <c r="P103" s="68"/>
      <c r="Q103" s="67"/>
      <c r="R103" s="391"/>
      <c r="S103" s="138"/>
      <c r="T103" s="138"/>
      <c r="U103" s="60" t="s">
        <v>27</v>
      </c>
      <c r="V103" s="61" t="s">
        <v>28</v>
      </c>
      <c r="W103" s="62" t="s">
        <v>29</v>
      </c>
      <c r="X103" s="7"/>
      <c r="Y103" s="7"/>
      <c r="Z103" s="7"/>
      <c r="AA103" s="7"/>
      <c r="AB103" s="13"/>
      <c r="AC103" s="13"/>
      <c r="AD103" s="13"/>
    </row>
    <row r="104" ht="14.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21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154"/>
      <c r="R640" s="21"/>
      <c r="S640" s="21"/>
      <c r="T640" s="21"/>
      <c r="U640" s="154"/>
      <c r="V640" s="154"/>
      <c r="W640" s="154"/>
      <c r="X640" s="21"/>
      <c r="Y640" s="21"/>
      <c r="Z640" s="21"/>
      <c r="AA640" s="21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154"/>
      <c r="R641" s="21"/>
      <c r="S641" s="21"/>
      <c r="T641" s="21"/>
      <c r="U641" s="154"/>
      <c r="V641" s="154"/>
      <c r="W641" s="154"/>
      <c r="X641" s="21"/>
      <c r="Y641" s="21"/>
      <c r="Z641" s="21"/>
      <c r="AA641" s="21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154"/>
      <c r="R642" s="21"/>
      <c r="S642" s="21"/>
      <c r="T642" s="21"/>
      <c r="U642" s="154"/>
      <c r="V642" s="154"/>
      <c r="W642" s="154"/>
      <c r="X642" s="21"/>
      <c r="Y642" s="21"/>
      <c r="Z642" s="21"/>
      <c r="AA642" s="21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154"/>
      <c r="R643" s="21"/>
      <c r="S643" s="21"/>
      <c r="T643" s="21"/>
      <c r="U643" s="154"/>
      <c r="V643" s="154"/>
      <c r="W643" s="154"/>
      <c r="X643" s="21"/>
      <c r="Y643" s="21"/>
      <c r="Z643" s="21"/>
      <c r="AA643" s="21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154"/>
      <c r="R644" s="21"/>
      <c r="S644" s="21"/>
      <c r="T644" s="21"/>
      <c r="U644" s="154"/>
      <c r="V644" s="154"/>
      <c r="W644" s="154"/>
      <c r="X644" s="21"/>
      <c r="Y644" s="21"/>
      <c r="Z644" s="21"/>
      <c r="AA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54"/>
      <c r="R645" s="21"/>
      <c r="S645" s="21"/>
      <c r="T645" s="21"/>
      <c r="U645" s="154"/>
      <c r="V645" s="154"/>
      <c r="W645" s="154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54"/>
      <c r="R646" s="21"/>
      <c r="S646" s="21"/>
      <c r="T646" s="21"/>
      <c r="U646" s="154"/>
      <c r="V646" s="154"/>
      <c r="W646" s="154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54"/>
      <c r="R647" s="21"/>
      <c r="S647" s="21"/>
      <c r="T647" s="21"/>
      <c r="U647" s="154"/>
      <c r="V647" s="154"/>
      <c r="W647" s="154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8:Q28"/>
    <mergeCell ref="P29:Q29"/>
    <mergeCell ref="A47:Q47"/>
    <mergeCell ref="P48:Q48"/>
    <mergeCell ref="P67:Q67"/>
    <mergeCell ref="P86:Q86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0" zoomScale="100" workbookViewId="0">
      <selection activeCell="F95" activeCellId="0" sqref="F95"/>
    </sheetView>
  </sheetViews>
  <sheetFormatPr defaultRowHeight="13.5"/>
  <cols>
    <col customWidth="1" min="1" max="1" width="14.5546875"/>
    <col customWidth="1" min="2" max="2" width="11.88671875"/>
    <col customWidth="1" min="3" max="3" width="4.88671875"/>
    <col customWidth="1" min="4" max="4" width="13.109375"/>
    <col customWidth="1" min="5" max="5" width="6"/>
    <col customWidth="1" min="6" max="6" width="11.88671875"/>
    <col customWidth="1" min="7" max="7" width="6"/>
    <col customWidth="1" min="8" max="8" width="12.109375"/>
    <col customWidth="1" min="9" max="9" width="6"/>
    <col customWidth="1" min="10" max="10" width="11.33203125"/>
    <col customWidth="1" min="11" max="11" width="6"/>
    <col customWidth="1" min="12" max="12" width="11"/>
    <col customWidth="1" min="13" max="13" width="6"/>
    <col customWidth="1" min="14" max="14" width="10.5546875"/>
    <col customWidth="1" min="15" max="16" width="6"/>
    <col customWidth="1" min="17" max="17" width="14.33203125"/>
    <col customWidth="1" min="18" max="18" width="11.441406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25">
      <c r="A10" s="143"/>
      <c r="B10" s="43" t="s">
        <v>17</v>
      </c>
      <c r="C10" s="142"/>
      <c r="D10" s="43" t="s">
        <v>18</v>
      </c>
      <c r="E10" s="142"/>
      <c r="F10" s="43" t="s">
        <v>19</v>
      </c>
      <c r="G10" s="43"/>
      <c r="H10" s="43" t="s">
        <v>20</v>
      </c>
      <c r="I10" s="142"/>
      <c r="J10" s="45" t="s">
        <v>21</v>
      </c>
      <c r="K10" s="45"/>
      <c r="L10" s="43" t="s">
        <v>22</v>
      </c>
      <c r="M10" s="43"/>
      <c r="N10" s="43" t="s">
        <v>23</v>
      </c>
      <c r="O10" s="43"/>
      <c r="P10" s="208" t="s">
        <v>24</v>
      </c>
      <c r="Q10" s="209"/>
      <c r="R10" s="117">
        <v>167</v>
      </c>
      <c r="S10" s="143"/>
      <c r="T10" s="143"/>
      <c r="U10" s="286">
        <v>167</v>
      </c>
      <c r="V10" s="90"/>
      <c r="W10" s="62"/>
      <c r="X10" s="51"/>
      <c r="Y10" s="7"/>
      <c r="Z10" s="7"/>
      <c r="AA10" s="7"/>
      <c r="AB10" s="13"/>
      <c r="AC10" s="13"/>
      <c r="AD10" s="13"/>
    </row>
    <row r="11" ht="14.25">
      <c r="A11" s="317"/>
      <c r="B11" s="53">
        <v>46174</v>
      </c>
      <c r="C11" s="53"/>
      <c r="D11" s="53">
        <v>46175</v>
      </c>
      <c r="E11" s="53"/>
      <c r="F11" s="53">
        <v>46176</v>
      </c>
      <c r="G11" s="53"/>
      <c r="H11" s="53">
        <v>46177</v>
      </c>
      <c r="I11" s="53"/>
      <c r="J11" s="53">
        <v>46178</v>
      </c>
      <c r="K11" s="53"/>
      <c r="L11" s="53">
        <v>46179</v>
      </c>
      <c r="M11" s="53"/>
      <c r="N11" s="53">
        <v>46180</v>
      </c>
      <c r="O11" s="54"/>
      <c r="P11" s="318" t="s">
        <v>25</v>
      </c>
      <c r="Q11" s="214" t="s">
        <v>26</v>
      </c>
      <c r="R11" s="287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25">
      <c r="A12" s="217" t="s">
        <v>35</v>
      </c>
      <c r="B12" s="319"/>
      <c r="C12" s="319" t="s">
        <v>33</v>
      </c>
      <c r="D12" s="319"/>
      <c r="E12" s="319" t="s">
        <v>33</v>
      </c>
      <c r="F12" s="319"/>
      <c r="G12" s="319" t="s">
        <v>33</v>
      </c>
      <c r="H12" s="319"/>
      <c r="I12" s="319" t="s">
        <v>33</v>
      </c>
      <c r="J12" s="319"/>
      <c r="K12" s="319" t="s">
        <v>33</v>
      </c>
      <c r="L12" s="328"/>
      <c r="M12" s="328"/>
      <c r="N12" s="328"/>
      <c r="O12" s="328"/>
      <c r="P12" s="218">
        <f t="shared" ref="P12:P75" si="82">C12+E12+G12+I12+K12+M12+O12</f>
        <v>40</v>
      </c>
      <c r="Q12" s="62">
        <f>R10-P12</f>
        <v>127</v>
      </c>
      <c r="R12" s="288" t="str">
        <f t="shared" ref="R12:R75" si="83">A12</f>
        <v>Рычков</v>
      </c>
      <c r="S12" s="76" t="s">
        <v>10</v>
      </c>
      <c r="T12" s="77" t="s">
        <v>9</v>
      </c>
      <c r="U12" s="73">
        <f t="shared" ref="U12:U59" si="84">COUNTIF(T12,B12)+COUNTIF(T12,D12)+COUNTIF(T12,F12)+COUNTIF(T12,H12)+COUNTIF(T12,J12)+COUNTIF(T12,L12)+COUNTIF(T12,N12)</f>
        <v>0</v>
      </c>
      <c r="V12" s="62">
        <f t="shared" ref="V12:V59" si="85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25">
      <c r="A13" s="203" t="s">
        <v>66</v>
      </c>
      <c r="B13" s="319"/>
      <c r="C13" s="319" t="s">
        <v>33</v>
      </c>
      <c r="D13" s="319"/>
      <c r="E13" s="319" t="s">
        <v>33</v>
      </c>
      <c r="F13" s="319"/>
      <c r="G13" s="319" t="s">
        <v>33</v>
      </c>
      <c r="H13" s="319"/>
      <c r="I13" s="319" t="s">
        <v>33</v>
      </c>
      <c r="J13" s="319"/>
      <c r="K13" s="319" t="s">
        <v>33</v>
      </c>
      <c r="L13" s="328"/>
      <c r="M13" s="328"/>
      <c r="N13" s="328"/>
      <c r="O13" s="328"/>
      <c r="P13" s="218">
        <f t="shared" si="82"/>
        <v>40</v>
      </c>
      <c r="Q13" s="62">
        <f>R10-P13</f>
        <v>127</v>
      </c>
      <c r="R13" s="288" t="str">
        <f t="shared" si="83"/>
        <v>Карузина</v>
      </c>
      <c r="S13" s="76" t="s">
        <v>10</v>
      </c>
      <c r="T13" s="77" t="s">
        <v>9</v>
      </c>
      <c r="U13" s="73">
        <f t="shared" si="84"/>
        <v>0</v>
      </c>
      <c r="V13" s="62">
        <f t="shared" si="85"/>
        <v>0</v>
      </c>
      <c r="W13" s="62"/>
      <c r="X13" s="79" t="s">
        <v>34</v>
      </c>
      <c r="Y13" s="7"/>
      <c r="Z13" s="80"/>
      <c r="AA13" s="80"/>
      <c r="AB13" s="13"/>
      <c r="AC13" s="13"/>
      <c r="AD13" s="13"/>
    </row>
    <row r="14" ht="14.25">
      <c r="A14" s="203" t="s">
        <v>39</v>
      </c>
      <c r="B14" s="319"/>
      <c r="C14" s="319" t="s">
        <v>33</v>
      </c>
      <c r="D14" s="319"/>
      <c r="E14" s="319" t="s">
        <v>33</v>
      </c>
      <c r="F14" s="319"/>
      <c r="G14" s="319" t="s">
        <v>33</v>
      </c>
      <c r="H14" s="319"/>
      <c r="I14" s="319" t="s">
        <v>33</v>
      </c>
      <c r="J14" s="319"/>
      <c r="K14" s="319" t="s">
        <v>33</v>
      </c>
      <c r="L14" s="328"/>
      <c r="M14" s="328"/>
      <c r="N14" s="328"/>
      <c r="O14" s="328"/>
      <c r="P14" s="218">
        <f t="shared" si="82"/>
        <v>40</v>
      </c>
      <c r="Q14" s="62">
        <f>R10-P14</f>
        <v>127</v>
      </c>
      <c r="R14" s="288" t="str">
        <f t="shared" si="83"/>
        <v>Игумнов</v>
      </c>
      <c r="S14" s="76" t="s">
        <v>10</v>
      </c>
      <c r="T14" s="77" t="s">
        <v>9</v>
      </c>
      <c r="U14" s="73">
        <f t="shared" si="84"/>
        <v>0</v>
      </c>
      <c r="V14" s="62">
        <f t="shared" si="85"/>
        <v>0</v>
      </c>
      <c r="W14" s="62"/>
      <c r="X14" s="74" t="s">
        <v>38</v>
      </c>
      <c r="Y14" s="80"/>
      <c r="Z14" s="80"/>
      <c r="AA14" s="80"/>
      <c r="AB14" s="13"/>
      <c r="AC14" s="13"/>
      <c r="AD14" s="13"/>
    </row>
    <row r="15" ht="14.25">
      <c r="A15" s="203" t="s">
        <v>40</v>
      </c>
      <c r="B15" s="319"/>
      <c r="C15" s="319" t="s">
        <v>33</v>
      </c>
      <c r="D15" s="319"/>
      <c r="E15" s="319" t="s">
        <v>33</v>
      </c>
      <c r="F15" s="319"/>
      <c r="G15" s="319" t="s">
        <v>33</v>
      </c>
      <c r="H15" s="319"/>
      <c r="I15" s="319" t="s">
        <v>33</v>
      </c>
      <c r="J15" s="319"/>
      <c r="K15" s="319" t="s">
        <v>33</v>
      </c>
      <c r="L15" s="328"/>
      <c r="M15" s="328"/>
      <c r="N15" s="328"/>
      <c r="O15" s="328"/>
      <c r="P15" s="218">
        <f t="shared" si="82"/>
        <v>40</v>
      </c>
      <c r="Q15" s="62">
        <f>R10-P15</f>
        <v>127</v>
      </c>
      <c r="R15" s="288" t="str">
        <f t="shared" si="83"/>
        <v>Душин</v>
      </c>
      <c r="S15" s="76" t="s">
        <v>58</v>
      </c>
      <c r="T15" s="77" t="s">
        <v>59</v>
      </c>
      <c r="U15" s="73">
        <f t="shared" si="84"/>
        <v>0</v>
      </c>
      <c r="V15" s="62">
        <f t="shared" si="85"/>
        <v>0</v>
      </c>
      <c r="W15" s="62"/>
      <c r="X15" s="74" t="s">
        <v>34</v>
      </c>
      <c r="Y15" s="80"/>
      <c r="Z15" s="80"/>
      <c r="AA15" s="80"/>
      <c r="AB15" s="13"/>
      <c r="AC15" s="13"/>
      <c r="AD15" s="13"/>
    </row>
    <row r="16" ht="14.25">
      <c r="A16" s="203" t="s">
        <v>31</v>
      </c>
      <c r="B16" s="319"/>
      <c r="C16" s="319" t="s">
        <v>33</v>
      </c>
      <c r="D16" s="319"/>
      <c r="E16" s="319" t="s">
        <v>33</v>
      </c>
      <c r="F16" s="319"/>
      <c r="G16" s="319" t="s">
        <v>33</v>
      </c>
      <c r="H16" s="319"/>
      <c r="I16" s="319" t="s">
        <v>33</v>
      </c>
      <c r="J16" s="319"/>
      <c r="K16" s="319" t="s">
        <v>33</v>
      </c>
      <c r="L16" s="328"/>
      <c r="M16" s="328"/>
      <c r="N16" s="328"/>
      <c r="O16" s="328"/>
      <c r="P16" s="218">
        <f t="shared" si="82"/>
        <v>40</v>
      </c>
      <c r="Q16" s="62">
        <f>R10-P16</f>
        <v>127</v>
      </c>
      <c r="R16" s="219" t="str">
        <f t="shared" si="83"/>
        <v>Нетронин</v>
      </c>
      <c r="S16" s="76" t="s">
        <v>58</v>
      </c>
      <c r="T16" s="77" t="s">
        <v>59</v>
      </c>
      <c r="U16" s="73">
        <f t="shared" si="84"/>
        <v>0</v>
      </c>
      <c r="V16" s="62">
        <f t="shared" si="85"/>
        <v>0</v>
      </c>
      <c r="W16" s="62"/>
      <c r="X16" s="74" t="s">
        <v>34</v>
      </c>
      <c r="Y16" s="80"/>
      <c r="Z16" s="80"/>
      <c r="AA16" s="80"/>
      <c r="AB16" s="13"/>
      <c r="AC16" s="13"/>
      <c r="AD16" s="13"/>
    </row>
    <row r="17" ht="14.25">
      <c r="A17" s="203" t="s">
        <v>61</v>
      </c>
      <c r="B17" s="319"/>
      <c r="C17" s="319" t="s">
        <v>33</v>
      </c>
      <c r="D17" s="319"/>
      <c r="E17" s="319" t="s">
        <v>33</v>
      </c>
      <c r="F17" s="319"/>
      <c r="G17" s="319" t="s">
        <v>33</v>
      </c>
      <c r="H17" s="319"/>
      <c r="I17" s="319" t="s">
        <v>33</v>
      </c>
      <c r="J17" s="319"/>
      <c r="K17" s="319" t="s">
        <v>33</v>
      </c>
      <c r="L17" s="328"/>
      <c r="M17" s="328"/>
      <c r="N17" s="328"/>
      <c r="O17" s="328"/>
      <c r="P17" s="218">
        <f t="shared" si="82"/>
        <v>40</v>
      </c>
      <c r="Q17" s="62">
        <f>R10-P17</f>
        <v>127</v>
      </c>
      <c r="R17" s="322" t="str">
        <f t="shared" si="83"/>
        <v>Раимова</v>
      </c>
      <c r="S17" s="173" t="s">
        <v>10</v>
      </c>
      <c r="T17" s="300" t="s">
        <v>9</v>
      </c>
      <c r="U17" s="227">
        <f t="shared" si="84"/>
        <v>0</v>
      </c>
      <c r="V17" s="86">
        <f t="shared" si="85"/>
        <v>0</v>
      </c>
      <c r="W17" s="86"/>
      <c r="X17" s="74" t="s">
        <v>38</v>
      </c>
      <c r="Y17" s="7"/>
      <c r="Z17" s="7"/>
      <c r="AA17" s="7"/>
      <c r="AB17" s="13"/>
      <c r="AC17" s="13"/>
      <c r="AD17" s="13"/>
    </row>
    <row r="18" ht="14.25">
      <c r="A18" s="203" t="s">
        <v>62</v>
      </c>
      <c r="B18" s="319"/>
      <c r="C18" s="319" t="s">
        <v>33</v>
      </c>
      <c r="D18" s="319"/>
      <c r="E18" s="319" t="s">
        <v>33</v>
      </c>
      <c r="F18" s="319"/>
      <c r="G18" s="319" t="s">
        <v>33</v>
      </c>
      <c r="H18" s="319"/>
      <c r="I18" s="319" t="s">
        <v>33</v>
      </c>
      <c r="J18" s="319"/>
      <c r="K18" s="319" t="s">
        <v>33</v>
      </c>
      <c r="L18" s="328"/>
      <c r="M18" s="328"/>
      <c r="N18" s="328"/>
      <c r="O18" s="328"/>
      <c r="P18" s="218">
        <f t="shared" si="82"/>
        <v>40</v>
      </c>
      <c r="Q18" s="62">
        <f>R10-P18</f>
        <v>127</v>
      </c>
      <c r="R18" s="288" t="str">
        <f t="shared" si="83"/>
        <v>Войтехович</v>
      </c>
      <c r="S18" s="76" t="s">
        <v>10</v>
      </c>
      <c r="T18" s="77" t="s">
        <v>9</v>
      </c>
      <c r="U18" s="73">
        <f t="shared" si="84"/>
        <v>0</v>
      </c>
      <c r="V18" s="62">
        <f t="shared" si="85"/>
        <v>0</v>
      </c>
      <c r="W18" s="62"/>
      <c r="X18" s="74" t="s">
        <v>34</v>
      </c>
      <c r="Y18" s="80"/>
      <c r="Z18" s="7"/>
      <c r="AA18" s="7"/>
      <c r="AB18" s="13"/>
      <c r="AC18" s="13"/>
      <c r="AD18" s="13"/>
    </row>
    <row r="19" ht="14.25">
      <c r="A19" s="203" t="s">
        <v>63</v>
      </c>
      <c r="B19" s="319"/>
      <c r="C19" s="319" t="s">
        <v>33</v>
      </c>
      <c r="D19" s="319"/>
      <c r="E19" s="319" t="s">
        <v>33</v>
      </c>
      <c r="F19" s="319"/>
      <c r="G19" s="319" t="s">
        <v>33</v>
      </c>
      <c r="H19" s="319"/>
      <c r="I19" s="319" t="s">
        <v>33</v>
      </c>
      <c r="J19" s="319"/>
      <c r="K19" s="319" t="s">
        <v>33</v>
      </c>
      <c r="L19" s="417"/>
      <c r="M19" s="418"/>
      <c r="N19" s="418"/>
      <c r="O19" s="419"/>
      <c r="P19" s="218">
        <f t="shared" si="82"/>
        <v>40</v>
      </c>
      <c r="Q19" s="62">
        <f>R10-P19</f>
        <v>127</v>
      </c>
      <c r="R19" s="288" t="str">
        <f t="shared" si="83"/>
        <v>Васильев</v>
      </c>
      <c r="S19" s="71" t="s">
        <v>12</v>
      </c>
      <c r="T19" s="72" t="s">
        <v>11</v>
      </c>
      <c r="U19" s="73">
        <f t="shared" si="84"/>
        <v>0</v>
      </c>
      <c r="V19" s="62">
        <f t="shared" si="85"/>
        <v>0</v>
      </c>
      <c r="W19" s="62"/>
      <c r="X19" s="74" t="s">
        <v>38</v>
      </c>
      <c r="Y19" s="80"/>
      <c r="Z19" s="7"/>
      <c r="AA19" s="7"/>
      <c r="AB19" s="13"/>
      <c r="AC19" s="13"/>
      <c r="AD19" s="13"/>
    </row>
    <row r="20" ht="14.25">
      <c r="A20" s="205" t="s">
        <v>43</v>
      </c>
      <c r="B20" s="77"/>
      <c r="C20" s="329">
        <v>11</v>
      </c>
      <c r="D20" s="325"/>
      <c r="E20" s="325"/>
      <c r="F20" s="325"/>
      <c r="G20" s="325"/>
      <c r="H20" s="76"/>
      <c r="I20" s="324">
        <v>11</v>
      </c>
      <c r="J20" s="76"/>
      <c r="K20" s="324">
        <v>11</v>
      </c>
      <c r="L20" s="325"/>
      <c r="M20" s="325"/>
      <c r="N20" s="325"/>
      <c r="O20" s="325"/>
      <c r="P20" s="218">
        <f t="shared" si="82"/>
        <v>33</v>
      </c>
      <c r="Q20" s="62">
        <f>R10-P20</f>
        <v>134</v>
      </c>
      <c r="R20" s="288" t="str">
        <f t="shared" si="83"/>
        <v>Дащенко</v>
      </c>
      <c r="S20" s="76" t="s">
        <v>10</v>
      </c>
      <c r="T20" s="77" t="s">
        <v>9</v>
      </c>
      <c r="U20" s="73">
        <v>1</v>
      </c>
      <c r="V20" s="62">
        <v>2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ht="14.25">
      <c r="A21" s="205" t="s">
        <v>45</v>
      </c>
      <c r="B21" s="325"/>
      <c r="C21" s="325"/>
      <c r="D21" s="325"/>
      <c r="E21" s="325"/>
      <c r="F21" s="76"/>
      <c r="G21" s="324">
        <v>11</v>
      </c>
      <c r="H21" s="76"/>
      <c r="I21" s="324">
        <v>11</v>
      </c>
      <c r="J21" s="325"/>
      <c r="K21" s="325"/>
      <c r="L21" s="325"/>
      <c r="M21" s="325"/>
      <c r="N21" s="77"/>
      <c r="O21" s="329">
        <v>11</v>
      </c>
      <c r="P21" s="218">
        <f t="shared" si="82"/>
        <v>33</v>
      </c>
      <c r="Q21" s="62">
        <f>R10-P21</f>
        <v>134</v>
      </c>
      <c r="R21" s="288" t="str">
        <f t="shared" si="83"/>
        <v>Пузырь</v>
      </c>
      <c r="S21" s="76" t="s">
        <v>10</v>
      </c>
      <c r="T21" s="77" t="s">
        <v>9</v>
      </c>
      <c r="U21" s="73">
        <v>1</v>
      </c>
      <c r="V21" s="62">
        <v>2</v>
      </c>
      <c r="W21" s="62"/>
      <c r="X21" s="74" t="s">
        <v>34</v>
      </c>
      <c r="Y21" s="7"/>
      <c r="Z21" s="7"/>
      <c r="AA21" s="7"/>
      <c r="AB21" s="13"/>
      <c r="AC21" s="13"/>
      <c r="AD21" s="13"/>
    </row>
    <row r="22" ht="14.25">
      <c r="A22" s="205" t="s">
        <v>64</v>
      </c>
      <c r="B22" s="325"/>
      <c r="C22" s="325"/>
      <c r="D22" s="77"/>
      <c r="E22" s="329">
        <v>11</v>
      </c>
      <c r="F22" s="77"/>
      <c r="G22" s="329">
        <v>11</v>
      </c>
      <c r="H22" s="67"/>
      <c r="I22" s="330"/>
      <c r="J22" s="325"/>
      <c r="K22" s="325"/>
      <c r="L22" s="76"/>
      <c r="M22" s="324">
        <v>11</v>
      </c>
      <c r="N22" s="76"/>
      <c r="O22" s="324">
        <v>11</v>
      </c>
      <c r="P22" s="218">
        <f t="shared" si="82"/>
        <v>44</v>
      </c>
      <c r="Q22" s="62">
        <f>R10-P22</f>
        <v>123</v>
      </c>
      <c r="R22" s="288" t="str">
        <f t="shared" si="83"/>
        <v>Рожнева</v>
      </c>
      <c r="S22" s="76" t="s">
        <v>10</v>
      </c>
      <c r="T22" s="77" t="s">
        <v>9</v>
      </c>
      <c r="U22" s="73">
        <v>2</v>
      </c>
      <c r="V22" s="62">
        <v>2</v>
      </c>
      <c r="W22" s="62"/>
      <c r="X22" s="74" t="s">
        <v>34</v>
      </c>
      <c r="Y22" s="7"/>
      <c r="Z22" s="7"/>
      <c r="AA22" s="7"/>
      <c r="AB22" s="13"/>
      <c r="AC22" s="13"/>
      <c r="AD22" s="13"/>
    </row>
    <row r="23" ht="14.25">
      <c r="A23" s="205" t="s">
        <v>47</v>
      </c>
      <c r="B23" s="325"/>
      <c r="C23" s="325"/>
      <c r="D23" s="325"/>
      <c r="E23" s="325"/>
      <c r="F23" s="77"/>
      <c r="G23" s="329">
        <v>11</v>
      </c>
      <c r="H23" s="77"/>
      <c r="I23" s="329">
        <v>11</v>
      </c>
      <c r="J23" s="325"/>
      <c r="K23" s="325"/>
      <c r="L23" s="325"/>
      <c r="M23" s="325"/>
      <c r="N23" s="76"/>
      <c r="O23" s="357">
        <v>11</v>
      </c>
      <c r="P23" s="218">
        <f t="shared" si="82"/>
        <v>33</v>
      </c>
      <c r="Q23" s="62">
        <f>R10-P23</f>
        <v>134</v>
      </c>
      <c r="R23" s="288" t="str">
        <f t="shared" si="83"/>
        <v>Торубара</v>
      </c>
      <c r="S23" s="76" t="s">
        <v>10</v>
      </c>
      <c r="T23" s="77" t="s">
        <v>9</v>
      </c>
      <c r="U23" s="73">
        <v>2</v>
      </c>
      <c r="V23" s="62">
        <v>1</v>
      </c>
      <c r="W23" s="62"/>
      <c r="X23" s="74" t="s">
        <v>34</v>
      </c>
      <c r="Y23" s="7"/>
      <c r="Z23" s="7"/>
      <c r="AA23" s="7"/>
      <c r="AB23" s="13"/>
      <c r="AC23" s="13"/>
      <c r="AD23" s="13"/>
    </row>
    <row r="24" ht="14.25">
      <c r="A24" s="205" t="s">
        <v>48</v>
      </c>
      <c r="B24" s="77"/>
      <c r="C24" s="329">
        <v>11</v>
      </c>
      <c r="D24" s="77"/>
      <c r="E24" s="329">
        <v>11</v>
      </c>
      <c r="F24" s="325"/>
      <c r="G24" s="325"/>
      <c r="H24" s="325"/>
      <c r="I24" s="325"/>
      <c r="J24" s="76"/>
      <c r="K24" s="324">
        <v>11</v>
      </c>
      <c r="L24" s="76"/>
      <c r="M24" s="324">
        <v>11</v>
      </c>
      <c r="N24" s="325"/>
      <c r="O24" s="325"/>
      <c r="P24" s="218">
        <f t="shared" si="82"/>
        <v>44</v>
      </c>
      <c r="Q24" s="62">
        <f>R10-P24</f>
        <v>123</v>
      </c>
      <c r="R24" s="219" t="str">
        <f t="shared" si="83"/>
        <v>Стрыгин</v>
      </c>
      <c r="S24" s="71" t="s">
        <v>8</v>
      </c>
      <c r="T24" s="72" t="s">
        <v>7</v>
      </c>
      <c r="U24" s="90">
        <v>2</v>
      </c>
      <c r="V24" s="62">
        <v>2</v>
      </c>
      <c r="W24" s="62"/>
      <c r="X24" s="74" t="s">
        <v>49</v>
      </c>
      <c r="Y24" s="7"/>
      <c r="Z24" s="7"/>
      <c r="AA24" s="7"/>
      <c r="AB24" s="13"/>
      <c r="AC24" s="13"/>
      <c r="AD24" s="13"/>
    </row>
    <row r="25" ht="14.25">
      <c r="A25" s="205" t="s">
        <v>50</v>
      </c>
      <c r="B25" s="76"/>
      <c r="C25" s="324">
        <v>11</v>
      </c>
      <c r="D25" s="325"/>
      <c r="E25" s="325"/>
      <c r="F25" s="325"/>
      <c r="G25" s="325"/>
      <c r="H25" s="77"/>
      <c r="I25" s="329">
        <v>11</v>
      </c>
      <c r="J25" s="77"/>
      <c r="K25" s="329">
        <v>11</v>
      </c>
      <c r="L25" s="325"/>
      <c r="M25" s="325"/>
      <c r="N25" s="325"/>
      <c r="O25" s="325"/>
      <c r="P25" s="218">
        <f t="shared" si="82"/>
        <v>33</v>
      </c>
      <c r="Q25" s="62">
        <f>R10-P25</f>
        <v>134</v>
      </c>
      <c r="R25" s="219" t="str">
        <f t="shared" si="83"/>
        <v>Фрик</v>
      </c>
      <c r="S25" s="71" t="s">
        <v>12</v>
      </c>
      <c r="T25" s="72" t="s">
        <v>11</v>
      </c>
      <c r="U25" s="90">
        <v>2</v>
      </c>
      <c r="V25" s="62">
        <v>1</v>
      </c>
      <c r="W25" s="62"/>
      <c r="X25" s="74" t="s">
        <v>44</v>
      </c>
      <c r="Y25" s="7"/>
      <c r="Z25" s="7"/>
      <c r="AA25" s="7"/>
      <c r="AB25" s="13"/>
      <c r="AC25" s="13"/>
      <c r="AD25" s="13"/>
    </row>
    <row r="26" ht="14.25">
      <c r="A26" s="206" t="s">
        <v>51</v>
      </c>
      <c r="B26" s="325"/>
      <c r="C26" s="325"/>
      <c r="D26" s="76"/>
      <c r="E26" s="324">
        <v>11</v>
      </c>
      <c r="F26" s="76"/>
      <c r="G26" s="324">
        <v>11</v>
      </c>
      <c r="H26" s="325"/>
      <c r="I26" s="325"/>
      <c r="J26" s="325"/>
      <c r="K26" s="325"/>
      <c r="L26" s="77"/>
      <c r="M26" s="329">
        <v>11</v>
      </c>
      <c r="N26" s="77"/>
      <c r="O26" s="329">
        <v>11</v>
      </c>
      <c r="P26" s="218">
        <f t="shared" si="82"/>
        <v>44</v>
      </c>
      <c r="Q26" s="62">
        <f>R10-P26</f>
        <v>123</v>
      </c>
      <c r="R26" s="219" t="str">
        <f t="shared" si="83"/>
        <v>Истрашкин</v>
      </c>
      <c r="S26" s="71" t="s">
        <v>10</v>
      </c>
      <c r="T26" s="72" t="s">
        <v>9</v>
      </c>
      <c r="U26" s="90">
        <v>2</v>
      </c>
      <c r="V26" s="62">
        <v>2</v>
      </c>
      <c r="W26" s="62"/>
      <c r="X26" s="74" t="s">
        <v>34</v>
      </c>
      <c r="Y26" s="7"/>
      <c r="Z26" s="7"/>
      <c r="AA26" s="7"/>
      <c r="AB26" s="13"/>
      <c r="AC26" s="13"/>
      <c r="AD26" s="13"/>
    </row>
    <row r="27" ht="14.25">
      <c r="A27" s="206" t="s">
        <v>65</v>
      </c>
      <c r="B27" s="76"/>
      <c r="C27" s="324">
        <v>11</v>
      </c>
      <c r="D27" s="76"/>
      <c r="E27" s="324">
        <v>11</v>
      </c>
      <c r="F27" s="325"/>
      <c r="G27" s="325"/>
      <c r="H27" s="325"/>
      <c r="I27" s="325"/>
      <c r="J27" s="77"/>
      <c r="K27" s="329">
        <v>11</v>
      </c>
      <c r="L27" s="77"/>
      <c r="M27" s="329">
        <v>11</v>
      </c>
      <c r="N27" s="325"/>
      <c r="O27" s="325"/>
      <c r="P27" s="218">
        <f t="shared" si="82"/>
        <v>44</v>
      </c>
      <c r="Q27" s="62">
        <f>R10-P27</f>
        <v>123</v>
      </c>
      <c r="R27" s="219" t="str">
        <f t="shared" si="83"/>
        <v>Качаев</v>
      </c>
      <c r="S27" s="268" t="s">
        <v>10</v>
      </c>
      <c r="T27" s="72" t="s">
        <v>9</v>
      </c>
      <c r="U27" s="90">
        <v>2</v>
      </c>
      <c r="V27" s="62">
        <v>2</v>
      </c>
      <c r="W27" s="62"/>
      <c r="X27" s="331"/>
      <c r="Y27" s="7"/>
      <c r="Z27" s="7"/>
      <c r="AA27" s="7"/>
      <c r="AB27" s="13"/>
      <c r="AC27" s="13"/>
      <c r="AD27" s="13"/>
    </row>
    <row r="28" ht="14.25">
      <c r="A28" s="332"/>
      <c r="B28" s="53">
        <v>46174</v>
      </c>
      <c r="C28" s="53"/>
      <c r="D28" s="53">
        <v>46175</v>
      </c>
      <c r="E28" s="53"/>
      <c r="F28" s="53">
        <v>46176</v>
      </c>
      <c r="G28" s="53"/>
      <c r="H28" s="53">
        <v>46177</v>
      </c>
      <c r="I28" s="53"/>
      <c r="J28" s="53">
        <v>46178</v>
      </c>
      <c r="K28" s="53"/>
      <c r="L28" s="53">
        <v>46179</v>
      </c>
      <c r="M28" s="53"/>
      <c r="N28" s="53">
        <v>46180</v>
      </c>
      <c r="O28" s="54"/>
      <c r="P28" s="333"/>
      <c r="Q28" s="334"/>
      <c r="R28" s="207"/>
      <c r="S28" s="138"/>
      <c r="T28" s="138"/>
      <c r="U28" s="194" t="s">
        <v>27</v>
      </c>
      <c r="V28" s="61" t="s">
        <v>28</v>
      </c>
      <c r="W28" s="335" t="s">
        <v>29</v>
      </c>
      <c r="X28" s="87"/>
      <c r="Y28" s="7"/>
      <c r="Z28" s="7"/>
      <c r="AA28" s="7"/>
      <c r="AB28" s="13"/>
      <c r="AC28" s="13"/>
      <c r="AD28" s="13"/>
    </row>
    <row r="29" ht="14.25">
      <c r="A29" s="336"/>
      <c r="B29" s="337"/>
      <c r="C29" s="337"/>
      <c r="D29" s="337"/>
      <c r="E29" s="337"/>
      <c r="F29" s="337"/>
      <c r="G29" s="337"/>
      <c r="H29" s="337"/>
      <c r="I29" s="337"/>
      <c r="J29" s="337"/>
      <c r="K29" s="337"/>
      <c r="L29" s="337"/>
      <c r="M29" s="337"/>
      <c r="N29" s="337"/>
      <c r="O29" s="337"/>
      <c r="P29" s="337"/>
      <c r="Q29" s="338"/>
      <c r="R29" s="339"/>
      <c r="S29" s="165"/>
      <c r="T29" s="165"/>
      <c r="U29" s="340"/>
      <c r="V29" s="100"/>
      <c r="W29" s="100"/>
      <c r="X29" s="341"/>
      <c r="Y29" s="7"/>
      <c r="Z29" s="7"/>
      <c r="AA29" s="7"/>
      <c r="AB29" s="13"/>
      <c r="AC29" s="13"/>
      <c r="AD29" s="13"/>
    </row>
    <row r="30" ht="14.25">
      <c r="A30" s="98"/>
      <c r="B30" s="101" t="s">
        <v>17</v>
      </c>
      <c r="C30" s="101"/>
      <c r="D30" s="101" t="s">
        <v>18</v>
      </c>
      <c r="E30" s="101"/>
      <c r="F30" s="101" t="s">
        <v>19</v>
      </c>
      <c r="G30" s="101"/>
      <c r="H30" s="101" t="s">
        <v>20</v>
      </c>
      <c r="I30" s="101"/>
      <c r="J30" s="102" t="s">
        <v>21</v>
      </c>
      <c r="K30" s="102"/>
      <c r="L30" s="101" t="s">
        <v>22</v>
      </c>
      <c r="M30" s="101"/>
      <c r="N30" s="101" t="s">
        <v>23</v>
      </c>
      <c r="O30" s="101"/>
      <c r="P30" s="342" t="s">
        <v>24</v>
      </c>
      <c r="Q30" s="343"/>
      <c r="R30" s="339"/>
      <c r="S30" s="165"/>
      <c r="T30" s="165"/>
      <c r="U30" s="340"/>
      <c r="V30" s="100"/>
      <c r="W30" s="100"/>
      <c r="X30" s="242"/>
      <c r="Y30" s="7"/>
      <c r="Z30" s="7"/>
      <c r="AA30" s="7"/>
      <c r="AB30" s="13"/>
      <c r="AC30" s="13"/>
      <c r="AD30" s="13"/>
    </row>
    <row r="31" ht="14.25">
      <c r="A31" s="344"/>
      <c r="B31" s="53">
        <v>46181</v>
      </c>
      <c r="C31" s="53"/>
      <c r="D31" s="53">
        <v>46182</v>
      </c>
      <c r="E31" s="53"/>
      <c r="F31" s="53">
        <v>46183</v>
      </c>
      <c r="G31" s="53"/>
      <c r="H31" s="53">
        <v>46184</v>
      </c>
      <c r="I31" s="53"/>
      <c r="J31" s="144">
        <v>46185</v>
      </c>
      <c r="K31" s="144"/>
      <c r="L31" s="53">
        <v>46186</v>
      </c>
      <c r="M31" s="53"/>
      <c r="N31" s="53">
        <v>46187</v>
      </c>
      <c r="O31" s="53"/>
      <c r="P31" s="346" t="s">
        <v>25</v>
      </c>
      <c r="Q31" s="347" t="s">
        <v>26</v>
      </c>
      <c r="R31" s="348"/>
      <c r="S31" s="239"/>
      <c r="T31" s="239"/>
      <c r="U31" s="172" t="s">
        <v>27</v>
      </c>
      <c r="V31" s="106" t="s">
        <v>28</v>
      </c>
      <c r="W31" s="100" t="s">
        <v>29</v>
      </c>
      <c r="X31" s="242" t="s">
        <v>30</v>
      </c>
      <c r="Y31" s="7"/>
      <c r="Z31" s="7"/>
      <c r="AA31" s="7"/>
      <c r="AB31" s="13"/>
      <c r="AC31" s="13"/>
      <c r="AD31" s="13"/>
    </row>
    <row r="32" ht="14.25">
      <c r="A32" s="217" t="s">
        <v>35</v>
      </c>
      <c r="B32" s="319"/>
      <c r="C32" s="319" t="s">
        <v>33</v>
      </c>
      <c r="D32" s="319"/>
      <c r="E32" s="319" t="s">
        <v>33</v>
      </c>
      <c r="F32" s="319"/>
      <c r="G32" s="319" t="s">
        <v>33</v>
      </c>
      <c r="H32" s="319"/>
      <c r="I32" s="319" t="s">
        <v>33</v>
      </c>
      <c r="J32" s="67"/>
      <c r="K32" s="67"/>
      <c r="L32" s="328"/>
      <c r="M32" s="328"/>
      <c r="N32" s="328"/>
      <c r="O32" s="328"/>
      <c r="P32" s="218">
        <f t="shared" si="82"/>
        <v>32</v>
      </c>
      <c r="Q32" s="62">
        <f t="shared" ref="Q32:Q95" si="86">Q12-P32</f>
        <v>95</v>
      </c>
      <c r="R32" s="219" t="str">
        <f t="shared" si="83"/>
        <v>Рычков</v>
      </c>
      <c r="S32" s="76" t="s">
        <v>10</v>
      </c>
      <c r="T32" s="77" t="s">
        <v>9</v>
      </c>
      <c r="U32" s="73">
        <f t="shared" si="84"/>
        <v>0</v>
      </c>
      <c r="V32" s="62">
        <f t="shared" si="85"/>
        <v>0</v>
      </c>
      <c r="W32" s="62"/>
      <c r="X32" s="242" t="s">
        <v>34</v>
      </c>
      <c r="Y32" s="7"/>
      <c r="Z32" s="7"/>
      <c r="AA32" s="7"/>
      <c r="AB32" s="13"/>
      <c r="AC32" s="13"/>
      <c r="AD32" s="13"/>
    </row>
    <row r="33" ht="14.25">
      <c r="A33" s="203" t="s">
        <v>66</v>
      </c>
      <c r="B33" s="319"/>
      <c r="C33" s="319" t="s">
        <v>33</v>
      </c>
      <c r="D33" s="319"/>
      <c r="E33" s="319" t="s">
        <v>33</v>
      </c>
      <c r="F33" s="319"/>
      <c r="G33" s="319" t="s">
        <v>33</v>
      </c>
      <c r="H33" s="319"/>
      <c r="I33" s="319" t="s">
        <v>33</v>
      </c>
      <c r="J33" s="67"/>
      <c r="K33" s="67"/>
      <c r="L33" s="328"/>
      <c r="M33" s="328"/>
      <c r="N33" s="328"/>
      <c r="O33" s="328"/>
      <c r="P33" s="218">
        <f t="shared" si="82"/>
        <v>32</v>
      </c>
      <c r="Q33" s="62">
        <f t="shared" si="86"/>
        <v>95</v>
      </c>
      <c r="R33" s="322" t="str">
        <f t="shared" si="83"/>
        <v>Карузина</v>
      </c>
      <c r="S33" s="173" t="s">
        <v>10</v>
      </c>
      <c r="T33" s="300" t="s">
        <v>9</v>
      </c>
      <c r="U33" s="227">
        <f t="shared" si="84"/>
        <v>0</v>
      </c>
      <c r="V33" s="62">
        <f t="shared" si="85"/>
        <v>0</v>
      </c>
      <c r="W33" s="62"/>
      <c r="X33" s="241" t="s">
        <v>34</v>
      </c>
      <c r="Y33" s="7"/>
      <c r="Z33" s="7"/>
      <c r="AA33" s="7"/>
      <c r="AB33" s="13"/>
      <c r="AC33" s="13"/>
      <c r="AD33" s="13"/>
    </row>
    <row r="34" ht="14.25">
      <c r="A34" s="203" t="s">
        <v>39</v>
      </c>
      <c r="B34" s="319"/>
      <c r="C34" s="319" t="s">
        <v>33</v>
      </c>
      <c r="D34" s="319"/>
      <c r="E34" s="319" t="s">
        <v>33</v>
      </c>
      <c r="F34" s="319"/>
      <c r="G34" s="319" t="s">
        <v>33</v>
      </c>
      <c r="H34" s="319"/>
      <c r="I34" s="319" t="s">
        <v>33</v>
      </c>
      <c r="J34" s="67"/>
      <c r="K34" s="67"/>
      <c r="L34" s="328"/>
      <c r="M34" s="328"/>
      <c r="N34" s="328"/>
      <c r="O34" s="328"/>
      <c r="P34" s="218">
        <f t="shared" si="82"/>
        <v>32</v>
      </c>
      <c r="Q34" s="62">
        <f t="shared" si="86"/>
        <v>95</v>
      </c>
      <c r="R34" s="288" t="str">
        <f t="shared" si="83"/>
        <v>Игумнов</v>
      </c>
      <c r="S34" s="76" t="s">
        <v>10</v>
      </c>
      <c r="T34" s="77" t="s">
        <v>9</v>
      </c>
      <c r="U34" s="73">
        <f t="shared" si="84"/>
        <v>0</v>
      </c>
      <c r="V34" s="62">
        <f t="shared" si="85"/>
        <v>0</v>
      </c>
      <c r="W34" s="62"/>
      <c r="X34" s="242" t="s">
        <v>38</v>
      </c>
      <c r="Y34" s="7"/>
      <c r="Z34" s="7"/>
      <c r="AA34" s="7"/>
      <c r="AB34" s="13"/>
      <c r="AC34" s="13"/>
      <c r="AD34" s="13"/>
    </row>
    <row r="35" ht="14.25">
      <c r="A35" s="203" t="s">
        <v>40</v>
      </c>
      <c r="B35" s="319"/>
      <c r="C35" s="319" t="s">
        <v>33</v>
      </c>
      <c r="D35" s="319"/>
      <c r="E35" s="319" t="s">
        <v>33</v>
      </c>
      <c r="F35" s="319"/>
      <c r="G35" s="319" t="s">
        <v>33</v>
      </c>
      <c r="H35" s="319"/>
      <c r="I35" s="319" t="s">
        <v>33</v>
      </c>
      <c r="J35" s="67"/>
      <c r="K35" s="67"/>
      <c r="L35" s="328"/>
      <c r="M35" s="328"/>
      <c r="N35" s="328"/>
      <c r="O35" s="328"/>
      <c r="P35" s="218">
        <f t="shared" si="82"/>
        <v>32</v>
      </c>
      <c r="Q35" s="62">
        <f t="shared" si="86"/>
        <v>95</v>
      </c>
      <c r="R35" s="288" t="str">
        <f t="shared" si="83"/>
        <v>Душин</v>
      </c>
      <c r="S35" s="76" t="s">
        <v>58</v>
      </c>
      <c r="T35" s="77" t="s">
        <v>59</v>
      </c>
      <c r="U35" s="73">
        <f t="shared" si="84"/>
        <v>0</v>
      </c>
      <c r="V35" s="62">
        <f t="shared" si="85"/>
        <v>0</v>
      </c>
      <c r="W35" s="229"/>
      <c r="X35" s="74" t="s">
        <v>34</v>
      </c>
      <c r="Y35" s="7"/>
      <c r="Z35" s="7"/>
      <c r="AA35" s="7"/>
      <c r="AB35" s="13"/>
      <c r="AC35" s="13"/>
      <c r="AD35" s="13"/>
    </row>
    <row r="36" ht="14.25">
      <c r="A36" s="203" t="s">
        <v>31</v>
      </c>
      <c r="B36" s="319"/>
      <c r="C36" s="319" t="s">
        <v>33</v>
      </c>
      <c r="D36" s="319"/>
      <c r="E36" s="319" t="s">
        <v>33</v>
      </c>
      <c r="F36" s="319"/>
      <c r="G36" s="319" t="s">
        <v>56</v>
      </c>
      <c r="H36" s="319"/>
      <c r="I36" s="319" t="s">
        <v>33</v>
      </c>
      <c r="J36" s="67"/>
      <c r="K36" s="67"/>
      <c r="L36" s="328"/>
      <c r="M36" s="328"/>
      <c r="N36" s="328"/>
      <c r="O36" s="328"/>
      <c r="P36" s="218">
        <f t="shared" si="82"/>
        <v>31</v>
      </c>
      <c r="Q36" s="62">
        <f t="shared" si="86"/>
        <v>96</v>
      </c>
      <c r="R36" s="288" t="str">
        <f t="shared" si="83"/>
        <v>Нетронин</v>
      </c>
      <c r="S36" s="76" t="s">
        <v>58</v>
      </c>
      <c r="T36" s="77" t="s">
        <v>59</v>
      </c>
      <c r="U36" s="73">
        <f t="shared" si="84"/>
        <v>0</v>
      </c>
      <c r="V36" s="62">
        <f t="shared" si="85"/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ht="14.25">
      <c r="A37" s="203" t="s">
        <v>61</v>
      </c>
      <c r="B37" s="319"/>
      <c r="C37" s="319" t="s">
        <v>33</v>
      </c>
      <c r="D37" s="319"/>
      <c r="E37" s="319" t="s">
        <v>33</v>
      </c>
      <c r="F37" s="319"/>
      <c r="G37" s="319" t="s">
        <v>33</v>
      </c>
      <c r="H37" s="319"/>
      <c r="I37" s="319" t="s">
        <v>33</v>
      </c>
      <c r="J37" s="67"/>
      <c r="K37" s="67"/>
      <c r="L37" s="328"/>
      <c r="M37" s="328"/>
      <c r="N37" s="328"/>
      <c r="O37" s="328"/>
      <c r="P37" s="218">
        <f t="shared" si="82"/>
        <v>32</v>
      </c>
      <c r="Q37" s="62">
        <f t="shared" si="86"/>
        <v>95</v>
      </c>
      <c r="R37" s="288" t="str">
        <f t="shared" si="83"/>
        <v>Раимова</v>
      </c>
      <c r="S37" s="76" t="s">
        <v>10</v>
      </c>
      <c r="T37" s="77" t="s">
        <v>9</v>
      </c>
      <c r="U37" s="73">
        <f t="shared" si="84"/>
        <v>0</v>
      </c>
      <c r="V37" s="62">
        <f t="shared" si="85"/>
        <v>0</v>
      </c>
      <c r="W37" s="62"/>
      <c r="X37" s="74" t="s">
        <v>38</v>
      </c>
      <c r="Y37" s="7"/>
      <c r="Z37" s="7"/>
      <c r="AA37" s="7"/>
      <c r="AB37" s="13"/>
      <c r="AC37" s="13"/>
      <c r="AD37" s="13"/>
    </row>
    <row r="38" ht="14.25">
      <c r="A38" s="203" t="s">
        <v>62</v>
      </c>
      <c r="B38" s="319"/>
      <c r="C38" s="319" t="s">
        <v>33</v>
      </c>
      <c r="D38" s="319"/>
      <c r="E38" s="319" t="s">
        <v>33</v>
      </c>
      <c r="F38" s="319"/>
      <c r="G38" s="319" t="s">
        <v>33</v>
      </c>
      <c r="H38" s="319"/>
      <c r="I38" s="319" t="s">
        <v>56</v>
      </c>
      <c r="J38" s="67"/>
      <c r="K38" s="67"/>
      <c r="L38" s="328"/>
      <c r="M38" s="328"/>
      <c r="N38" s="328"/>
      <c r="O38" s="328"/>
      <c r="P38" s="218">
        <f t="shared" si="82"/>
        <v>31</v>
      </c>
      <c r="Q38" s="62">
        <f t="shared" si="86"/>
        <v>96</v>
      </c>
      <c r="R38" s="288" t="str">
        <f t="shared" si="83"/>
        <v>Войтехович</v>
      </c>
      <c r="S38" s="76" t="s">
        <v>10</v>
      </c>
      <c r="T38" s="77" t="s">
        <v>9</v>
      </c>
      <c r="U38" s="73">
        <f t="shared" si="84"/>
        <v>0</v>
      </c>
      <c r="V38" s="62">
        <f t="shared" si="85"/>
        <v>0</v>
      </c>
      <c r="W38" s="62"/>
      <c r="X38" s="74" t="s">
        <v>38</v>
      </c>
      <c r="Y38" s="7"/>
      <c r="Z38" s="7"/>
      <c r="AA38" s="7"/>
      <c r="AB38" s="13"/>
      <c r="AC38" s="13"/>
      <c r="AD38" s="13"/>
    </row>
    <row r="39" ht="14.25">
      <c r="A39" s="203" t="s">
        <v>63</v>
      </c>
      <c r="B39" s="319"/>
      <c r="C39" s="319" t="s">
        <v>33</v>
      </c>
      <c r="D39" s="319"/>
      <c r="E39" s="319" t="s">
        <v>33</v>
      </c>
      <c r="F39" s="319"/>
      <c r="G39" s="319" t="s">
        <v>33</v>
      </c>
      <c r="H39" s="319"/>
      <c r="I39" s="319" t="s">
        <v>33</v>
      </c>
      <c r="J39" s="67"/>
      <c r="K39" s="67"/>
      <c r="L39" s="420"/>
      <c r="M39" s="328"/>
      <c r="N39" s="328"/>
      <c r="O39" s="421"/>
      <c r="P39" s="218">
        <f t="shared" si="82"/>
        <v>32</v>
      </c>
      <c r="Q39" s="62">
        <f t="shared" si="86"/>
        <v>95</v>
      </c>
      <c r="R39" s="288" t="str">
        <f t="shared" si="83"/>
        <v>Васильев</v>
      </c>
      <c r="S39" s="71" t="s">
        <v>12</v>
      </c>
      <c r="T39" s="72" t="s">
        <v>11</v>
      </c>
      <c r="U39" s="73">
        <f t="shared" si="84"/>
        <v>0</v>
      </c>
      <c r="V39" s="62">
        <f t="shared" si="85"/>
        <v>0</v>
      </c>
      <c r="W39" s="62"/>
      <c r="X39" s="356" t="s">
        <v>44</v>
      </c>
      <c r="Y39" s="7"/>
      <c r="Z39" s="7"/>
      <c r="AA39" s="7"/>
      <c r="AB39" s="13"/>
      <c r="AC39" s="13"/>
      <c r="AD39" s="13"/>
    </row>
    <row r="40" ht="14.25">
      <c r="A40" s="205" t="s">
        <v>43</v>
      </c>
      <c r="B40" s="76"/>
      <c r="C40" s="324">
        <v>11</v>
      </c>
      <c r="D40" s="76"/>
      <c r="E40" s="324">
        <v>11</v>
      </c>
      <c r="F40" s="323"/>
      <c r="G40" s="323"/>
      <c r="H40" s="76"/>
      <c r="I40" s="324">
        <v>11</v>
      </c>
      <c r="J40" s="325"/>
      <c r="K40" s="325"/>
      <c r="L40" s="325"/>
      <c r="M40" s="325"/>
      <c r="N40" s="325"/>
      <c r="O40" s="325"/>
      <c r="P40" s="218">
        <f t="shared" si="82"/>
        <v>33</v>
      </c>
      <c r="Q40" s="62">
        <f t="shared" si="86"/>
        <v>101</v>
      </c>
      <c r="R40" s="219" t="str">
        <f t="shared" si="83"/>
        <v>Дащенко</v>
      </c>
      <c r="S40" s="76" t="s">
        <v>10</v>
      </c>
      <c r="T40" s="77" t="s">
        <v>9</v>
      </c>
      <c r="U40" s="90">
        <f t="shared" si="84"/>
        <v>0</v>
      </c>
      <c r="V40" s="62">
        <v>3</v>
      </c>
      <c r="W40" s="62"/>
      <c r="X40" s="74" t="s">
        <v>34</v>
      </c>
      <c r="Y40" s="7"/>
      <c r="Z40" s="7"/>
      <c r="AA40" s="7"/>
      <c r="AB40" s="13"/>
      <c r="AC40" s="13"/>
      <c r="AD40" s="13"/>
    </row>
    <row r="41" ht="14.25">
      <c r="A41" s="205" t="s">
        <v>45</v>
      </c>
      <c r="B41" s="77"/>
      <c r="C41" s="329">
        <v>11</v>
      </c>
      <c r="D41" s="323"/>
      <c r="E41" s="323"/>
      <c r="F41" s="323"/>
      <c r="G41" s="323"/>
      <c r="H41" s="67"/>
      <c r="I41" s="330"/>
      <c r="J41" s="76"/>
      <c r="K41" s="324">
        <v>11</v>
      </c>
      <c r="L41" s="76"/>
      <c r="M41" s="324">
        <v>11</v>
      </c>
      <c r="N41" s="323"/>
      <c r="O41" s="323"/>
      <c r="P41" s="218">
        <f t="shared" si="82"/>
        <v>33</v>
      </c>
      <c r="Q41" s="62">
        <f t="shared" si="86"/>
        <v>101</v>
      </c>
      <c r="R41" s="219" t="str">
        <f t="shared" si="83"/>
        <v>Пузырь</v>
      </c>
      <c r="S41" s="76" t="s">
        <v>10</v>
      </c>
      <c r="T41" s="77" t="s">
        <v>9</v>
      </c>
      <c r="U41" s="73">
        <v>1</v>
      </c>
      <c r="V41" s="62">
        <v>2</v>
      </c>
      <c r="W41" s="62"/>
      <c r="X41" s="74" t="s">
        <v>34</v>
      </c>
      <c r="Y41" s="7"/>
      <c r="Z41" s="7"/>
      <c r="AA41" s="7"/>
      <c r="AB41" s="13"/>
      <c r="AC41" s="13"/>
      <c r="AD41" s="13"/>
    </row>
    <row r="42" ht="14.25">
      <c r="A42" s="205" t="s">
        <v>64</v>
      </c>
      <c r="B42" s="323"/>
      <c r="C42" s="323"/>
      <c r="D42" s="323"/>
      <c r="E42" s="323"/>
      <c r="F42" s="77"/>
      <c r="G42" s="329">
        <v>11</v>
      </c>
      <c r="H42" s="77"/>
      <c r="I42" s="329">
        <v>11</v>
      </c>
      <c r="J42" s="323"/>
      <c r="K42" s="323"/>
      <c r="L42" s="323"/>
      <c r="M42" s="323"/>
      <c r="N42" s="76"/>
      <c r="O42" s="324">
        <v>11</v>
      </c>
      <c r="P42" s="218">
        <f t="shared" si="82"/>
        <v>33</v>
      </c>
      <c r="Q42" s="62">
        <f t="shared" si="86"/>
        <v>90</v>
      </c>
      <c r="R42" s="219" t="str">
        <f t="shared" si="83"/>
        <v>Рожнева</v>
      </c>
      <c r="S42" s="76" t="s">
        <v>10</v>
      </c>
      <c r="T42" s="77" t="s">
        <v>9</v>
      </c>
      <c r="U42" s="90">
        <v>2</v>
      </c>
      <c r="V42" s="62">
        <v>1</v>
      </c>
      <c r="W42" s="62"/>
      <c r="X42" s="74" t="s">
        <v>34</v>
      </c>
      <c r="Y42" s="7"/>
      <c r="Z42" s="7"/>
      <c r="AA42" s="7"/>
      <c r="AB42" s="13"/>
      <c r="AC42" s="13"/>
      <c r="AD42" s="13"/>
    </row>
    <row r="43" ht="14.25">
      <c r="A43" s="205" t="s">
        <v>47</v>
      </c>
      <c r="B43" s="76"/>
      <c r="C43" s="324">
        <v>11</v>
      </c>
      <c r="D43" s="325"/>
      <c r="E43" s="325"/>
      <c r="F43" s="323"/>
      <c r="G43" s="323"/>
      <c r="H43" s="67"/>
      <c r="I43" s="330"/>
      <c r="J43" s="77"/>
      <c r="K43" s="329">
        <v>11</v>
      </c>
      <c r="L43" s="77"/>
      <c r="M43" s="329">
        <v>11</v>
      </c>
      <c r="N43" s="323"/>
      <c r="O43" s="323"/>
      <c r="P43" s="218">
        <f t="shared" si="82"/>
        <v>33</v>
      </c>
      <c r="Q43" s="62">
        <f t="shared" si="86"/>
        <v>101</v>
      </c>
      <c r="R43" s="219" t="str">
        <f t="shared" si="83"/>
        <v>Торубара</v>
      </c>
      <c r="S43" s="76" t="s">
        <v>10</v>
      </c>
      <c r="T43" s="77" t="s">
        <v>9</v>
      </c>
      <c r="U43" s="90">
        <v>2</v>
      </c>
      <c r="V43" s="62">
        <v>1</v>
      </c>
      <c r="W43" s="62"/>
      <c r="X43" s="74" t="s">
        <v>34</v>
      </c>
      <c r="Y43" s="7"/>
      <c r="Z43" s="7"/>
      <c r="AA43" s="7"/>
      <c r="AB43" s="13"/>
      <c r="AC43" s="13"/>
      <c r="AD43" s="13"/>
    </row>
    <row r="44" ht="14.25">
      <c r="A44" s="205" t="s">
        <v>48</v>
      </c>
      <c r="B44" s="422"/>
      <c r="C44" s="423"/>
      <c r="D44" s="77"/>
      <c r="E44" s="329">
        <v>11</v>
      </c>
      <c r="F44" s="77"/>
      <c r="G44" s="329">
        <v>11</v>
      </c>
      <c r="H44" s="424"/>
      <c r="I44" s="422"/>
      <c r="J44" s="422"/>
      <c r="K44" s="423"/>
      <c r="L44" s="76"/>
      <c r="M44" s="324">
        <v>11</v>
      </c>
      <c r="N44" s="76"/>
      <c r="O44" s="324">
        <v>11</v>
      </c>
      <c r="P44" s="218">
        <f t="shared" si="82"/>
        <v>44</v>
      </c>
      <c r="Q44" s="62">
        <f t="shared" si="86"/>
        <v>79</v>
      </c>
      <c r="R44" s="288" t="str">
        <f t="shared" si="83"/>
        <v>Стрыгин</v>
      </c>
      <c r="S44" s="71" t="s">
        <v>8</v>
      </c>
      <c r="T44" s="72" t="s">
        <v>7</v>
      </c>
      <c r="U44" s="73">
        <v>2</v>
      </c>
      <c r="V44" s="62">
        <v>2</v>
      </c>
      <c r="W44" s="62"/>
      <c r="X44" s="74" t="s">
        <v>49</v>
      </c>
      <c r="Y44" s="7"/>
      <c r="Z44" s="7"/>
      <c r="AA44" s="7"/>
      <c r="AB44" s="13"/>
      <c r="AC44" s="13"/>
      <c r="AD44" s="13"/>
    </row>
    <row r="45" ht="14.25">
      <c r="A45" s="361" t="s">
        <v>50</v>
      </c>
      <c r="B45" s="2" t="s">
        <v>1</v>
      </c>
      <c r="C45" s="3">
        <v>8</v>
      </c>
      <c r="D45" s="425" t="s">
        <v>1</v>
      </c>
      <c r="E45" s="426">
        <v>8</v>
      </c>
      <c r="F45" s="427" t="s">
        <v>1</v>
      </c>
      <c r="G45" s="428">
        <v>8</v>
      </c>
      <c r="H45" s="429" t="s">
        <v>1</v>
      </c>
      <c r="I45" s="430">
        <v>8</v>
      </c>
      <c r="J45" s="2" t="s">
        <v>1</v>
      </c>
      <c r="K45" s="3"/>
      <c r="L45" s="425" t="s">
        <v>1</v>
      </c>
      <c r="M45" s="426"/>
      <c r="N45" s="427"/>
      <c r="O45" s="428"/>
      <c r="P45" s="253">
        <f t="shared" si="82"/>
        <v>32</v>
      </c>
      <c r="Q45" s="62">
        <f t="shared" si="86"/>
        <v>102</v>
      </c>
      <c r="R45" s="288" t="str">
        <f t="shared" si="83"/>
        <v>Фрик</v>
      </c>
      <c r="S45" s="71" t="s">
        <v>12</v>
      </c>
      <c r="T45" s="72" t="s">
        <v>11</v>
      </c>
      <c r="U45" s="73">
        <f t="shared" si="84"/>
        <v>0</v>
      </c>
      <c r="V45" s="62">
        <f t="shared" si="85"/>
        <v>0</v>
      </c>
      <c r="W45" s="62"/>
      <c r="X45" s="242" t="s">
        <v>44</v>
      </c>
      <c r="Y45" s="7"/>
      <c r="Z45" s="7"/>
      <c r="AA45" s="7"/>
      <c r="AB45" s="13"/>
      <c r="AC45" s="13"/>
      <c r="AD45" s="13"/>
    </row>
    <row r="46" ht="14.25">
      <c r="A46" s="206" t="s">
        <v>51</v>
      </c>
      <c r="B46" s="328"/>
      <c r="C46" s="328"/>
      <c r="D46" s="431"/>
      <c r="E46" s="432"/>
      <c r="F46" s="76"/>
      <c r="G46" s="324">
        <v>11</v>
      </c>
      <c r="H46" s="76"/>
      <c r="I46" s="324">
        <v>11</v>
      </c>
      <c r="J46" s="328"/>
      <c r="K46" s="328"/>
      <c r="L46" s="431"/>
      <c r="M46" s="432"/>
      <c r="N46" s="77"/>
      <c r="O46" s="329">
        <v>11</v>
      </c>
      <c r="P46" s="218">
        <f t="shared" si="82"/>
        <v>33</v>
      </c>
      <c r="Q46" s="62">
        <f t="shared" si="86"/>
        <v>90</v>
      </c>
      <c r="R46" s="288" t="str">
        <f t="shared" si="83"/>
        <v>Истрашкин</v>
      </c>
      <c r="S46" s="71" t="s">
        <v>10</v>
      </c>
      <c r="T46" s="72" t="s">
        <v>9</v>
      </c>
      <c r="U46" s="73">
        <v>1</v>
      </c>
      <c r="V46" s="62">
        <v>2</v>
      </c>
      <c r="W46" s="62"/>
      <c r="X46" s="242" t="s">
        <v>34</v>
      </c>
      <c r="Y46" s="7"/>
      <c r="Z46" s="7"/>
      <c r="AA46" s="7"/>
      <c r="AB46" s="13"/>
      <c r="AC46" s="13"/>
      <c r="AD46" s="13"/>
    </row>
    <row r="47" ht="14.25">
      <c r="A47" s="369" t="s">
        <v>65</v>
      </c>
      <c r="B47" s="418"/>
      <c r="C47" s="419"/>
      <c r="D47" s="76"/>
      <c r="E47" s="324">
        <v>11</v>
      </c>
      <c r="F47" s="76"/>
      <c r="G47" s="324">
        <v>11</v>
      </c>
      <c r="H47" s="433"/>
      <c r="I47" s="434"/>
      <c r="J47" s="418"/>
      <c r="K47" s="419"/>
      <c r="L47" s="77"/>
      <c r="M47" s="329">
        <v>11</v>
      </c>
      <c r="N47" s="77"/>
      <c r="O47" s="329">
        <v>11</v>
      </c>
      <c r="P47" s="218">
        <f t="shared" si="82"/>
        <v>44</v>
      </c>
      <c r="Q47" s="62">
        <f t="shared" si="86"/>
        <v>79</v>
      </c>
      <c r="R47" s="288" t="str">
        <f t="shared" si="83"/>
        <v>Качаев</v>
      </c>
      <c r="S47" s="71" t="s">
        <v>10</v>
      </c>
      <c r="T47" s="72" t="s">
        <v>9</v>
      </c>
      <c r="U47" s="73">
        <v>2</v>
      </c>
      <c r="V47" s="62">
        <v>2</v>
      </c>
      <c r="W47" s="62"/>
      <c r="X47" s="242" t="s">
        <v>34</v>
      </c>
      <c r="Y47" s="7"/>
      <c r="Z47" s="7"/>
      <c r="AA47" s="7"/>
      <c r="AB47" s="13"/>
      <c r="AC47" s="13"/>
      <c r="AD47" s="13"/>
    </row>
    <row r="48" ht="14.25">
      <c r="A48" s="97"/>
      <c r="B48" s="53">
        <v>46181</v>
      </c>
      <c r="C48" s="53"/>
      <c r="D48" s="53">
        <v>46182</v>
      </c>
      <c r="E48" s="53"/>
      <c r="F48" s="53">
        <v>46183</v>
      </c>
      <c r="G48" s="53"/>
      <c r="H48" s="53">
        <v>46184</v>
      </c>
      <c r="I48" s="53"/>
      <c r="J48" s="144">
        <v>46185</v>
      </c>
      <c r="K48" s="144"/>
      <c r="L48" s="53">
        <v>46186</v>
      </c>
      <c r="M48" s="53"/>
      <c r="N48" s="53">
        <v>46187</v>
      </c>
      <c r="O48" s="53"/>
      <c r="P48" s="435"/>
      <c r="Q48" s="436"/>
      <c r="R48" s="372"/>
      <c r="S48" s="178"/>
      <c r="T48" s="178"/>
      <c r="U48" s="340"/>
      <c r="V48" s="100"/>
      <c r="W48" s="100"/>
      <c r="X48" s="373"/>
      <c r="Y48" s="7"/>
      <c r="Z48" s="7"/>
      <c r="AA48" s="7"/>
      <c r="AB48" s="13"/>
      <c r="AC48" s="13"/>
      <c r="AD48" s="13"/>
    </row>
    <row r="49" ht="14.25">
      <c r="A49" s="336"/>
      <c r="B49" s="337"/>
      <c r="C49" s="337"/>
      <c r="D49" s="337"/>
      <c r="E49" s="337"/>
      <c r="F49" s="337"/>
      <c r="G49" s="337"/>
      <c r="H49" s="337"/>
      <c r="I49" s="337"/>
      <c r="J49" s="337"/>
      <c r="K49" s="337"/>
      <c r="L49" s="337"/>
      <c r="M49" s="337"/>
      <c r="N49" s="337"/>
      <c r="O49" s="337"/>
      <c r="P49" s="337"/>
      <c r="Q49" s="338"/>
      <c r="R49" s="339"/>
      <c r="S49" s="165"/>
      <c r="T49" s="165"/>
      <c r="U49" s="12"/>
      <c r="V49" s="100"/>
      <c r="W49" s="100"/>
      <c r="X49" s="242"/>
      <c r="Y49" s="7"/>
      <c r="Z49" s="7"/>
      <c r="AA49" s="7"/>
      <c r="AB49" s="13"/>
      <c r="AC49" s="13"/>
      <c r="AD49" s="13"/>
    </row>
    <row r="50" ht="14.25">
      <c r="A50" s="52"/>
      <c r="B50" s="56" t="s">
        <v>17</v>
      </c>
      <c r="C50" s="116"/>
      <c r="D50" s="56" t="s">
        <v>18</v>
      </c>
      <c r="E50" s="116"/>
      <c r="F50" s="56" t="s">
        <v>19</v>
      </c>
      <c r="G50" s="56"/>
      <c r="H50" s="56" t="s">
        <v>20</v>
      </c>
      <c r="I50" s="116"/>
      <c r="J50" s="56" t="s">
        <v>21</v>
      </c>
      <c r="K50" s="56"/>
      <c r="L50" s="56" t="s">
        <v>22</v>
      </c>
      <c r="M50" s="56"/>
      <c r="N50" s="56" t="s">
        <v>23</v>
      </c>
      <c r="O50" s="56"/>
      <c r="P50" s="374" t="s">
        <v>24</v>
      </c>
      <c r="Q50" s="375"/>
      <c r="R50" s="376"/>
      <c r="S50" s="143"/>
      <c r="T50" s="143"/>
      <c r="U50" s="90"/>
      <c r="V50" s="62"/>
      <c r="W50" s="62"/>
      <c r="X50" s="242"/>
      <c r="Y50" s="7"/>
      <c r="Z50" s="7"/>
      <c r="AA50" s="7"/>
      <c r="AB50" s="13"/>
      <c r="AC50" s="13"/>
      <c r="AD50" s="13"/>
    </row>
    <row r="51" ht="14.25">
      <c r="A51" s="377"/>
      <c r="B51" s="53">
        <v>46188</v>
      </c>
      <c r="C51" s="53"/>
      <c r="D51" s="53">
        <v>46189</v>
      </c>
      <c r="E51" s="53"/>
      <c r="F51" s="53">
        <v>46190</v>
      </c>
      <c r="G51" s="53"/>
      <c r="H51" s="53">
        <v>46191</v>
      </c>
      <c r="I51" s="53"/>
      <c r="J51" s="53">
        <v>46192</v>
      </c>
      <c r="K51" s="53"/>
      <c r="L51" s="53">
        <v>46193</v>
      </c>
      <c r="M51" s="53"/>
      <c r="N51" s="53">
        <v>46194</v>
      </c>
      <c r="O51" s="54"/>
      <c r="P51" s="379" t="s">
        <v>25</v>
      </c>
      <c r="Q51" s="380" t="s">
        <v>26</v>
      </c>
      <c r="R51" s="381"/>
      <c r="S51" s="147"/>
      <c r="T51" s="147"/>
      <c r="U51" s="194" t="s">
        <v>27</v>
      </c>
      <c r="V51" s="61" t="s">
        <v>28</v>
      </c>
      <c r="W51" s="229" t="s">
        <v>29</v>
      </c>
      <c r="X51" s="74" t="s">
        <v>30</v>
      </c>
      <c r="Y51" s="7"/>
      <c r="Z51" s="7"/>
      <c r="AA51" s="7"/>
      <c r="AB51" s="13"/>
      <c r="AC51" s="13"/>
      <c r="AD51" s="13"/>
    </row>
    <row r="52" ht="14.25">
      <c r="A52" s="217" t="s">
        <v>35</v>
      </c>
      <c r="B52" s="319"/>
      <c r="C52" s="319" t="s">
        <v>33</v>
      </c>
      <c r="D52" s="319"/>
      <c r="E52" s="319" t="s">
        <v>56</v>
      </c>
      <c r="F52" s="319"/>
      <c r="G52" s="319" t="s">
        <v>33</v>
      </c>
      <c r="H52" s="319"/>
      <c r="I52" s="319" t="s">
        <v>33</v>
      </c>
      <c r="J52" s="319"/>
      <c r="K52" s="319" t="s">
        <v>33</v>
      </c>
      <c r="L52" s="328"/>
      <c r="M52" s="328"/>
      <c r="N52" s="328"/>
      <c r="O52" s="328"/>
      <c r="P52" s="218">
        <f t="shared" si="82"/>
        <v>39</v>
      </c>
      <c r="Q52" s="62">
        <f t="shared" si="86"/>
        <v>56</v>
      </c>
      <c r="R52" s="288" t="str">
        <f t="shared" si="83"/>
        <v>Рычков</v>
      </c>
      <c r="S52" s="76" t="s">
        <v>10</v>
      </c>
      <c r="T52" s="77" t="s">
        <v>9</v>
      </c>
      <c r="U52" s="73">
        <f t="shared" si="84"/>
        <v>0</v>
      </c>
      <c r="V52" s="62">
        <f t="shared" si="85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25">
      <c r="A53" s="203" t="s">
        <v>66</v>
      </c>
      <c r="B53" s="319"/>
      <c r="C53" s="319" t="s">
        <v>33</v>
      </c>
      <c r="D53" s="319"/>
      <c r="E53" s="319" t="s">
        <v>33</v>
      </c>
      <c r="F53" s="319"/>
      <c r="G53" s="319" t="s">
        <v>56</v>
      </c>
      <c r="H53" s="319"/>
      <c r="I53" s="319" t="s">
        <v>33</v>
      </c>
      <c r="J53" s="319"/>
      <c r="K53" s="319" t="s">
        <v>33</v>
      </c>
      <c r="L53" s="328"/>
      <c r="M53" s="328"/>
      <c r="N53" s="328"/>
      <c r="O53" s="328"/>
      <c r="P53" s="218">
        <f t="shared" si="82"/>
        <v>39</v>
      </c>
      <c r="Q53" s="62">
        <f t="shared" si="86"/>
        <v>56</v>
      </c>
      <c r="R53" s="288" t="str">
        <f t="shared" si="83"/>
        <v>Карузина</v>
      </c>
      <c r="S53" s="76" t="s">
        <v>10</v>
      </c>
      <c r="T53" s="77" t="s">
        <v>9</v>
      </c>
      <c r="U53" s="73">
        <f t="shared" si="84"/>
        <v>0</v>
      </c>
      <c r="V53" s="62">
        <f t="shared" si="85"/>
        <v>0</v>
      </c>
      <c r="W53" s="62"/>
      <c r="X53" s="79" t="s">
        <v>34</v>
      </c>
      <c r="Y53" s="7"/>
      <c r="Z53" s="7"/>
      <c r="AA53" s="7"/>
      <c r="AB53" s="13"/>
      <c r="AC53" s="13"/>
      <c r="AD53" s="13"/>
    </row>
    <row r="54" ht="14.25">
      <c r="A54" s="203" t="s">
        <v>39</v>
      </c>
      <c r="B54" s="394"/>
      <c r="C54" s="394" t="s">
        <v>33</v>
      </c>
      <c r="D54" s="394"/>
      <c r="E54" s="394" t="s">
        <v>33</v>
      </c>
      <c r="F54" s="394"/>
      <c r="G54" s="394" t="s">
        <v>33</v>
      </c>
      <c r="H54" s="394"/>
      <c r="I54" s="394" t="s">
        <v>56</v>
      </c>
      <c r="J54" s="394"/>
      <c r="K54" s="394" t="s">
        <v>33</v>
      </c>
      <c r="L54" s="437"/>
      <c r="M54" s="438"/>
      <c r="N54" s="438"/>
      <c r="O54" s="439"/>
      <c r="P54" s="218">
        <f t="shared" si="82"/>
        <v>39</v>
      </c>
      <c r="Q54" s="62">
        <f t="shared" si="86"/>
        <v>56</v>
      </c>
      <c r="R54" s="288" t="str">
        <f t="shared" si="83"/>
        <v>Игумнов</v>
      </c>
      <c r="S54" s="76" t="s">
        <v>10</v>
      </c>
      <c r="T54" s="77" t="s">
        <v>9</v>
      </c>
      <c r="U54" s="73">
        <f t="shared" si="84"/>
        <v>0</v>
      </c>
      <c r="V54" s="62">
        <f t="shared" si="85"/>
        <v>0</v>
      </c>
      <c r="W54" s="62"/>
      <c r="X54" s="74" t="s">
        <v>38</v>
      </c>
      <c r="Y54" s="7"/>
      <c r="Z54" s="7"/>
      <c r="AA54" s="7"/>
      <c r="AB54" s="13"/>
      <c r="AC54" s="13"/>
      <c r="AD54" s="13"/>
    </row>
    <row r="55" ht="14.25">
      <c r="A55" s="440" t="s">
        <v>40</v>
      </c>
      <c r="B55" s="2" t="s">
        <v>1</v>
      </c>
      <c r="C55" s="3">
        <v>8</v>
      </c>
      <c r="D55" s="2" t="s">
        <v>1</v>
      </c>
      <c r="E55" s="3">
        <v>8</v>
      </c>
      <c r="F55" s="2" t="s">
        <v>1</v>
      </c>
      <c r="G55" s="3">
        <v>8</v>
      </c>
      <c r="H55" s="2" t="s">
        <v>1</v>
      </c>
      <c r="I55" s="3">
        <v>8</v>
      </c>
      <c r="J55" s="2" t="s">
        <v>1</v>
      </c>
      <c r="K55" s="3">
        <v>8</v>
      </c>
      <c r="L55" s="2" t="s">
        <v>1</v>
      </c>
      <c r="M55" s="3"/>
      <c r="N55" s="2"/>
      <c r="O55" s="3"/>
      <c r="P55" s="253">
        <f t="shared" si="82"/>
        <v>40</v>
      </c>
      <c r="Q55" s="62">
        <f t="shared" si="86"/>
        <v>55</v>
      </c>
      <c r="R55" s="288" t="str">
        <f t="shared" si="83"/>
        <v>Душин</v>
      </c>
      <c r="S55" s="76" t="s">
        <v>58</v>
      </c>
      <c r="T55" s="77" t="s">
        <v>59</v>
      </c>
      <c r="U55" s="73">
        <f t="shared" si="84"/>
        <v>0</v>
      </c>
      <c r="V55" s="62">
        <f t="shared" si="85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203" t="s">
        <v>31</v>
      </c>
      <c r="B56" s="398"/>
      <c r="C56" s="398" t="s">
        <v>55</v>
      </c>
      <c r="D56" s="398"/>
      <c r="E56" s="398" t="s">
        <v>33</v>
      </c>
      <c r="F56" s="398"/>
      <c r="G56" s="398" t="s">
        <v>33</v>
      </c>
      <c r="H56" s="398"/>
      <c r="I56" s="398" t="s">
        <v>33</v>
      </c>
      <c r="J56" s="398"/>
      <c r="K56" s="398" t="s">
        <v>33</v>
      </c>
      <c r="L56" s="441"/>
      <c r="M56" s="441"/>
      <c r="N56" s="441"/>
      <c r="O56" s="441"/>
      <c r="P56" s="218">
        <f t="shared" si="82"/>
        <v>41</v>
      </c>
      <c r="Q56" s="62">
        <f t="shared" si="86"/>
        <v>55</v>
      </c>
      <c r="R56" s="219" t="str">
        <f t="shared" si="83"/>
        <v>Нетронин</v>
      </c>
      <c r="S56" s="76" t="s">
        <v>58</v>
      </c>
      <c r="T56" s="77" t="s">
        <v>59</v>
      </c>
      <c r="U56" s="90">
        <f t="shared" si="84"/>
        <v>0</v>
      </c>
      <c r="V56" s="62">
        <f t="shared" si="85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25">
      <c r="A57" s="203" t="s">
        <v>61</v>
      </c>
      <c r="B57" s="319"/>
      <c r="C57" s="319" t="s">
        <v>33</v>
      </c>
      <c r="D57" s="319"/>
      <c r="E57" s="319" t="s">
        <v>33</v>
      </c>
      <c r="F57" s="319"/>
      <c r="G57" s="319" t="s">
        <v>33</v>
      </c>
      <c r="H57" s="319"/>
      <c r="I57" s="319" t="s">
        <v>33</v>
      </c>
      <c r="J57" s="319"/>
      <c r="K57" s="319" t="s">
        <v>56</v>
      </c>
      <c r="L57" s="323"/>
      <c r="M57" s="323"/>
      <c r="N57" s="323"/>
      <c r="O57" s="323"/>
      <c r="P57" s="218">
        <f t="shared" si="82"/>
        <v>39</v>
      </c>
      <c r="Q57" s="62">
        <f t="shared" si="86"/>
        <v>56</v>
      </c>
      <c r="R57" s="219" t="str">
        <f t="shared" si="83"/>
        <v>Раимова</v>
      </c>
      <c r="S57" s="76" t="s">
        <v>10</v>
      </c>
      <c r="T57" s="77" t="s">
        <v>9</v>
      </c>
      <c r="U57" s="73">
        <f t="shared" si="84"/>
        <v>0</v>
      </c>
      <c r="V57" s="62">
        <f t="shared" si="85"/>
        <v>0</v>
      </c>
      <c r="W57" s="62"/>
      <c r="X57" s="74" t="s">
        <v>38</v>
      </c>
      <c r="Y57" s="7"/>
      <c r="Z57" s="7"/>
      <c r="AA57" s="7"/>
      <c r="AB57" s="13"/>
      <c r="AC57" s="13"/>
      <c r="AD57" s="13"/>
    </row>
    <row r="58" ht="14.25">
      <c r="A58" s="203" t="s">
        <v>62</v>
      </c>
      <c r="B58" s="319"/>
      <c r="C58" s="319" t="s">
        <v>33</v>
      </c>
      <c r="D58" s="319"/>
      <c r="E58" s="319" t="s">
        <v>33</v>
      </c>
      <c r="F58" s="319"/>
      <c r="G58" s="319" t="s">
        <v>33</v>
      </c>
      <c r="H58" s="319"/>
      <c r="I58" s="319" t="s">
        <v>33</v>
      </c>
      <c r="J58" s="319"/>
      <c r="K58" s="319" t="s">
        <v>33</v>
      </c>
      <c r="L58" s="323"/>
      <c r="M58" s="323"/>
      <c r="N58" s="323"/>
      <c r="O58" s="323"/>
      <c r="P58" s="218">
        <f t="shared" si="82"/>
        <v>40</v>
      </c>
      <c r="Q58" s="62">
        <f t="shared" si="86"/>
        <v>56</v>
      </c>
      <c r="R58" s="219" t="str">
        <f t="shared" si="83"/>
        <v>Войтехович</v>
      </c>
      <c r="S58" s="76" t="s">
        <v>10</v>
      </c>
      <c r="T58" s="77" t="s">
        <v>9</v>
      </c>
      <c r="U58" s="90">
        <f t="shared" si="84"/>
        <v>0</v>
      </c>
      <c r="V58" s="62">
        <f t="shared" si="85"/>
        <v>0</v>
      </c>
      <c r="W58" s="62"/>
      <c r="X58" s="74" t="s">
        <v>38</v>
      </c>
      <c r="Y58" s="7"/>
      <c r="Z58" s="7"/>
      <c r="AA58" s="7"/>
      <c r="AB58" s="13"/>
      <c r="AC58" s="13"/>
      <c r="AD58" s="13"/>
    </row>
    <row r="59" ht="14.25">
      <c r="A59" s="203" t="s">
        <v>63</v>
      </c>
      <c r="B59" s="319"/>
      <c r="C59" s="319" t="s">
        <v>56</v>
      </c>
      <c r="D59" s="319"/>
      <c r="E59" s="319" t="s">
        <v>33</v>
      </c>
      <c r="F59" s="319"/>
      <c r="G59" s="319" t="s">
        <v>33</v>
      </c>
      <c r="H59" s="319"/>
      <c r="I59" s="319" t="s">
        <v>33</v>
      </c>
      <c r="J59" s="319"/>
      <c r="K59" s="319" t="s">
        <v>33</v>
      </c>
      <c r="L59" s="323"/>
      <c r="M59" s="323"/>
      <c r="N59" s="323"/>
      <c r="O59" s="323"/>
      <c r="P59" s="218">
        <f t="shared" si="82"/>
        <v>39</v>
      </c>
      <c r="Q59" s="62">
        <f t="shared" si="86"/>
        <v>56</v>
      </c>
      <c r="R59" s="219" t="str">
        <f t="shared" si="83"/>
        <v>Васильев</v>
      </c>
      <c r="S59" s="71" t="s">
        <v>12</v>
      </c>
      <c r="T59" s="72" t="s">
        <v>11</v>
      </c>
      <c r="U59" s="90">
        <f t="shared" si="84"/>
        <v>0</v>
      </c>
      <c r="V59" s="62">
        <f t="shared" si="85"/>
        <v>0</v>
      </c>
      <c r="W59" s="62"/>
      <c r="X59" s="356" t="s">
        <v>44</v>
      </c>
      <c r="Y59" s="7"/>
      <c r="Z59" s="7"/>
      <c r="AA59" s="7"/>
      <c r="AB59" s="13"/>
      <c r="AC59" s="13"/>
      <c r="AD59" s="13"/>
    </row>
    <row r="60" ht="14.25">
      <c r="A60" s="205" t="s">
        <v>43</v>
      </c>
      <c r="B60" s="76"/>
      <c r="C60" s="324">
        <v>11</v>
      </c>
      <c r="D60" s="76"/>
      <c r="E60" s="324">
        <v>11</v>
      </c>
      <c r="F60" s="323"/>
      <c r="G60" s="323"/>
      <c r="H60" s="323"/>
      <c r="I60" s="323"/>
      <c r="J60" s="77"/>
      <c r="K60" s="329">
        <v>11</v>
      </c>
      <c r="L60" s="77"/>
      <c r="M60" s="329">
        <v>11</v>
      </c>
      <c r="N60" s="323"/>
      <c r="O60" s="323"/>
      <c r="P60" s="218">
        <f t="shared" si="82"/>
        <v>44</v>
      </c>
      <c r="Q60" s="62">
        <f t="shared" si="86"/>
        <v>57</v>
      </c>
      <c r="R60" s="288" t="str">
        <f t="shared" si="83"/>
        <v>Дащенко</v>
      </c>
      <c r="S60" s="76" t="s">
        <v>10</v>
      </c>
      <c r="T60" s="77" t="s">
        <v>9</v>
      </c>
      <c r="U60" s="73">
        <v>2</v>
      </c>
      <c r="V60" s="62">
        <v>2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205" t="s">
        <v>45</v>
      </c>
      <c r="B61" s="323"/>
      <c r="C61" s="323"/>
      <c r="D61" s="77"/>
      <c r="E61" s="329">
        <v>11</v>
      </c>
      <c r="F61" s="77"/>
      <c r="G61" s="329">
        <v>11</v>
      </c>
      <c r="H61" s="323"/>
      <c r="I61" s="323"/>
      <c r="J61" s="323"/>
      <c r="K61" s="323"/>
      <c r="L61" s="77"/>
      <c r="M61" s="329">
        <v>11</v>
      </c>
      <c r="N61" s="77"/>
      <c r="O61" s="329">
        <v>11</v>
      </c>
      <c r="P61" s="218">
        <f t="shared" si="82"/>
        <v>44</v>
      </c>
      <c r="Q61" s="62">
        <f t="shared" si="86"/>
        <v>57</v>
      </c>
      <c r="R61" s="288" t="str">
        <f t="shared" si="83"/>
        <v>Пузырь</v>
      </c>
      <c r="S61" s="76" t="s">
        <v>10</v>
      </c>
      <c r="T61" s="77" t="s">
        <v>9</v>
      </c>
      <c r="U61" s="73">
        <v>4</v>
      </c>
      <c r="V61" s="62">
        <f>COUNTIF(S61,B61)+COUNTIF(S61,D61)+COUNTIF(S61,F61)+COUNTIF(S61,H61)+COUNTIF(S61,J61)+COUNTIF(S61,#REF!)+COUNTIF(S61,N61)</f>
        <v>0</v>
      </c>
      <c r="W61" s="62"/>
      <c r="X61" s="74" t="s">
        <v>34</v>
      </c>
      <c r="Y61" s="7"/>
      <c r="Z61" s="7"/>
      <c r="AA61" s="7"/>
      <c r="AB61" s="13"/>
      <c r="AC61" s="13"/>
      <c r="AD61" s="13"/>
    </row>
    <row r="62" ht="14.25">
      <c r="A62" s="205" t="s">
        <v>64</v>
      </c>
      <c r="B62" s="76"/>
      <c r="C62" s="324">
        <v>11</v>
      </c>
      <c r="D62" s="323"/>
      <c r="E62" s="323"/>
      <c r="F62" s="323"/>
      <c r="G62" s="323"/>
      <c r="H62" s="67"/>
      <c r="I62" s="330"/>
      <c r="J62" s="76"/>
      <c r="K62" s="324">
        <v>11</v>
      </c>
      <c r="L62" s="76"/>
      <c r="M62" s="324">
        <v>11</v>
      </c>
      <c r="N62" s="323"/>
      <c r="O62" s="323"/>
      <c r="P62" s="218">
        <f t="shared" si="82"/>
        <v>33</v>
      </c>
      <c r="Q62" s="62">
        <f t="shared" si="86"/>
        <v>57</v>
      </c>
      <c r="R62" s="288" t="str">
        <f t="shared" si="83"/>
        <v>Рожнева</v>
      </c>
      <c r="S62" s="76" t="s">
        <v>10</v>
      </c>
      <c r="T62" s="77" t="s">
        <v>9</v>
      </c>
      <c r="U62" s="73">
        <f>COUNTIF(T62,B62)+COUNTIF(T62,D62)+COUNTIF(T62,F62)+COUNTIF(T62,H62)+COUNTIF(T62,J62)+COUNTIF(T62,L61)+COUNTIF(T62,N62)</f>
        <v>0</v>
      </c>
      <c r="V62" s="62">
        <v>3</v>
      </c>
      <c r="W62" s="62"/>
      <c r="X62" s="242" t="s">
        <v>34</v>
      </c>
      <c r="Y62" s="7"/>
      <c r="Z62" s="7"/>
      <c r="AA62" s="7"/>
      <c r="AB62" s="13"/>
      <c r="AC62" s="13"/>
      <c r="AD62" s="13"/>
    </row>
    <row r="63" ht="14.25">
      <c r="A63" s="278" t="s">
        <v>47</v>
      </c>
      <c r="B63" s="442" t="s">
        <v>1</v>
      </c>
      <c r="C63" s="443">
        <v>8</v>
      </c>
      <c r="D63" s="442" t="s">
        <v>1</v>
      </c>
      <c r="E63" s="443">
        <v>8</v>
      </c>
      <c r="F63" s="442" t="s">
        <v>1</v>
      </c>
      <c r="G63" s="443">
        <v>8</v>
      </c>
      <c r="H63" s="442" t="s">
        <v>1</v>
      </c>
      <c r="I63" s="443">
        <v>8</v>
      </c>
      <c r="J63" s="442" t="s">
        <v>1</v>
      </c>
      <c r="K63" s="443">
        <v>8</v>
      </c>
      <c r="L63" s="442" t="s">
        <v>1</v>
      </c>
      <c r="M63" s="443"/>
      <c r="N63" s="442"/>
      <c r="O63" s="443"/>
      <c r="P63" s="285">
        <f t="shared" si="82"/>
        <v>40</v>
      </c>
      <c r="Q63" s="62">
        <f t="shared" si="86"/>
        <v>61</v>
      </c>
      <c r="R63" s="288" t="str">
        <f t="shared" si="83"/>
        <v>Торубара</v>
      </c>
      <c r="S63" s="76" t="s">
        <v>10</v>
      </c>
      <c r="T63" s="77" t="s">
        <v>9</v>
      </c>
      <c r="U63" s="73">
        <f>COUNTIF(T63,B63)+COUNTIF(T63,D63)+COUNTIF(T63,F63)+COUNTIF(T63,H63)+COUNTIF(T63,J63)+COUNTIF(T63,L63)+COUNTIF(T63,N63)</f>
        <v>0</v>
      </c>
      <c r="V63" s="62">
        <f t="shared" ref="V63:V99" si="87">COUNTIF(S63,B63)+COUNTIF(S63,D63)+COUNTIF(S63,F63)+COUNTIF(S63,H63)+COUNTIF(S63,J63)+COUNTIF(S63,L63)+COUNTIF(S63,N63)</f>
        <v>0</v>
      </c>
      <c r="W63" s="62"/>
      <c r="X63" s="242" t="s">
        <v>34</v>
      </c>
      <c r="Y63" s="7"/>
      <c r="Z63" s="7"/>
      <c r="AA63" s="7"/>
      <c r="AB63" s="13"/>
      <c r="AC63" s="13"/>
      <c r="AD63" s="13"/>
    </row>
    <row r="64" ht="14.25">
      <c r="A64" s="205" t="s">
        <v>48</v>
      </c>
      <c r="B64" s="323"/>
      <c r="C64" s="323"/>
      <c r="D64" s="323"/>
      <c r="E64" s="323"/>
      <c r="F64" s="77"/>
      <c r="G64" s="329">
        <v>11</v>
      </c>
      <c r="H64" s="77"/>
      <c r="I64" s="329">
        <v>11</v>
      </c>
      <c r="J64" s="323"/>
      <c r="K64" s="323"/>
      <c r="L64" s="323"/>
      <c r="M64" s="323"/>
      <c r="N64" s="67"/>
      <c r="O64" s="330"/>
      <c r="P64" s="218">
        <f t="shared" si="82"/>
        <v>22</v>
      </c>
      <c r="Q64" s="62">
        <f t="shared" si="86"/>
        <v>57</v>
      </c>
      <c r="R64" s="219" t="str">
        <f t="shared" si="83"/>
        <v>Стрыгин</v>
      </c>
      <c r="S64" s="71" t="s">
        <v>8</v>
      </c>
      <c r="T64" s="72" t="s">
        <v>7</v>
      </c>
      <c r="U64" s="73">
        <v>2</v>
      </c>
      <c r="V64" s="62">
        <f t="shared" si="87"/>
        <v>0</v>
      </c>
      <c r="W64" s="62"/>
      <c r="X64" s="242" t="s">
        <v>49</v>
      </c>
      <c r="Y64" s="7"/>
      <c r="Z64" s="7"/>
      <c r="AA64" s="7"/>
      <c r="AB64" s="13"/>
      <c r="AC64" s="13"/>
      <c r="AD64" s="13"/>
    </row>
    <row r="65" ht="14.4">
      <c r="A65" s="205" t="s">
        <v>50</v>
      </c>
      <c r="B65" s="444"/>
      <c r="C65" s="444"/>
      <c r="D65" s="76"/>
      <c r="E65" s="324">
        <v>11</v>
      </c>
      <c r="F65" s="76"/>
      <c r="G65" s="324">
        <v>11</v>
      </c>
      <c r="H65" s="323"/>
      <c r="I65" s="323"/>
      <c r="J65" s="77"/>
      <c r="K65" s="329">
        <v>11</v>
      </c>
      <c r="L65" s="325"/>
      <c r="M65" s="325"/>
      <c r="N65" s="76"/>
      <c r="O65" s="324">
        <v>11</v>
      </c>
      <c r="P65" s="218">
        <f t="shared" si="82"/>
        <v>44</v>
      </c>
      <c r="Q65" s="62">
        <f t="shared" si="86"/>
        <v>58</v>
      </c>
      <c r="R65" s="322" t="str">
        <f t="shared" si="83"/>
        <v>Фрик</v>
      </c>
      <c r="S65" s="268" t="s">
        <v>12</v>
      </c>
      <c r="T65" s="84" t="s">
        <v>11</v>
      </c>
      <c r="U65" s="227">
        <v>1</v>
      </c>
      <c r="V65" s="62">
        <v>3</v>
      </c>
      <c r="W65" s="62"/>
      <c r="X65" s="242" t="s">
        <v>44</v>
      </c>
      <c r="Y65" s="7"/>
      <c r="Z65" s="7"/>
      <c r="AA65" s="7"/>
      <c r="AB65" s="13"/>
      <c r="AC65" s="13"/>
      <c r="AD65" s="13"/>
    </row>
    <row r="66" ht="14.4">
      <c r="A66" s="206" t="s">
        <v>51</v>
      </c>
      <c r="B66" s="77"/>
      <c r="C66" s="329">
        <v>11</v>
      </c>
      <c r="D66" s="323"/>
      <c r="E66" s="323"/>
      <c r="F66" s="323"/>
      <c r="G66" s="323"/>
      <c r="H66" s="76"/>
      <c r="I66" s="324">
        <v>11</v>
      </c>
      <c r="J66" s="76"/>
      <c r="K66" s="324">
        <v>11</v>
      </c>
      <c r="L66" s="76"/>
      <c r="M66" s="324">
        <v>11</v>
      </c>
      <c r="N66" s="323"/>
      <c r="O66" s="323"/>
      <c r="P66" s="218">
        <f t="shared" si="82"/>
        <v>44</v>
      </c>
      <c r="Q66" s="62">
        <f t="shared" si="86"/>
        <v>46</v>
      </c>
      <c r="R66" s="288" t="str">
        <f t="shared" si="83"/>
        <v>Истрашкин</v>
      </c>
      <c r="S66" s="71" t="s">
        <v>10</v>
      </c>
      <c r="T66" s="72" t="s">
        <v>9</v>
      </c>
      <c r="U66" s="73">
        <v>1</v>
      </c>
      <c r="V66" s="62">
        <v>3</v>
      </c>
      <c r="W66" s="62"/>
      <c r="X66" s="242" t="s">
        <v>34</v>
      </c>
      <c r="Y66" s="7"/>
      <c r="Z66" s="7"/>
      <c r="AA66" s="7"/>
      <c r="AB66" s="13"/>
      <c r="AC66" s="13"/>
      <c r="AD66" s="13"/>
    </row>
    <row r="67" ht="14.4">
      <c r="A67" s="369" t="s">
        <v>65</v>
      </c>
      <c r="B67" s="323"/>
      <c r="C67" s="323"/>
      <c r="D67" s="323"/>
      <c r="E67" s="323"/>
      <c r="F67" s="76"/>
      <c r="G67" s="324">
        <v>11</v>
      </c>
      <c r="H67" s="76"/>
      <c r="I67" s="324">
        <v>11</v>
      </c>
      <c r="J67" s="323"/>
      <c r="K67" s="323"/>
      <c r="L67" s="323"/>
      <c r="M67" s="323"/>
      <c r="N67" s="77"/>
      <c r="O67" s="329">
        <v>11</v>
      </c>
      <c r="P67" s="333">
        <f t="shared" si="82"/>
        <v>33</v>
      </c>
      <c r="Q67" s="390">
        <f t="shared" si="86"/>
        <v>46</v>
      </c>
      <c r="R67" s="288" t="str">
        <f t="shared" si="83"/>
        <v>Качаев</v>
      </c>
      <c r="S67" s="71" t="s">
        <v>10</v>
      </c>
      <c r="T67" s="72" t="s">
        <v>9</v>
      </c>
      <c r="U67" s="73">
        <v>1</v>
      </c>
      <c r="V67" s="62">
        <v>2</v>
      </c>
      <c r="W67" s="229"/>
      <c r="X67" s="74" t="s">
        <v>34</v>
      </c>
      <c r="Y67" s="7"/>
      <c r="Z67" s="7"/>
      <c r="AA67" s="7"/>
      <c r="AB67" s="13"/>
      <c r="AC67" s="13"/>
      <c r="AD67" s="13"/>
    </row>
    <row r="68" ht="14.4">
      <c r="A68" s="92"/>
      <c r="B68" s="53">
        <v>46188</v>
      </c>
      <c r="C68" s="53"/>
      <c r="D68" s="53">
        <v>46189</v>
      </c>
      <c r="E68" s="53"/>
      <c r="F68" s="53">
        <v>46190</v>
      </c>
      <c r="G68" s="53"/>
      <c r="H68" s="53">
        <v>46191</v>
      </c>
      <c r="I68" s="53"/>
      <c r="J68" s="53">
        <v>46192</v>
      </c>
      <c r="K68" s="53"/>
      <c r="L68" s="53">
        <v>46193</v>
      </c>
      <c r="M68" s="53"/>
      <c r="N68" s="53">
        <v>46194</v>
      </c>
      <c r="O68" s="54"/>
      <c r="P68" s="68"/>
      <c r="Q68" s="67"/>
      <c r="R68" s="391"/>
      <c r="S68" s="138"/>
      <c r="T68" s="138"/>
      <c r="U68" s="194" t="s">
        <v>27</v>
      </c>
      <c r="V68" s="61" t="s">
        <v>28</v>
      </c>
      <c r="W68" s="62" t="s">
        <v>29</v>
      </c>
      <c r="X68" s="74" t="s">
        <v>34</v>
      </c>
      <c r="Y68" s="7"/>
      <c r="Z68" s="7"/>
      <c r="AA68" s="7"/>
      <c r="AB68" s="13"/>
      <c r="AC68" s="13"/>
      <c r="AD68" s="13"/>
    </row>
    <row r="69" ht="14.4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445"/>
      <c r="Q69" s="98"/>
      <c r="R69" s="392"/>
      <c r="S69" s="393"/>
      <c r="T69" s="393"/>
      <c r="U69" s="339"/>
      <c r="V69" s="165"/>
      <c r="W69" s="100"/>
      <c r="X69" s="373"/>
      <c r="Y69" s="7"/>
      <c r="Z69" s="7"/>
      <c r="AA69" s="7"/>
      <c r="AB69" s="13"/>
      <c r="AC69" s="13"/>
      <c r="AD69" s="13"/>
    </row>
    <row r="70" ht="14.4">
      <c r="A70" s="52"/>
      <c r="B70" s="56" t="s">
        <v>17</v>
      </c>
      <c r="C70" s="116"/>
      <c r="D70" s="56" t="s">
        <v>18</v>
      </c>
      <c r="E70" s="116"/>
      <c r="F70" s="56" t="s">
        <v>19</v>
      </c>
      <c r="G70" s="56"/>
      <c r="H70" s="56" t="s">
        <v>20</v>
      </c>
      <c r="I70" s="116"/>
      <c r="J70" s="129" t="s">
        <v>21</v>
      </c>
      <c r="K70" s="129"/>
      <c r="L70" s="56" t="s">
        <v>22</v>
      </c>
      <c r="M70" s="56"/>
      <c r="N70" s="56" t="s">
        <v>23</v>
      </c>
      <c r="O70" s="56"/>
      <c r="P70" s="374" t="s">
        <v>24</v>
      </c>
      <c r="Q70" s="375"/>
      <c r="R70" s="376"/>
      <c r="S70" s="143"/>
      <c r="T70" s="143"/>
      <c r="U70" s="90"/>
      <c r="V70" s="62"/>
      <c r="W70" s="62"/>
      <c r="X70" s="74"/>
      <c r="Y70" s="7"/>
      <c r="Z70" s="7"/>
      <c r="AA70" s="7"/>
      <c r="AB70" s="13"/>
      <c r="AC70" s="13"/>
      <c r="AD70" s="13"/>
    </row>
    <row r="71" ht="14.4">
      <c r="A71" s="377"/>
      <c r="B71" s="53">
        <v>46195</v>
      </c>
      <c r="C71" s="53"/>
      <c r="D71" s="53">
        <v>46196</v>
      </c>
      <c r="E71" s="53"/>
      <c r="F71" s="53">
        <v>46197</v>
      </c>
      <c r="G71" s="53"/>
      <c r="H71" s="53">
        <v>46198</v>
      </c>
      <c r="I71" s="53"/>
      <c r="J71" s="53">
        <v>46199</v>
      </c>
      <c r="K71" s="53"/>
      <c r="L71" s="53">
        <v>46200</v>
      </c>
      <c r="M71" s="53"/>
      <c r="N71" s="53">
        <v>46201</v>
      </c>
      <c r="O71" s="54"/>
      <c r="P71" s="379" t="s">
        <v>25</v>
      </c>
      <c r="Q71" s="380" t="s">
        <v>26</v>
      </c>
      <c r="R71" s="381"/>
      <c r="S71" s="147"/>
      <c r="T71" s="147"/>
      <c r="U71" s="194" t="s">
        <v>27</v>
      </c>
      <c r="V71" s="61" t="s">
        <v>28</v>
      </c>
      <c r="W71" s="62" t="s">
        <v>29</v>
      </c>
      <c r="X71" s="74" t="s">
        <v>30</v>
      </c>
      <c r="Y71" s="7"/>
      <c r="Z71" s="7"/>
      <c r="AA71" s="7"/>
      <c r="AB71" s="13"/>
      <c r="AC71" s="13"/>
      <c r="AD71" s="13"/>
    </row>
    <row r="72" ht="14.4">
      <c r="A72" s="217" t="s">
        <v>35</v>
      </c>
      <c r="B72" s="319"/>
      <c r="C72" s="446" t="s">
        <v>33</v>
      </c>
      <c r="D72" s="319"/>
      <c r="E72" s="446" t="s">
        <v>33</v>
      </c>
      <c r="F72" s="319"/>
      <c r="G72" s="319" t="s">
        <v>33</v>
      </c>
      <c r="H72" s="319"/>
      <c r="I72" s="319" t="s">
        <v>33</v>
      </c>
      <c r="J72" s="319"/>
      <c r="K72" s="319" t="s">
        <v>33</v>
      </c>
      <c r="L72" s="323"/>
      <c r="M72" s="323"/>
      <c r="N72" s="323"/>
      <c r="O72" s="323"/>
      <c r="P72" s="218">
        <f t="shared" si="82"/>
        <v>40</v>
      </c>
      <c r="Q72" s="62">
        <f t="shared" si="86"/>
        <v>16</v>
      </c>
      <c r="R72" s="219" t="str">
        <f t="shared" si="83"/>
        <v>Рычков</v>
      </c>
      <c r="S72" s="76" t="s">
        <v>10</v>
      </c>
      <c r="T72" s="77" t="s">
        <v>9</v>
      </c>
      <c r="U72" s="90">
        <f t="shared" ref="U72:U99" si="88">COUNTIF(T72,B72)+COUNTIF(T72,D72)+COUNTIF(T72,F72)+COUNTIF(T72,H72)+COUNTIF(T72,J72)+COUNTIF(T72,L72)+COUNTIF(T72,N72)</f>
        <v>0</v>
      </c>
      <c r="V72" s="62">
        <f t="shared" si="87"/>
        <v>0</v>
      </c>
      <c r="W72" s="62"/>
      <c r="X72" s="74" t="s">
        <v>34</v>
      </c>
      <c r="Y72" s="7"/>
      <c r="Z72" s="7"/>
      <c r="AA72" s="7"/>
      <c r="AB72" s="13"/>
      <c r="AC72" s="13"/>
      <c r="AD72" s="13"/>
    </row>
    <row r="73" ht="14.4">
      <c r="A73" s="203" t="s">
        <v>66</v>
      </c>
      <c r="B73" s="319"/>
      <c r="C73" s="319" t="s">
        <v>33</v>
      </c>
      <c r="D73" s="319"/>
      <c r="E73" s="319" t="s">
        <v>33</v>
      </c>
      <c r="F73" s="319"/>
      <c r="G73" s="319" t="s">
        <v>33</v>
      </c>
      <c r="H73" s="319"/>
      <c r="I73" s="319" t="s">
        <v>33</v>
      </c>
      <c r="J73" s="319"/>
      <c r="K73" s="319" t="s">
        <v>33</v>
      </c>
      <c r="L73" s="323"/>
      <c r="M73" s="323"/>
      <c r="N73" s="323"/>
      <c r="O73" s="323"/>
      <c r="P73" s="218">
        <f t="shared" si="82"/>
        <v>40</v>
      </c>
      <c r="Q73" s="62">
        <f t="shared" si="86"/>
        <v>16</v>
      </c>
      <c r="R73" s="219" t="str">
        <f t="shared" si="83"/>
        <v>Карузина</v>
      </c>
      <c r="S73" s="76" t="s">
        <v>10</v>
      </c>
      <c r="T73" s="77" t="s">
        <v>9</v>
      </c>
      <c r="U73" s="73">
        <f t="shared" si="88"/>
        <v>0</v>
      </c>
      <c r="V73" s="62">
        <f t="shared" si="87"/>
        <v>0</v>
      </c>
      <c r="W73" s="62"/>
      <c r="X73" s="79" t="s">
        <v>34</v>
      </c>
      <c r="Y73" s="7"/>
      <c r="Z73" s="7"/>
      <c r="AA73" s="7"/>
      <c r="AB73" s="13"/>
      <c r="AC73" s="13"/>
      <c r="AD73" s="13"/>
    </row>
    <row r="74" ht="14.4">
      <c r="A74" s="203" t="s">
        <v>39</v>
      </c>
      <c r="B74" s="394"/>
      <c r="C74" s="394" t="s">
        <v>33</v>
      </c>
      <c r="D74" s="394"/>
      <c r="E74" s="394" t="s">
        <v>33</v>
      </c>
      <c r="F74" s="394"/>
      <c r="G74" s="394" t="s">
        <v>33</v>
      </c>
      <c r="H74" s="394"/>
      <c r="I74" s="394" t="s">
        <v>33</v>
      </c>
      <c r="J74" s="394"/>
      <c r="K74" s="394" t="s">
        <v>33</v>
      </c>
      <c r="L74" s="447"/>
      <c r="M74" s="447"/>
      <c r="N74" s="447"/>
      <c r="O74" s="447"/>
      <c r="P74" s="218">
        <f t="shared" si="82"/>
        <v>40</v>
      </c>
      <c r="Q74" s="62">
        <f t="shared" si="86"/>
        <v>16</v>
      </c>
      <c r="R74" s="219" t="str">
        <f t="shared" si="83"/>
        <v>Игумнов</v>
      </c>
      <c r="S74" s="76" t="s">
        <v>10</v>
      </c>
      <c r="T74" s="77" t="s">
        <v>9</v>
      </c>
      <c r="U74" s="90">
        <f t="shared" si="88"/>
        <v>0</v>
      </c>
      <c r="V74" s="62">
        <f t="shared" si="87"/>
        <v>0</v>
      </c>
      <c r="W74" s="62"/>
      <c r="X74" s="74" t="s">
        <v>38</v>
      </c>
      <c r="Y74" s="7"/>
      <c r="Z74" s="7"/>
      <c r="AA74" s="7"/>
      <c r="AB74" s="13"/>
      <c r="AC74" s="13"/>
      <c r="AD74" s="13"/>
    </row>
    <row r="75" ht="14.4">
      <c r="A75" s="440" t="s">
        <v>40</v>
      </c>
      <c r="B75" s="2" t="s">
        <v>1</v>
      </c>
      <c r="C75" s="3">
        <v>8</v>
      </c>
      <c r="D75" s="2" t="s">
        <v>1</v>
      </c>
      <c r="E75" s="3">
        <v>8</v>
      </c>
      <c r="F75" s="2" t="s">
        <v>1</v>
      </c>
      <c r="G75" s="3">
        <v>8</v>
      </c>
      <c r="H75" s="2" t="s">
        <v>1</v>
      </c>
      <c r="I75" s="3">
        <v>8</v>
      </c>
      <c r="J75" s="2" t="s">
        <v>1</v>
      </c>
      <c r="K75" s="3">
        <v>8</v>
      </c>
      <c r="L75" s="2" t="s">
        <v>1</v>
      </c>
      <c r="M75" s="3"/>
      <c r="N75" s="2"/>
      <c r="O75" s="3"/>
      <c r="P75" s="253">
        <f t="shared" si="82"/>
        <v>40</v>
      </c>
      <c r="Q75" s="62">
        <f t="shared" si="86"/>
        <v>15</v>
      </c>
      <c r="R75" s="219" t="str">
        <f t="shared" si="83"/>
        <v>Душин</v>
      </c>
      <c r="S75" s="76" t="s">
        <v>58</v>
      </c>
      <c r="T75" s="77" t="s">
        <v>59</v>
      </c>
      <c r="U75" s="90">
        <f t="shared" si="88"/>
        <v>0</v>
      </c>
      <c r="V75" s="62">
        <f t="shared" si="87"/>
        <v>0</v>
      </c>
      <c r="W75" s="62"/>
      <c r="X75" s="74" t="s">
        <v>34</v>
      </c>
      <c r="Y75" s="7"/>
      <c r="Z75" s="7"/>
      <c r="AA75" s="7"/>
      <c r="AB75" s="13"/>
      <c r="AC75" s="13"/>
      <c r="AD75" s="13"/>
    </row>
    <row r="76" ht="14.4">
      <c r="A76" s="203" t="s">
        <v>31</v>
      </c>
      <c r="B76" s="448"/>
      <c r="C76" s="448" t="s">
        <v>33</v>
      </c>
      <c r="D76" s="448"/>
      <c r="E76" s="448" t="s">
        <v>33</v>
      </c>
      <c r="F76" s="448"/>
      <c r="G76" s="448" t="s">
        <v>33</v>
      </c>
      <c r="H76" s="448"/>
      <c r="I76" s="448" t="s">
        <v>33</v>
      </c>
      <c r="J76" s="448"/>
      <c r="K76" s="448" t="s">
        <v>33</v>
      </c>
      <c r="L76" s="328"/>
      <c r="M76" s="328"/>
      <c r="N76" s="328"/>
      <c r="O76" s="328"/>
      <c r="P76" s="218">
        <f t="shared" ref="P76:P99" si="89">C76+E76+G76+I76+K76+M76+O76</f>
        <v>40</v>
      </c>
      <c r="Q76" s="62">
        <f t="shared" si="86"/>
        <v>15</v>
      </c>
      <c r="R76" s="288" t="str">
        <f t="shared" ref="R76:R99" si="90">A76</f>
        <v>Нетронин</v>
      </c>
      <c r="S76" s="76" t="s">
        <v>58</v>
      </c>
      <c r="T76" s="77" t="s">
        <v>59</v>
      </c>
      <c r="U76" s="73">
        <f t="shared" si="88"/>
        <v>0</v>
      </c>
      <c r="V76" s="62">
        <f t="shared" si="87"/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ht="14.4">
      <c r="A77" s="203" t="s">
        <v>61</v>
      </c>
      <c r="B77" s="394"/>
      <c r="C77" s="394" t="s">
        <v>33</v>
      </c>
      <c r="D77" s="394"/>
      <c r="E77" s="394" t="s">
        <v>33</v>
      </c>
      <c r="F77" s="394"/>
      <c r="G77" s="394" t="s">
        <v>33</v>
      </c>
      <c r="H77" s="394"/>
      <c r="I77" s="394" t="s">
        <v>33</v>
      </c>
      <c r="J77" s="394"/>
      <c r="K77" s="394" t="s">
        <v>33</v>
      </c>
      <c r="L77" s="437"/>
      <c r="M77" s="438"/>
      <c r="N77" s="438"/>
      <c r="O77" s="439"/>
      <c r="P77" s="218">
        <f t="shared" si="89"/>
        <v>40</v>
      </c>
      <c r="Q77" s="62">
        <f t="shared" si="86"/>
        <v>16</v>
      </c>
      <c r="R77" s="288" t="str">
        <f t="shared" si="90"/>
        <v>Раимова</v>
      </c>
      <c r="S77" s="76" t="s">
        <v>10</v>
      </c>
      <c r="T77" s="77" t="s">
        <v>9</v>
      </c>
      <c r="U77" s="73">
        <f t="shared" si="88"/>
        <v>0</v>
      </c>
      <c r="V77" s="62">
        <f t="shared" si="87"/>
        <v>0</v>
      </c>
      <c r="W77" s="62"/>
      <c r="X77" s="74" t="s">
        <v>38</v>
      </c>
      <c r="Y77" s="7"/>
      <c r="Z77" s="7"/>
      <c r="AA77" s="7"/>
      <c r="AB77" s="13"/>
      <c r="AC77" s="13"/>
      <c r="AD77" s="13"/>
    </row>
    <row r="78" ht="14.4">
      <c r="A78" s="440" t="s">
        <v>62</v>
      </c>
      <c r="B78" s="2" t="s">
        <v>1</v>
      </c>
      <c r="C78" s="3">
        <v>8</v>
      </c>
      <c r="D78" s="2" t="s">
        <v>1</v>
      </c>
      <c r="E78" s="3">
        <v>8</v>
      </c>
      <c r="F78" s="2" t="s">
        <v>1</v>
      </c>
      <c r="G78" s="3">
        <v>8</v>
      </c>
      <c r="H78" s="2" t="s">
        <v>1</v>
      </c>
      <c r="I78" s="3">
        <v>8</v>
      </c>
      <c r="J78" s="2" t="s">
        <v>1</v>
      </c>
      <c r="K78" s="3">
        <v>8</v>
      </c>
      <c r="L78" s="2" t="s">
        <v>1</v>
      </c>
      <c r="M78" s="3"/>
      <c r="N78" s="2"/>
      <c r="O78" s="3"/>
      <c r="P78" s="253">
        <f t="shared" si="89"/>
        <v>40</v>
      </c>
      <c r="Q78" s="62">
        <f t="shared" si="86"/>
        <v>16</v>
      </c>
      <c r="R78" s="288" t="str">
        <f t="shared" si="90"/>
        <v>Войтехович</v>
      </c>
      <c r="S78" s="76" t="s">
        <v>10</v>
      </c>
      <c r="T78" s="77" t="s">
        <v>9</v>
      </c>
      <c r="U78" s="73">
        <f t="shared" si="88"/>
        <v>0</v>
      </c>
      <c r="V78" s="62">
        <f t="shared" si="87"/>
        <v>0</v>
      </c>
      <c r="W78" s="62"/>
      <c r="X78" s="74" t="s">
        <v>38</v>
      </c>
      <c r="Y78" s="7"/>
      <c r="Z78" s="7"/>
      <c r="AA78" s="7"/>
      <c r="AB78" s="13"/>
      <c r="AC78" s="13"/>
      <c r="AD78" s="13"/>
    </row>
    <row r="79" ht="14.4">
      <c r="A79" s="203" t="s">
        <v>63</v>
      </c>
      <c r="B79" s="448"/>
      <c r="C79" s="448" t="s">
        <v>33</v>
      </c>
      <c r="D79" s="448"/>
      <c r="E79" s="448" t="s">
        <v>33</v>
      </c>
      <c r="F79" s="448"/>
      <c r="G79" s="448" t="s">
        <v>33</v>
      </c>
      <c r="H79" s="448"/>
      <c r="I79" s="448" t="s">
        <v>33</v>
      </c>
      <c r="J79" s="448"/>
      <c r="K79" s="448" t="s">
        <v>33</v>
      </c>
      <c r="L79" s="449"/>
      <c r="M79" s="431"/>
      <c r="N79" s="431"/>
      <c r="O79" s="432"/>
      <c r="P79" s="218">
        <f t="shared" si="89"/>
        <v>40</v>
      </c>
      <c r="Q79" s="62">
        <f t="shared" si="86"/>
        <v>16</v>
      </c>
      <c r="R79" s="288" t="str">
        <f t="shared" si="90"/>
        <v>Васильев</v>
      </c>
      <c r="S79" s="71" t="s">
        <v>12</v>
      </c>
      <c r="T79" s="72" t="s">
        <v>11</v>
      </c>
      <c r="U79" s="73">
        <f t="shared" si="88"/>
        <v>0</v>
      </c>
      <c r="V79" s="62">
        <f t="shared" si="87"/>
        <v>0</v>
      </c>
      <c r="W79" s="62"/>
      <c r="X79" s="356" t="s">
        <v>44</v>
      </c>
      <c r="Y79" s="7"/>
      <c r="Z79" s="7"/>
      <c r="AA79" s="7"/>
      <c r="AB79" s="13"/>
      <c r="AC79" s="13"/>
      <c r="AD79" s="13"/>
    </row>
    <row r="80" ht="14.4">
      <c r="A80" s="205" t="s">
        <v>43</v>
      </c>
      <c r="B80" s="328"/>
      <c r="C80" s="450"/>
      <c r="D80" s="76"/>
      <c r="E80" s="324">
        <v>11</v>
      </c>
      <c r="F80" s="76"/>
      <c r="G80" s="324">
        <v>11</v>
      </c>
      <c r="H80" s="433"/>
      <c r="I80" s="434"/>
      <c r="J80" s="434"/>
      <c r="K80" s="451"/>
      <c r="L80" s="77"/>
      <c r="M80" s="329">
        <v>11</v>
      </c>
      <c r="N80" s="77"/>
      <c r="O80" s="329">
        <v>11</v>
      </c>
      <c r="P80" s="218">
        <f t="shared" si="89"/>
        <v>44</v>
      </c>
      <c r="Q80" s="62">
        <f t="shared" si="86"/>
        <v>13</v>
      </c>
      <c r="R80" s="219" t="str">
        <f t="shared" si="90"/>
        <v>Дащенко</v>
      </c>
      <c r="S80" s="76" t="s">
        <v>10</v>
      </c>
      <c r="T80" s="77" t="s">
        <v>9</v>
      </c>
      <c r="U80" s="73">
        <v>2</v>
      </c>
      <c r="V80" s="62">
        <v>2</v>
      </c>
      <c r="W80" s="62"/>
      <c r="X80" s="242" t="s">
        <v>34</v>
      </c>
      <c r="Y80" s="7"/>
      <c r="Z80" s="7"/>
      <c r="AA80" s="7"/>
      <c r="AB80" s="13"/>
      <c r="AC80" s="13"/>
      <c r="AD80" s="13"/>
    </row>
    <row r="81" ht="14.4">
      <c r="A81" s="205" t="s">
        <v>45</v>
      </c>
      <c r="B81" s="328"/>
      <c r="C81" s="328"/>
      <c r="D81" s="434"/>
      <c r="E81" s="451"/>
      <c r="F81" s="76"/>
      <c r="G81" s="324">
        <v>11</v>
      </c>
      <c r="H81" s="76"/>
      <c r="I81" s="324">
        <v>11</v>
      </c>
      <c r="J81" s="76"/>
      <c r="K81" s="324">
        <v>11</v>
      </c>
      <c r="L81" s="433"/>
      <c r="M81" s="451"/>
      <c r="N81" s="67"/>
      <c r="O81" s="330"/>
      <c r="P81" s="218">
        <f t="shared" si="89"/>
        <v>33</v>
      </c>
      <c r="Q81" s="62">
        <f t="shared" si="86"/>
        <v>24</v>
      </c>
      <c r="R81" s="322" t="str">
        <f t="shared" si="90"/>
        <v>Пузырь</v>
      </c>
      <c r="S81" s="173" t="s">
        <v>10</v>
      </c>
      <c r="T81" s="300" t="s">
        <v>9</v>
      </c>
      <c r="U81" s="227">
        <f t="shared" si="88"/>
        <v>0</v>
      </c>
      <c r="V81" s="62">
        <v>3</v>
      </c>
      <c r="W81" s="62"/>
      <c r="X81" s="242" t="s">
        <v>34</v>
      </c>
      <c r="Y81" s="7"/>
      <c r="Z81" s="7"/>
      <c r="AA81" s="7"/>
      <c r="AB81" s="13"/>
      <c r="AC81" s="13"/>
      <c r="AD81" s="13"/>
    </row>
    <row r="82" ht="14.4">
      <c r="A82" s="205" t="s">
        <v>64</v>
      </c>
      <c r="B82" s="438"/>
      <c r="C82" s="439"/>
      <c r="D82" s="77"/>
      <c r="E82" s="329">
        <v>11</v>
      </c>
      <c r="F82" s="77"/>
      <c r="G82" s="329">
        <v>11</v>
      </c>
      <c r="H82" s="424"/>
      <c r="I82" s="422"/>
      <c r="J82" s="422"/>
      <c r="K82" s="423"/>
      <c r="L82" s="76"/>
      <c r="M82" s="324">
        <v>11</v>
      </c>
      <c r="N82" s="76"/>
      <c r="O82" s="324">
        <v>11</v>
      </c>
      <c r="P82" s="218">
        <f t="shared" si="89"/>
        <v>44</v>
      </c>
      <c r="Q82" s="62">
        <f t="shared" si="86"/>
        <v>13</v>
      </c>
      <c r="R82" s="288" t="str">
        <f t="shared" si="90"/>
        <v>Рожнева</v>
      </c>
      <c r="S82" s="76" t="s">
        <v>10</v>
      </c>
      <c r="T82" s="77" t="s">
        <v>9</v>
      </c>
      <c r="U82" s="73">
        <v>2</v>
      </c>
      <c r="V82" s="62">
        <v>2</v>
      </c>
      <c r="W82" s="62"/>
      <c r="X82" s="242" t="s">
        <v>34</v>
      </c>
      <c r="Y82" s="7"/>
      <c r="Z82" s="7"/>
      <c r="AA82" s="7"/>
      <c r="AB82" s="13"/>
      <c r="AC82" s="13"/>
      <c r="AD82" s="13"/>
    </row>
    <row r="83" ht="14.4">
      <c r="A83" s="361" t="s">
        <v>47</v>
      </c>
      <c r="B83" s="429" t="s">
        <v>1</v>
      </c>
      <c r="C83" s="430">
        <v>8</v>
      </c>
      <c r="D83" s="427" t="s">
        <v>1</v>
      </c>
      <c r="E83" s="428">
        <v>8</v>
      </c>
      <c r="F83" s="425" t="s">
        <v>1</v>
      </c>
      <c r="G83" s="426">
        <v>8</v>
      </c>
      <c r="H83" s="2" t="s">
        <v>1</v>
      </c>
      <c r="I83" s="3">
        <v>8</v>
      </c>
      <c r="J83" s="429" t="s">
        <v>1</v>
      </c>
      <c r="K83" s="430">
        <v>8</v>
      </c>
      <c r="L83" s="427" t="s">
        <v>1</v>
      </c>
      <c r="M83" s="428"/>
      <c r="N83" s="427"/>
      <c r="O83" s="428"/>
      <c r="P83" s="253">
        <f t="shared" si="89"/>
        <v>40</v>
      </c>
      <c r="Q83" s="62">
        <f t="shared" si="86"/>
        <v>21</v>
      </c>
      <c r="R83" s="288" t="str">
        <f t="shared" si="90"/>
        <v>Торубара</v>
      </c>
      <c r="S83" s="76" t="s">
        <v>10</v>
      </c>
      <c r="T83" s="77" t="s">
        <v>9</v>
      </c>
      <c r="U83" s="73">
        <f t="shared" si="88"/>
        <v>0</v>
      </c>
      <c r="V83" s="62">
        <f t="shared" si="87"/>
        <v>0</v>
      </c>
      <c r="W83" s="229"/>
      <c r="X83" s="74" t="s">
        <v>34</v>
      </c>
      <c r="Y83" s="7"/>
      <c r="Z83" s="7"/>
      <c r="AA83" s="7"/>
      <c r="AB83" s="13"/>
      <c r="AC83" s="13"/>
      <c r="AD83" s="13"/>
    </row>
    <row r="84" ht="14.4">
      <c r="A84" s="205" t="s">
        <v>48</v>
      </c>
      <c r="B84" s="76"/>
      <c r="C84" s="324">
        <v>11</v>
      </c>
      <c r="D84" s="76"/>
      <c r="E84" s="324">
        <v>11</v>
      </c>
      <c r="F84" s="328"/>
      <c r="G84" s="328"/>
      <c r="H84" s="431"/>
      <c r="I84" s="432"/>
      <c r="J84" s="67"/>
      <c r="K84" s="330"/>
      <c r="L84" s="77"/>
      <c r="M84" s="329">
        <v>11</v>
      </c>
      <c r="N84" s="77"/>
      <c r="O84" s="329">
        <v>11</v>
      </c>
      <c r="P84" s="218">
        <f t="shared" si="89"/>
        <v>44</v>
      </c>
      <c r="Q84" s="62">
        <f t="shared" si="86"/>
        <v>13</v>
      </c>
      <c r="R84" s="288" t="str">
        <f t="shared" si="90"/>
        <v>Стрыгин</v>
      </c>
      <c r="S84" s="71" t="s">
        <v>8</v>
      </c>
      <c r="T84" s="72" t="s">
        <v>7</v>
      </c>
      <c r="U84" s="73">
        <v>2</v>
      </c>
      <c r="V84" s="62">
        <v>2</v>
      </c>
      <c r="W84" s="62"/>
      <c r="X84" s="74" t="s">
        <v>49</v>
      </c>
      <c r="Y84" s="7"/>
      <c r="Z84" s="7"/>
      <c r="AA84" s="7"/>
      <c r="AB84" s="13"/>
      <c r="AC84" s="13"/>
      <c r="AD84" s="13"/>
    </row>
    <row r="85" ht="14.4">
      <c r="A85" s="205" t="s">
        <v>50</v>
      </c>
      <c r="B85" s="76"/>
      <c r="C85" s="324">
        <v>11</v>
      </c>
      <c r="D85" s="433"/>
      <c r="E85" s="434"/>
      <c r="F85" s="418"/>
      <c r="G85" s="419"/>
      <c r="H85" s="77"/>
      <c r="I85" s="329">
        <v>11</v>
      </c>
      <c r="J85" s="77"/>
      <c r="K85" s="329">
        <v>11</v>
      </c>
      <c r="L85" s="433"/>
      <c r="M85" s="434"/>
      <c r="N85" s="434"/>
      <c r="O85" s="451"/>
      <c r="P85" s="218">
        <f t="shared" si="89"/>
        <v>33</v>
      </c>
      <c r="Q85" s="62">
        <f t="shared" si="86"/>
        <v>25</v>
      </c>
      <c r="R85" s="288" t="str">
        <f t="shared" si="90"/>
        <v>Фрик</v>
      </c>
      <c r="S85" s="71" t="s">
        <v>12</v>
      </c>
      <c r="T85" s="72" t="s">
        <v>11</v>
      </c>
      <c r="U85" s="73">
        <v>2</v>
      </c>
      <c r="V85" s="62">
        <v>1</v>
      </c>
      <c r="W85" s="62"/>
      <c r="X85" s="74" t="s">
        <v>44</v>
      </c>
      <c r="Y85" s="7"/>
      <c r="Z85" s="7"/>
      <c r="AA85" s="7"/>
      <c r="AB85" s="13"/>
      <c r="AC85" s="13"/>
      <c r="AD85" s="13"/>
    </row>
    <row r="86" ht="14.4">
      <c r="A86" s="206" t="s">
        <v>51</v>
      </c>
      <c r="B86" s="434"/>
      <c r="C86" s="451"/>
      <c r="D86" s="77"/>
      <c r="E86" s="329">
        <v>11</v>
      </c>
      <c r="F86" s="77"/>
      <c r="G86" s="329">
        <v>11</v>
      </c>
      <c r="H86" s="433"/>
      <c r="I86" s="434"/>
      <c r="J86" s="434"/>
      <c r="K86" s="451"/>
      <c r="L86" s="76"/>
      <c r="M86" s="324">
        <v>11</v>
      </c>
      <c r="N86" s="76"/>
      <c r="O86" s="324">
        <v>11</v>
      </c>
      <c r="P86" s="218">
        <f t="shared" si="89"/>
        <v>44</v>
      </c>
      <c r="Q86" s="62">
        <f t="shared" si="86"/>
        <v>2</v>
      </c>
      <c r="R86" s="288" t="str">
        <f t="shared" si="90"/>
        <v>Истрашкин</v>
      </c>
      <c r="S86" s="71" t="s">
        <v>10</v>
      </c>
      <c r="T86" s="72" t="s">
        <v>9</v>
      </c>
      <c r="U86" s="73">
        <v>2</v>
      </c>
      <c r="V86" s="62">
        <v>2</v>
      </c>
      <c r="W86" s="62"/>
      <c r="X86" s="74" t="s">
        <v>34</v>
      </c>
      <c r="Y86" s="7"/>
      <c r="Z86" s="7"/>
      <c r="AA86" s="7"/>
      <c r="AB86" s="13"/>
      <c r="AC86" s="13"/>
      <c r="AD86" s="13"/>
    </row>
    <row r="87" ht="14.4">
      <c r="A87" s="369" t="s">
        <v>65</v>
      </c>
      <c r="B87" s="77"/>
      <c r="C87" s="329">
        <v>11</v>
      </c>
      <c r="D87" s="67"/>
      <c r="E87" s="330"/>
      <c r="F87" s="328"/>
      <c r="G87" s="451"/>
      <c r="H87" s="76"/>
      <c r="I87" s="324">
        <v>11</v>
      </c>
      <c r="J87" s="76"/>
      <c r="K87" s="324">
        <v>11</v>
      </c>
      <c r="L87" s="328"/>
      <c r="M87" s="328"/>
      <c r="N87" s="328"/>
      <c r="O87" s="328"/>
      <c r="P87" s="333">
        <f t="shared" si="89"/>
        <v>33</v>
      </c>
      <c r="Q87" s="390">
        <f t="shared" si="86"/>
        <v>13</v>
      </c>
      <c r="R87" s="288" t="str">
        <f t="shared" si="90"/>
        <v>Качаев</v>
      </c>
      <c r="S87" s="71" t="s">
        <v>10</v>
      </c>
      <c r="T87" s="72" t="s">
        <v>9</v>
      </c>
      <c r="U87" s="73">
        <v>1</v>
      </c>
      <c r="V87" s="62">
        <v>2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4">
      <c r="A88" s="92"/>
      <c r="B88" s="53">
        <v>46195</v>
      </c>
      <c r="C88" s="53"/>
      <c r="D88" s="53">
        <v>46196</v>
      </c>
      <c r="E88" s="53"/>
      <c r="F88" s="53">
        <v>46197</v>
      </c>
      <c r="G88" s="53"/>
      <c r="H88" s="53">
        <v>46198</v>
      </c>
      <c r="I88" s="53"/>
      <c r="J88" s="53">
        <v>46199</v>
      </c>
      <c r="K88" s="53"/>
      <c r="L88" s="53">
        <v>46200</v>
      </c>
      <c r="M88" s="53"/>
      <c r="N88" s="53">
        <v>46201</v>
      </c>
      <c r="O88" s="54"/>
      <c r="P88" s="68"/>
      <c r="Q88" s="67"/>
      <c r="R88" s="297"/>
      <c r="S88" s="138"/>
      <c r="T88" s="138"/>
      <c r="U88" s="60" t="s">
        <v>27</v>
      </c>
      <c r="V88" s="61" t="s">
        <v>28</v>
      </c>
      <c r="W88" s="62" t="s">
        <v>29</v>
      </c>
      <c r="X88" s="452"/>
      <c r="Y88" s="7"/>
      <c r="Z88" s="7"/>
      <c r="AA88" s="7"/>
      <c r="AB88" s="13"/>
      <c r="AC88" s="13"/>
      <c r="AD88" s="13"/>
    </row>
    <row r="89" ht="14.4">
      <c r="A89" s="314"/>
      <c r="B89" s="314"/>
      <c r="C89" s="314"/>
      <c r="D89" s="314"/>
      <c r="E89" s="314"/>
      <c r="F89" s="314"/>
      <c r="G89" s="314"/>
      <c r="H89" s="314"/>
      <c r="I89" s="314"/>
      <c r="J89" s="314"/>
      <c r="K89" s="314"/>
      <c r="L89" s="314"/>
      <c r="M89" s="314"/>
      <c r="N89" s="314"/>
      <c r="O89" s="314"/>
      <c r="P89" s="314"/>
      <c r="Q89" s="98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 ht="14.4">
      <c r="A90" s="52"/>
      <c r="B90" s="56" t="s">
        <v>17</v>
      </c>
      <c r="C90" s="116"/>
      <c r="D90" s="56" t="s">
        <v>18</v>
      </c>
      <c r="E90" s="116"/>
      <c r="F90" s="56" t="s">
        <v>19</v>
      </c>
      <c r="G90" s="56"/>
      <c r="H90" s="56" t="s">
        <v>20</v>
      </c>
      <c r="I90" s="116"/>
      <c r="J90" s="129" t="s">
        <v>21</v>
      </c>
      <c r="K90" s="129"/>
      <c r="L90" s="56" t="s">
        <v>22</v>
      </c>
      <c r="M90" s="56"/>
      <c r="N90" s="56" t="s">
        <v>23</v>
      </c>
      <c r="O90" s="56"/>
      <c r="P90" s="374" t="s">
        <v>24</v>
      </c>
      <c r="Q90" s="375"/>
      <c r="R90" s="376"/>
      <c r="S90" s="143"/>
      <c r="T90" s="143"/>
      <c r="U90" s="62"/>
      <c r="V90" s="62"/>
      <c r="W90" s="62"/>
      <c r="X90" s="51"/>
      <c r="Y90" s="7"/>
      <c r="Z90" s="7"/>
      <c r="AA90" s="7"/>
      <c r="AB90" s="13"/>
      <c r="AC90" s="13"/>
      <c r="AD90" s="13"/>
    </row>
    <row r="91" ht="14.4">
      <c r="A91" s="377"/>
      <c r="B91" s="53">
        <v>46202</v>
      </c>
      <c r="C91" s="53"/>
      <c r="D91" s="53">
        <v>46203</v>
      </c>
      <c r="E91" s="53"/>
      <c r="F91" s="53">
        <v>46204</v>
      </c>
      <c r="G91" s="53"/>
      <c r="H91" s="53">
        <v>46205</v>
      </c>
      <c r="I91" s="53"/>
      <c r="J91" s="53">
        <v>46206</v>
      </c>
      <c r="K91" s="53"/>
      <c r="L91" s="53">
        <v>46207</v>
      </c>
      <c r="M91" s="53"/>
      <c r="N91" s="53">
        <v>46208</v>
      </c>
      <c r="O91" s="54"/>
      <c r="P91" s="379" t="s">
        <v>25</v>
      </c>
      <c r="Q91" s="380" t="s">
        <v>26</v>
      </c>
      <c r="R91" s="381"/>
      <c r="S91" s="147"/>
      <c r="T91" s="147"/>
      <c r="U91" s="60" t="s">
        <v>27</v>
      </c>
      <c r="V91" s="61" t="s">
        <v>28</v>
      </c>
      <c r="W91" s="62" t="s">
        <v>29</v>
      </c>
      <c r="X91" s="63" t="s">
        <v>30</v>
      </c>
      <c r="Y91" s="7"/>
      <c r="Z91" s="7"/>
      <c r="AA91" s="7"/>
      <c r="AB91" s="13"/>
      <c r="AC91" s="13"/>
      <c r="AD91" s="13"/>
    </row>
    <row r="92" ht="14.4">
      <c r="A92" s="217" t="s">
        <v>35</v>
      </c>
      <c r="B92" s="319"/>
      <c r="C92" s="319" t="s">
        <v>33</v>
      </c>
      <c r="D92" s="319"/>
      <c r="E92" s="319" t="s">
        <v>33</v>
      </c>
      <c r="F92" s="328"/>
      <c r="G92" s="328"/>
      <c r="H92" s="328"/>
      <c r="I92" s="328"/>
      <c r="J92" s="328"/>
      <c r="K92" s="328"/>
      <c r="L92" s="328"/>
      <c r="M92" s="328"/>
      <c r="N92" s="328"/>
      <c r="O92" s="450"/>
      <c r="P92" s="218">
        <f t="shared" si="89"/>
        <v>16</v>
      </c>
      <c r="Q92" s="62">
        <f t="shared" si="86"/>
        <v>0</v>
      </c>
      <c r="R92" s="219" t="str">
        <f t="shared" si="90"/>
        <v>Рычков</v>
      </c>
      <c r="S92" s="76" t="s">
        <v>10</v>
      </c>
      <c r="T92" s="77" t="s">
        <v>9</v>
      </c>
      <c r="U92" s="73">
        <f t="shared" si="88"/>
        <v>0</v>
      </c>
      <c r="V92" s="62">
        <f t="shared" si="87"/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ht="14.4">
      <c r="A93" s="203" t="s">
        <v>66</v>
      </c>
      <c r="B93" s="319"/>
      <c r="C93" s="319" t="s">
        <v>33</v>
      </c>
      <c r="D93" s="319"/>
      <c r="E93" s="319" t="s">
        <v>33</v>
      </c>
      <c r="F93" s="328"/>
      <c r="G93" s="328"/>
      <c r="H93" s="328"/>
      <c r="I93" s="328"/>
      <c r="J93" s="328"/>
      <c r="K93" s="328"/>
      <c r="L93" s="328"/>
      <c r="M93" s="328"/>
      <c r="N93" s="328"/>
      <c r="O93" s="421"/>
      <c r="P93" s="218">
        <f t="shared" si="89"/>
        <v>16</v>
      </c>
      <c r="Q93" s="62">
        <f t="shared" si="86"/>
        <v>0</v>
      </c>
      <c r="R93" s="219" t="str">
        <f t="shared" si="90"/>
        <v>Карузина</v>
      </c>
      <c r="S93" s="76" t="s">
        <v>10</v>
      </c>
      <c r="T93" s="77" t="s">
        <v>9</v>
      </c>
      <c r="U93" s="73">
        <f t="shared" si="88"/>
        <v>0</v>
      </c>
      <c r="V93" s="62">
        <f t="shared" si="87"/>
        <v>0</v>
      </c>
      <c r="W93" s="62"/>
      <c r="X93" s="79" t="s">
        <v>34</v>
      </c>
      <c r="Y93" s="7"/>
      <c r="Z93" s="7"/>
      <c r="AA93" s="7"/>
      <c r="AB93" s="13"/>
      <c r="AC93" s="13"/>
      <c r="AD93" s="13"/>
    </row>
    <row r="94" ht="14.4">
      <c r="A94" s="203" t="s">
        <v>39</v>
      </c>
      <c r="B94" s="319"/>
      <c r="C94" s="319" t="s">
        <v>33</v>
      </c>
      <c r="D94" s="319"/>
      <c r="E94" s="319" t="s">
        <v>33</v>
      </c>
      <c r="F94" s="328"/>
      <c r="G94" s="328"/>
      <c r="H94" s="328"/>
      <c r="I94" s="328"/>
      <c r="J94" s="328"/>
      <c r="K94" s="328"/>
      <c r="L94" s="328"/>
      <c r="M94" s="328"/>
      <c r="N94" s="328"/>
      <c r="O94" s="421"/>
      <c r="P94" s="218">
        <f t="shared" si="89"/>
        <v>16</v>
      </c>
      <c r="Q94" s="62">
        <f t="shared" si="86"/>
        <v>0</v>
      </c>
      <c r="R94" s="219" t="str">
        <f t="shared" si="90"/>
        <v>Игумнов</v>
      </c>
      <c r="S94" s="76" t="s">
        <v>10</v>
      </c>
      <c r="T94" s="77" t="s">
        <v>9</v>
      </c>
      <c r="U94" s="73">
        <f t="shared" si="88"/>
        <v>0</v>
      </c>
      <c r="V94" s="62">
        <f t="shared" si="87"/>
        <v>0</v>
      </c>
      <c r="W94" s="62"/>
      <c r="X94" s="74" t="s">
        <v>38</v>
      </c>
      <c r="Y94" s="7"/>
      <c r="Z94" s="7"/>
      <c r="AA94" s="7"/>
      <c r="AB94" s="13"/>
      <c r="AC94" s="13"/>
      <c r="AD94" s="13"/>
    </row>
    <row r="95" ht="14.4">
      <c r="A95" s="203" t="s">
        <v>40</v>
      </c>
      <c r="B95" s="319"/>
      <c r="C95" s="319" t="s">
        <v>56</v>
      </c>
      <c r="D95" s="319"/>
      <c r="E95" s="319" t="s">
        <v>33</v>
      </c>
      <c r="F95" s="328"/>
      <c r="G95" s="328"/>
      <c r="H95" s="328"/>
      <c r="I95" s="328"/>
      <c r="J95" s="328"/>
      <c r="K95" s="328"/>
      <c r="L95" s="328"/>
      <c r="M95" s="328"/>
      <c r="N95" s="328"/>
      <c r="O95" s="421"/>
      <c r="P95" s="218">
        <f t="shared" si="89"/>
        <v>15</v>
      </c>
      <c r="Q95" s="62">
        <f t="shared" si="86"/>
        <v>0</v>
      </c>
      <c r="R95" s="219" t="str">
        <f t="shared" si="90"/>
        <v>Душин</v>
      </c>
      <c r="S95" s="76" t="s">
        <v>58</v>
      </c>
      <c r="T95" s="77" t="s">
        <v>59</v>
      </c>
      <c r="U95" s="73">
        <f t="shared" si="88"/>
        <v>0</v>
      </c>
      <c r="V95" s="62">
        <f t="shared" si="87"/>
        <v>0</v>
      </c>
      <c r="W95" s="62"/>
      <c r="X95" s="74" t="s">
        <v>34</v>
      </c>
      <c r="Y95" s="7"/>
      <c r="Z95" s="7"/>
      <c r="AA95" s="7"/>
      <c r="AB95" s="13"/>
      <c r="AC95" s="13"/>
      <c r="AD95" s="13"/>
    </row>
    <row r="96" ht="14.4">
      <c r="A96" s="203" t="s">
        <v>31</v>
      </c>
      <c r="B96" s="319"/>
      <c r="C96" s="319" t="s">
        <v>33</v>
      </c>
      <c r="D96" s="319"/>
      <c r="E96" s="319" t="s">
        <v>33</v>
      </c>
      <c r="F96" s="328"/>
      <c r="G96" s="328"/>
      <c r="H96" s="328"/>
      <c r="I96" s="328"/>
      <c r="J96" s="328"/>
      <c r="K96" s="328"/>
      <c r="L96" s="328"/>
      <c r="M96" s="328"/>
      <c r="N96" s="328"/>
      <c r="O96" s="421"/>
      <c r="P96" s="218">
        <f t="shared" si="89"/>
        <v>16</v>
      </c>
      <c r="Q96" s="62">
        <f t="shared" ref="Q96:Q99" si="91">Q76-P96</f>
        <v>-1</v>
      </c>
      <c r="R96" s="219" t="str">
        <f t="shared" si="90"/>
        <v>Нетронин</v>
      </c>
      <c r="S96" s="76" t="s">
        <v>58</v>
      </c>
      <c r="T96" s="77" t="s">
        <v>59</v>
      </c>
      <c r="U96" s="73">
        <f t="shared" si="88"/>
        <v>0</v>
      </c>
      <c r="V96" s="62">
        <f t="shared" si="87"/>
        <v>0</v>
      </c>
      <c r="W96" s="62"/>
      <c r="X96" s="74" t="s">
        <v>34</v>
      </c>
      <c r="Y96" s="7"/>
      <c r="Z96" s="7"/>
      <c r="AA96" s="7"/>
      <c r="AB96" s="13"/>
      <c r="AC96" s="13"/>
      <c r="AD96" s="13"/>
    </row>
    <row r="97" ht="14.4">
      <c r="A97" s="203" t="s">
        <v>61</v>
      </c>
      <c r="B97" s="394"/>
      <c r="C97" s="394" t="s">
        <v>33</v>
      </c>
      <c r="D97" s="394"/>
      <c r="E97" s="394" t="s">
        <v>33</v>
      </c>
      <c r="F97" s="437"/>
      <c r="G97" s="438"/>
      <c r="H97" s="438"/>
      <c r="I97" s="438"/>
      <c r="J97" s="438"/>
      <c r="K97" s="438"/>
      <c r="L97" s="438"/>
      <c r="M97" s="438"/>
      <c r="N97" s="438"/>
      <c r="O97" s="439"/>
      <c r="P97" s="218">
        <f t="shared" si="89"/>
        <v>16</v>
      </c>
      <c r="Q97" s="62">
        <f t="shared" si="91"/>
        <v>0</v>
      </c>
      <c r="R97" s="219" t="str">
        <f t="shared" si="90"/>
        <v>Раимова</v>
      </c>
      <c r="S97" s="76" t="s">
        <v>10</v>
      </c>
      <c r="T97" s="77" t="s">
        <v>9</v>
      </c>
      <c r="U97" s="73">
        <f t="shared" si="88"/>
        <v>0</v>
      </c>
      <c r="V97" s="62">
        <f t="shared" si="87"/>
        <v>0</v>
      </c>
      <c r="W97" s="62"/>
      <c r="X97" s="74" t="s">
        <v>38</v>
      </c>
      <c r="Y97" s="7"/>
      <c r="Z97" s="7"/>
      <c r="AA97" s="7"/>
      <c r="AB97" s="13"/>
      <c r="AC97" s="13"/>
      <c r="AD97" s="13"/>
    </row>
    <row r="98" ht="14.4">
      <c r="A98" s="440" t="s">
        <v>62</v>
      </c>
      <c r="B98" s="2" t="s">
        <v>1</v>
      </c>
      <c r="C98" s="3">
        <v>8</v>
      </c>
      <c r="D98" s="2" t="s">
        <v>1</v>
      </c>
      <c r="E98" s="3">
        <v>8</v>
      </c>
      <c r="F98" s="2"/>
      <c r="G98" s="3"/>
      <c r="H98" s="2"/>
      <c r="I98" s="3"/>
      <c r="J98" s="2"/>
      <c r="K98" s="3"/>
      <c r="L98" s="2"/>
      <c r="M98" s="3"/>
      <c r="N98" s="2"/>
      <c r="O98" s="3"/>
      <c r="P98" s="253">
        <f t="shared" si="89"/>
        <v>16</v>
      </c>
      <c r="Q98" s="62">
        <f t="shared" si="91"/>
        <v>0</v>
      </c>
      <c r="R98" s="219" t="str">
        <f t="shared" si="90"/>
        <v>Войтехович</v>
      </c>
      <c r="S98" s="76" t="s">
        <v>10</v>
      </c>
      <c r="T98" s="77" t="s">
        <v>9</v>
      </c>
      <c r="U98" s="73">
        <f t="shared" si="88"/>
        <v>0</v>
      </c>
      <c r="V98" s="62">
        <f t="shared" si="87"/>
        <v>0</v>
      </c>
      <c r="W98" s="62"/>
      <c r="X98" s="74" t="s">
        <v>38</v>
      </c>
      <c r="Y98" s="7"/>
      <c r="Z98" s="7"/>
      <c r="AA98" s="7"/>
      <c r="AB98" s="13"/>
      <c r="AC98" s="13"/>
      <c r="AD98" s="13"/>
    </row>
    <row r="99" ht="14.4">
      <c r="A99" s="203" t="s">
        <v>63</v>
      </c>
      <c r="B99" s="448"/>
      <c r="C99" s="448" t="s">
        <v>33</v>
      </c>
      <c r="D99" s="448"/>
      <c r="E99" s="448" t="s">
        <v>33</v>
      </c>
      <c r="F99" s="328"/>
      <c r="G99" s="328"/>
      <c r="H99" s="328"/>
      <c r="I99" s="328"/>
      <c r="J99" s="328"/>
      <c r="K99" s="328"/>
      <c r="L99" s="328"/>
      <c r="M99" s="328"/>
      <c r="N99" s="328"/>
      <c r="O99" s="453"/>
      <c r="P99" s="218">
        <f t="shared" si="89"/>
        <v>16</v>
      </c>
      <c r="Q99" s="62">
        <f t="shared" si="91"/>
        <v>0</v>
      </c>
      <c r="R99" s="219" t="str">
        <f t="shared" si="90"/>
        <v>Васильев</v>
      </c>
      <c r="S99" s="71" t="s">
        <v>12</v>
      </c>
      <c r="T99" s="72" t="s">
        <v>11</v>
      </c>
      <c r="U99" s="73">
        <f t="shared" si="88"/>
        <v>0</v>
      </c>
      <c r="V99" s="62">
        <f t="shared" si="87"/>
        <v>0</v>
      </c>
      <c r="W99" s="62"/>
      <c r="X99" s="416" t="s">
        <v>44</v>
      </c>
      <c r="Y99" s="7"/>
      <c r="Z99" s="7"/>
      <c r="AA99" s="7"/>
      <c r="AB99" s="13"/>
      <c r="AC99" s="13"/>
      <c r="AD99" s="13"/>
    </row>
    <row r="100" ht="14.4">
      <c r="A100" s="205" t="s">
        <v>43</v>
      </c>
      <c r="B100" s="328"/>
      <c r="C100" s="328"/>
      <c r="D100" s="434"/>
      <c r="E100" s="434"/>
      <c r="F100" s="418"/>
      <c r="G100" s="418"/>
      <c r="H100" s="328"/>
      <c r="I100" s="328"/>
      <c r="J100" s="328"/>
      <c r="K100" s="328"/>
      <c r="L100" s="328"/>
      <c r="M100" s="328"/>
      <c r="N100" s="328"/>
      <c r="O100" s="421"/>
      <c r="P100" s="218">
        <f t="shared" ref="P100:P107" si="92">C100+E100+G100+I100+K100+M100+O100</f>
        <v>0</v>
      </c>
      <c r="Q100" s="62">
        <f t="shared" ref="Q100:Q107" si="93">Q80-P100</f>
        <v>13</v>
      </c>
      <c r="R100" s="219" t="str">
        <f t="shared" ref="R100:R107" si="94">A100</f>
        <v>Дащенко</v>
      </c>
      <c r="S100" s="76" t="s">
        <v>10</v>
      </c>
      <c r="T100" s="77" t="s">
        <v>9</v>
      </c>
      <c r="U100" s="73">
        <f>COUNTIF(T100,B100)+COUNTIF(T100,D100)+COUNTIF(T100,F100)+COUNTIF(T100,H100)+COUNTIF(T100,J100)+COUNTIF(T100,L100)+COUNTIF(T100,N100)</f>
        <v>0</v>
      </c>
      <c r="V100" s="62">
        <f t="shared" ref="V100:V106" si="95">COUNTIF(S100,B100)+COUNTIF(S100,D100)+COUNTIF(S100,F100)+COUNTIF(S100,H100)+COUNTIF(S100,J100)+COUNTIF(S100,L100)+COUNTIF(S100,N100)</f>
        <v>0</v>
      </c>
      <c r="W100" s="62"/>
      <c r="X100" s="74" t="s">
        <v>34</v>
      </c>
      <c r="Y100" s="7"/>
      <c r="Z100" s="7"/>
      <c r="AA100" s="7"/>
      <c r="AB100" s="13"/>
      <c r="AC100" s="13"/>
      <c r="AD100" s="13"/>
    </row>
    <row r="101" ht="14.4">
      <c r="A101" s="205" t="s">
        <v>45</v>
      </c>
      <c r="B101" s="328"/>
      <c r="C101" s="421"/>
      <c r="D101" s="77"/>
      <c r="E101" s="329">
        <v>11</v>
      </c>
      <c r="F101" s="77"/>
      <c r="G101" s="329"/>
      <c r="H101" s="328"/>
      <c r="I101" s="328"/>
      <c r="J101" s="328"/>
      <c r="K101" s="328"/>
      <c r="L101" s="328"/>
      <c r="M101" s="328"/>
      <c r="N101" s="328"/>
      <c r="O101" s="421"/>
      <c r="P101" s="218">
        <f t="shared" si="92"/>
        <v>11</v>
      </c>
      <c r="Q101" s="62">
        <f t="shared" si="93"/>
        <v>13</v>
      </c>
      <c r="R101" s="219" t="str">
        <f t="shared" si="94"/>
        <v>Пузырь</v>
      </c>
      <c r="S101" s="76" t="s">
        <v>10</v>
      </c>
      <c r="T101" s="77" t="s">
        <v>9</v>
      </c>
      <c r="U101" s="73">
        <v>1</v>
      </c>
      <c r="V101" s="62">
        <f t="shared" si="95"/>
        <v>0</v>
      </c>
      <c r="W101" s="62"/>
      <c r="X101" s="74" t="s">
        <v>34</v>
      </c>
      <c r="Y101" s="7"/>
      <c r="Z101" s="7"/>
      <c r="AA101" s="7"/>
      <c r="AB101" s="13"/>
      <c r="AC101" s="13"/>
      <c r="AD101" s="13"/>
    </row>
    <row r="102" ht="14.4">
      <c r="A102" s="205" t="s">
        <v>64</v>
      </c>
      <c r="B102" s="418"/>
      <c r="C102" s="418"/>
      <c r="D102" s="328"/>
      <c r="E102" s="328"/>
      <c r="F102" s="328"/>
      <c r="G102" s="328"/>
      <c r="H102" s="328"/>
      <c r="I102" s="328"/>
      <c r="J102" s="328"/>
      <c r="K102" s="328"/>
      <c r="L102" s="328"/>
      <c r="M102" s="328"/>
      <c r="N102" s="328"/>
      <c r="O102" s="421"/>
      <c r="P102" s="218">
        <f t="shared" si="92"/>
        <v>0</v>
      </c>
      <c r="Q102" s="62">
        <f t="shared" si="93"/>
        <v>13</v>
      </c>
      <c r="R102" s="219" t="str">
        <f t="shared" si="94"/>
        <v>Рожнева</v>
      </c>
      <c r="S102" s="76" t="s">
        <v>10</v>
      </c>
      <c r="T102" s="77" t="s">
        <v>9</v>
      </c>
      <c r="U102" s="73">
        <f>COUNTIF(T102,B102)+COUNTIF(T102,D102)+COUNTIF(T102,F102)+COUNTIF(T102,H102)+COUNTIF(T102,J102)+COUNTIF(T102,L102)+COUNTIF(T102,N102)</f>
        <v>0</v>
      </c>
      <c r="V102" s="62">
        <f t="shared" si="95"/>
        <v>0</v>
      </c>
      <c r="W102" s="62"/>
      <c r="X102" s="74" t="s">
        <v>34</v>
      </c>
      <c r="Y102" s="7"/>
      <c r="Z102" s="7"/>
      <c r="AA102" s="7"/>
      <c r="AB102" s="13"/>
      <c r="AC102" s="13"/>
      <c r="AD102" s="13"/>
    </row>
    <row r="103" ht="14.4">
      <c r="A103" s="205" t="s">
        <v>47</v>
      </c>
      <c r="B103" s="77"/>
      <c r="C103" s="329">
        <v>11</v>
      </c>
      <c r="D103" s="328"/>
      <c r="E103" s="328"/>
      <c r="F103" s="328"/>
      <c r="G103" s="328"/>
      <c r="H103" s="328"/>
      <c r="I103" s="328"/>
      <c r="J103" s="328"/>
      <c r="K103" s="328"/>
      <c r="L103" s="328"/>
      <c r="M103" s="328"/>
      <c r="N103" s="328"/>
      <c r="O103" s="421"/>
      <c r="P103" s="218">
        <f t="shared" si="92"/>
        <v>11</v>
      </c>
      <c r="Q103" s="62">
        <f t="shared" si="93"/>
        <v>10</v>
      </c>
      <c r="R103" s="219" t="str">
        <f t="shared" si="94"/>
        <v>Торубара</v>
      </c>
      <c r="S103" s="76" t="s">
        <v>10</v>
      </c>
      <c r="T103" s="77" t="s">
        <v>9</v>
      </c>
      <c r="U103" s="73">
        <v>1</v>
      </c>
      <c r="V103" s="62">
        <f t="shared" si="95"/>
        <v>0</v>
      </c>
      <c r="W103" s="62"/>
      <c r="X103" s="74" t="s">
        <v>34</v>
      </c>
      <c r="Y103" s="7"/>
      <c r="Z103" s="7"/>
      <c r="AA103" s="7"/>
      <c r="AB103" s="13"/>
      <c r="AC103" s="13"/>
      <c r="AD103" s="13"/>
    </row>
    <row r="104" ht="14.4">
      <c r="A104" s="205" t="s">
        <v>48</v>
      </c>
      <c r="B104" s="434"/>
      <c r="C104" s="434"/>
      <c r="D104" s="418"/>
      <c r="E104" s="418"/>
      <c r="F104" s="328"/>
      <c r="G104" s="328"/>
      <c r="H104" s="328"/>
      <c r="I104" s="328"/>
      <c r="J104" s="328"/>
      <c r="K104" s="328"/>
      <c r="L104" s="328"/>
      <c r="M104" s="328"/>
      <c r="N104" s="328"/>
      <c r="O104" s="421"/>
      <c r="P104" s="218">
        <f t="shared" si="92"/>
        <v>0</v>
      </c>
      <c r="Q104" s="62">
        <f t="shared" si="93"/>
        <v>13</v>
      </c>
      <c r="R104" s="219" t="str">
        <f t="shared" si="94"/>
        <v>Стрыгин</v>
      </c>
      <c r="S104" s="71" t="s">
        <v>8</v>
      </c>
      <c r="T104" s="72" t="s">
        <v>7</v>
      </c>
      <c r="U104" s="73">
        <f t="shared" ref="U104:U107" si="96">COUNTIF(T104,B104)+COUNTIF(T104,D104)+COUNTIF(T104,F104)+COUNTIF(T104,H104)+COUNTIF(T104,J104)+COUNTIF(T104,L104)+COUNTIF(T104,N104)</f>
        <v>0</v>
      </c>
      <c r="V104" s="62">
        <f t="shared" si="95"/>
        <v>0</v>
      </c>
      <c r="W104" s="62"/>
      <c r="X104" s="74" t="s">
        <v>49</v>
      </c>
      <c r="Y104" s="7"/>
      <c r="Z104" s="7"/>
      <c r="AA104" s="7"/>
      <c r="AB104" s="13"/>
      <c r="AC104" s="13"/>
      <c r="AD104" s="13"/>
    </row>
    <row r="105" ht="14.4">
      <c r="A105" s="205" t="s">
        <v>50</v>
      </c>
      <c r="B105" s="76"/>
      <c r="C105" s="324">
        <v>11</v>
      </c>
      <c r="D105" s="76"/>
      <c r="E105" s="324">
        <v>11</v>
      </c>
      <c r="F105" s="328"/>
      <c r="G105" s="328"/>
      <c r="H105" s="328"/>
      <c r="I105" s="328"/>
      <c r="J105" s="328"/>
      <c r="K105" s="328"/>
      <c r="L105" s="328"/>
      <c r="M105" s="328"/>
      <c r="N105" s="328"/>
      <c r="O105" s="421"/>
      <c r="P105" s="218">
        <f t="shared" si="92"/>
        <v>22</v>
      </c>
      <c r="Q105" s="62">
        <f t="shared" si="93"/>
        <v>3</v>
      </c>
      <c r="R105" s="219" t="str">
        <f t="shared" si="94"/>
        <v>Фрик</v>
      </c>
      <c r="S105" s="71" t="s">
        <v>12</v>
      </c>
      <c r="T105" s="72" t="s">
        <v>11</v>
      </c>
      <c r="U105" s="73">
        <f t="shared" si="96"/>
        <v>0</v>
      </c>
      <c r="V105" s="62">
        <v>2</v>
      </c>
      <c r="W105" s="62"/>
      <c r="X105" s="74" t="s">
        <v>44</v>
      </c>
      <c r="Y105" s="7"/>
      <c r="Z105" s="7"/>
      <c r="AA105" s="7"/>
      <c r="AB105" s="13"/>
      <c r="AC105" s="13"/>
      <c r="AD105" s="13"/>
    </row>
    <row r="106" ht="14.4">
      <c r="A106" s="206" t="s">
        <v>51</v>
      </c>
      <c r="B106" s="434"/>
      <c r="C106" s="434"/>
      <c r="D106" s="434"/>
      <c r="E106" s="434"/>
      <c r="F106" s="328"/>
      <c r="G106" s="328"/>
      <c r="H106" s="328"/>
      <c r="I106" s="328"/>
      <c r="J106" s="328"/>
      <c r="K106" s="328"/>
      <c r="L106" s="328"/>
      <c r="M106" s="328"/>
      <c r="N106" s="328"/>
      <c r="O106" s="421"/>
      <c r="P106" s="218">
        <f t="shared" si="92"/>
        <v>0</v>
      </c>
      <c r="Q106" s="62">
        <f t="shared" si="93"/>
        <v>2</v>
      </c>
      <c r="R106" s="219" t="str">
        <f t="shared" si="94"/>
        <v>Истрашкин</v>
      </c>
      <c r="S106" s="71" t="s">
        <v>10</v>
      </c>
      <c r="T106" s="72" t="s">
        <v>9</v>
      </c>
      <c r="U106" s="73">
        <f t="shared" si="96"/>
        <v>0</v>
      </c>
      <c r="V106" s="62">
        <f t="shared" si="95"/>
        <v>0</v>
      </c>
      <c r="W106" s="62"/>
      <c r="X106" s="74" t="s">
        <v>34</v>
      </c>
      <c r="Y106" s="7"/>
      <c r="Z106" s="7"/>
      <c r="AA106" s="7"/>
      <c r="AB106" s="13"/>
      <c r="AC106" s="13"/>
      <c r="AD106" s="13"/>
    </row>
    <row r="107" ht="14.4">
      <c r="A107" s="369" t="s">
        <v>65</v>
      </c>
      <c r="B107" s="76"/>
      <c r="C107" s="324">
        <v>11</v>
      </c>
      <c r="D107" s="76"/>
      <c r="E107" s="324">
        <v>11</v>
      </c>
      <c r="F107" s="417"/>
      <c r="G107" s="418"/>
      <c r="H107" s="418"/>
      <c r="I107" s="418"/>
      <c r="J107" s="418"/>
      <c r="K107" s="418"/>
      <c r="L107" s="418"/>
      <c r="M107" s="418"/>
      <c r="N107" s="418"/>
      <c r="O107" s="419"/>
      <c r="P107" s="333">
        <f t="shared" si="92"/>
        <v>22</v>
      </c>
      <c r="Q107" s="390">
        <f t="shared" si="93"/>
        <v>-9</v>
      </c>
      <c r="R107" s="219" t="str">
        <f t="shared" si="94"/>
        <v>Качаев</v>
      </c>
      <c r="S107" s="71" t="s">
        <v>10</v>
      </c>
      <c r="T107" s="72" t="s">
        <v>9</v>
      </c>
      <c r="U107" s="73">
        <f t="shared" si="96"/>
        <v>0</v>
      </c>
      <c r="V107" s="62">
        <v>2</v>
      </c>
      <c r="W107" s="62"/>
      <c r="X107" s="299" t="s">
        <v>34</v>
      </c>
      <c r="Y107" s="7"/>
      <c r="Z107" s="7"/>
      <c r="AA107" s="7"/>
      <c r="AB107" s="13"/>
      <c r="AC107" s="13"/>
      <c r="AD107" s="13"/>
    </row>
    <row r="108" ht="14.4">
      <c r="A108" s="92"/>
      <c r="B108" s="53">
        <v>46202</v>
      </c>
      <c r="C108" s="53"/>
      <c r="D108" s="53">
        <v>46203</v>
      </c>
      <c r="E108" s="53"/>
      <c r="F108" s="53">
        <v>46204</v>
      </c>
      <c r="G108" s="53"/>
      <c r="H108" s="53">
        <v>46205</v>
      </c>
      <c r="I108" s="53"/>
      <c r="J108" s="53">
        <v>46206</v>
      </c>
      <c r="K108" s="53"/>
      <c r="L108" s="53">
        <v>46207</v>
      </c>
      <c r="M108" s="53"/>
      <c r="N108" s="53">
        <v>46208</v>
      </c>
      <c r="O108" s="54"/>
      <c r="P108" s="68"/>
      <c r="Q108" s="67"/>
      <c r="R108" s="391"/>
      <c r="S108" s="138"/>
      <c r="T108" s="138"/>
      <c r="U108" s="60" t="s">
        <v>27</v>
      </c>
      <c r="V108" s="61" t="s">
        <v>28</v>
      </c>
      <c r="W108" s="62" t="s">
        <v>29</v>
      </c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21"/>
      <c r="Y644" s="7"/>
      <c r="Z644" s="7"/>
      <c r="AA644" s="7"/>
      <c r="AB644" s="13"/>
      <c r="AC644" s="13"/>
      <c r="AD644" s="13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54"/>
      <c r="R645" s="21"/>
      <c r="S645" s="21"/>
      <c r="T645" s="21"/>
      <c r="U645" s="154"/>
      <c r="V645" s="154"/>
      <c r="W645" s="154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54"/>
      <c r="R646" s="21"/>
      <c r="S646" s="21"/>
      <c r="T646" s="21"/>
      <c r="U646" s="154"/>
      <c r="V646" s="154"/>
      <c r="W646" s="154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54"/>
      <c r="R647" s="21"/>
      <c r="S647" s="21"/>
      <c r="T647" s="21"/>
      <c r="U647" s="154"/>
      <c r="V647" s="154"/>
      <c r="W647" s="154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54"/>
      <c r="R648" s="21"/>
      <c r="S648" s="21"/>
      <c r="T648" s="21"/>
      <c r="U648" s="154"/>
      <c r="V648" s="154"/>
      <c r="W648" s="154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54"/>
      <c r="R649" s="21"/>
      <c r="S649" s="21"/>
      <c r="T649" s="21"/>
      <c r="U649" s="154"/>
      <c r="V649" s="154"/>
      <c r="W649" s="154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54"/>
      <c r="R650" s="21"/>
      <c r="S650" s="21"/>
      <c r="T650" s="21"/>
      <c r="U650" s="154"/>
      <c r="V650" s="154"/>
      <c r="W650" s="154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54"/>
      <c r="R651" s="21"/>
      <c r="S651" s="21"/>
      <c r="T651" s="21"/>
      <c r="U651" s="154"/>
      <c r="V651" s="154"/>
      <c r="W651" s="154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54"/>
      <c r="R652" s="21"/>
      <c r="S652" s="21"/>
      <c r="T652" s="21"/>
      <c r="U652" s="154"/>
      <c r="V652" s="154"/>
      <c r="W652" s="154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54"/>
      <c r="R653" s="21"/>
      <c r="S653" s="21"/>
      <c r="T653" s="21"/>
      <c r="U653" s="154"/>
      <c r="V653" s="154"/>
      <c r="W653" s="154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54"/>
      <c r="R654" s="21"/>
      <c r="S654" s="21"/>
      <c r="T654" s="21"/>
      <c r="U654" s="154"/>
      <c r="V654" s="154"/>
      <c r="W654" s="154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54"/>
      <c r="R655" s="21"/>
      <c r="S655" s="21"/>
      <c r="T655" s="21"/>
      <c r="U655" s="154"/>
      <c r="V655" s="154"/>
      <c r="W655" s="154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54"/>
      <c r="R656" s="21"/>
      <c r="S656" s="21"/>
      <c r="T656" s="21"/>
      <c r="U656" s="154"/>
      <c r="V656" s="154"/>
      <c r="W656" s="154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54"/>
      <c r="R657" s="21"/>
      <c r="S657" s="21"/>
      <c r="T657" s="21"/>
      <c r="U657" s="154"/>
      <c r="V657" s="154"/>
      <c r="W657" s="154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54"/>
      <c r="R658" s="21"/>
      <c r="S658" s="21"/>
      <c r="T658" s="21"/>
      <c r="U658" s="154"/>
      <c r="V658" s="154"/>
      <c r="W658" s="154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54"/>
      <c r="R659" s="21"/>
      <c r="S659" s="21"/>
      <c r="T659" s="21"/>
      <c r="U659" s="154"/>
      <c r="V659" s="154"/>
      <c r="W659" s="154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54"/>
      <c r="R660" s="21"/>
      <c r="S660" s="21"/>
      <c r="T660" s="21"/>
      <c r="U660" s="154"/>
      <c r="V660" s="154"/>
      <c r="W660" s="154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54"/>
      <c r="R661" s="21"/>
      <c r="S661" s="21"/>
      <c r="T661" s="21"/>
      <c r="U661" s="154"/>
      <c r="V661" s="154"/>
      <c r="W661" s="154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54"/>
      <c r="R662" s="21"/>
      <c r="S662" s="21"/>
      <c r="T662" s="21"/>
      <c r="U662" s="154"/>
      <c r="V662" s="154"/>
      <c r="W662" s="154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54"/>
      <c r="R663" s="21"/>
      <c r="S663" s="21"/>
      <c r="T663" s="21"/>
      <c r="U663" s="154"/>
      <c r="V663" s="154"/>
      <c r="W663" s="154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54"/>
      <c r="R664" s="21"/>
      <c r="S664" s="21"/>
      <c r="T664" s="21"/>
      <c r="U664" s="154"/>
      <c r="V664" s="154"/>
      <c r="W664" s="154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54"/>
      <c r="R665" s="21"/>
      <c r="S665" s="21"/>
      <c r="T665" s="21"/>
      <c r="U665" s="154"/>
      <c r="V665" s="154"/>
      <c r="W665" s="154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9:Q29"/>
    <mergeCell ref="P30:Q30"/>
    <mergeCell ref="A49:Q49"/>
    <mergeCell ref="P50:Q50"/>
    <mergeCell ref="P70:Q70"/>
    <mergeCell ref="P90:Q9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2" zoomScale="100" workbookViewId="0">
      <selection activeCell="N92" activeCellId="0" sqref="N92"/>
    </sheetView>
  </sheetViews>
  <sheetFormatPr defaultRowHeight="13.5"/>
  <cols>
    <col customWidth="1" min="1" max="1" width="14"/>
    <col customWidth="1" min="2" max="2" width="12.5546875"/>
    <col customWidth="1" min="3" max="3" width="6"/>
    <col customWidth="1" min="4" max="4" width="10.5546875"/>
    <col customWidth="1" min="5" max="5" width="6"/>
    <col customWidth="1" min="6" max="6" width="10.33203125"/>
    <col customWidth="1" min="7" max="7" width="6"/>
    <col customWidth="1" min="8" max="8" width="11.44140625"/>
    <col customWidth="1" min="9" max="9" width="6"/>
    <col customWidth="1" min="10" max="10" width="11.5546875"/>
    <col customWidth="1" min="11" max="11" width="6"/>
    <col customWidth="1" min="12" max="12" width="11.109375"/>
    <col customWidth="1" min="13" max="13" width="6"/>
    <col customWidth="1" min="14" max="14" width="10.5546875"/>
    <col customWidth="1" min="15" max="16" width="6"/>
    <col customWidth="1" min="17" max="17" width="7.88671875"/>
    <col customWidth="1" min="18" max="18" width="13.332031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s="21" customFormat="1" ht="14.25">
      <c r="A10" s="143"/>
      <c r="B10" s="454" t="s">
        <v>17</v>
      </c>
      <c r="C10" s="455"/>
      <c r="D10" s="454" t="s">
        <v>18</v>
      </c>
      <c r="E10" s="455"/>
      <c r="F10" s="454" t="s">
        <v>19</v>
      </c>
      <c r="G10" s="454"/>
      <c r="H10" s="454" t="s">
        <v>20</v>
      </c>
      <c r="I10" s="455"/>
      <c r="J10" s="456" t="s">
        <v>21</v>
      </c>
      <c r="K10" s="456"/>
      <c r="L10" s="454" t="s">
        <v>22</v>
      </c>
      <c r="M10" s="454"/>
      <c r="N10" s="454" t="s">
        <v>23</v>
      </c>
      <c r="O10" s="454"/>
      <c r="P10" s="208" t="s">
        <v>24</v>
      </c>
      <c r="Q10" s="209"/>
      <c r="R10" s="143">
        <v>151</v>
      </c>
      <c r="S10" s="143"/>
      <c r="T10" s="143"/>
      <c r="U10" s="286">
        <v>151</v>
      </c>
      <c r="V10" s="90"/>
      <c r="W10" s="62"/>
      <c r="X10" s="51"/>
      <c r="Y10" s="7"/>
      <c r="Z10" s="7"/>
      <c r="AA10" s="7"/>
      <c r="AB10" s="13"/>
      <c r="AC10" s="13"/>
      <c r="AD10" s="13"/>
    </row>
    <row r="11" s="21" customFormat="1" ht="14.25">
      <c r="A11" s="248"/>
      <c r="B11" s="457">
        <v>46139</v>
      </c>
      <c r="C11" s="457"/>
      <c r="D11" s="457">
        <v>46140</v>
      </c>
      <c r="E11" s="457"/>
      <c r="F11" s="457">
        <v>46141</v>
      </c>
      <c r="G11" s="457"/>
      <c r="H11" s="457">
        <v>46142</v>
      </c>
      <c r="I11" s="457"/>
      <c r="J11" s="458">
        <v>46143</v>
      </c>
      <c r="K11" s="458"/>
      <c r="L11" s="458">
        <v>46144</v>
      </c>
      <c r="M11" s="458"/>
      <c r="N11" s="457">
        <v>46145</v>
      </c>
      <c r="O11" s="459"/>
      <c r="P11" s="309" t="s">
        <v>25</v>
      </c>
      <c r="Q11" s="214" t="s">
        <v>26</v>
      </c>
      <c r="R11" s="249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203" t="s">
        <v>35</v>
      </c>
      <c r="B12" s="319"/>
      <c r="C12" s="319"/>
      <c r="D12" s="319"/>
      <c r="E12" s="319"/>
      <c r="F12" s="319"/>
      <c r="G12" s="319"/>
      <c r="H12" s="319"/>
      <c r="I12" s="319"/>
      <c r="J12" s="460"/>
      <c r="K12" s="460"/>
      <c r="L12" s="66"/>
      <c r="M12" s="66"/>
      <c r="N12" s="66"/>
      <c r="O12" s="66"/>
      <c r="P12" s="218">
        <f t="shared" ref="P12:P75" si="97">C12+E12+G12+I12+K12+M12+O12</f>
        <v>0</v>
      </c>
      <c r="Q12" s="62">
        <f>R10-P12</f>
        <v>151</v>
      </c>
      <c r="R12" s="219" t="str">
        <f t="shared" ref="R12:R75" si="98">A12</f>
        <v>Рычков</v>
      </c>
      <c r="S12" s="76" t="s">
        <v>10</v>
      </c>
      <c r="T12" s="77" t="s">
        <v>9</v>
      </c>
      <c r="U12" s="73">
        <f t="shared" ref="U12:U61" si="99">COUNTIF(T12,B12)+COUNTIF(T12,D12)+COUNTIF(T12,F12)+COUNTIF(T12,H12)+COUNTIF(T12,J12)+COUNTIF(T12,L12)+COUNTIF(T12,N12)</f>
        <v>0</v>
      </c>
      <c r="V12" s="62">
        <f t="shared" ref="V12:V61" si="100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s="21" customFormat="1" ht="14.25">
      <c r="A13" s="203" t="s">
        <v>66</v>
      </c>
      <c r="B13" s="319"/>
      <c r="C13" s="319"/>
      <c r="D13" s="319"/>
      <c r="E13" s="319"/>
      <c r="F13" s="319"/>
      <c r="G13" s="319"/>
      <c r="H13" s="319"/>
      <c r="I13" s="319"/>
      <c r="J13" s="460"/>
      <c r="K13" s="460"/>
      <c r="L13" s="66"/>
      <c r="M13" s="66"/>
      <c r="N13" s="67"/>
      <c r="O13" s="67"/>
      <c r="P13" s="218">
        <f t="shared" si="97"/>
        <v>0</v>
      </c>
      <c r="Q13" s="62">
        <f>R10-P13</f>
        <v>151</v>
      </c>
      <c r="R13" s="219" t="str">
        <f t="shared" si="98"/>
        <v>Карузина</v>
      </c>
      <c r="S13" s="76" t="s">
        <v>10</v>
      </c>
      <c r="T13" s="77" t="s">
        <v>9</v>
      </c>
      <c r="U13" s="73">
        <f t="shared" si="99"/>
        <v>0</v>
      </c>
      <c r="V13" s="62">
        <f t="shared" si="100"/>
        <v>0</v>
      </c>
      <c r="W13" s="62"/>
      <c r="X13" s="79" t="s">
        <v>34</v>
      </c>
      <c r="Y13" s="7"/>
      <c r="Z13" s="7"/>
      <c r="AA13" s="7"/>
      <c r="AB13" s="13"/>
      <c r="AC13" s="13"/>
      <c r="AD13" s="13"/>
    </row>
    <row r="14" s="21" customFormat="1" ht="14.25">
      <c r="A14" s="203" t="s">
        <v>39</v>
      </c>
      <c r="B14" s="319"/>
      <c r="C14" s="319"/>
      <c r="D14" s="319"/>
      <c r="E14" s="319"/>
      <c r="F14" s="319"/>
      <c r="G14" s="319"/>
      <c r="H14" s="319"/>
      <c r="I14" s="319"/>
      <c r="J14" s="460"/>
      <c r="K14" s="460"/>
      <c r="L14" s="66"/>
      <c r="M14" s="66"/>
      <c r="N14" s="66"/>
      <c r="O14" s="66"/>
      <c r="P14" s="218">
        <f t="shared" si="97"/>
        <v>0</v>
      </c>
      <c r="Q14" s="62">
        <f>R10-P14</f>
        <v>151</v>
      </c>
      <c r="R14" s="219" t="str">
        <f t="shared" si="98"/>
        <v>Игумнов</v>
      </c>
      <c r="S14" s="76" t="s">
        <v>10</v>
      </c>
      <c r="T14" s="77" t="s">
        <v>9</v>
      </c>
      <c r="U14" s="73">
        <f t="shared" si="99"/>
        <v>0</v>
      </c>
      <c r="V14" s="62">
        <f t="shared" si="100"/>
        <v>0</v>
      </c>
      <c r="W14" s="62"/>
      <c r="X14" s="74" t="s">
        <v>38</v>
      </c>
      <c r="Y14" s="7"/>
      <c r="Z14" s="7"/>
      <c r="AA14" s="7"/>
      <c r="AB14" s="13"/>
      <c r="AC14" s="13"/>
      <c r="AD14" s="13"/>
    </row>
    <row r="15" s="21" customFormat="1" ht="14.25">
      <c r="A15" s="203" t="s">
        <v>40</v>
      </c>
      <c r="B15" s="319"/>
      <c r="C15" s="319"/>
      <c r="D15" s="319"/>
      <c r="E15" s="319"/>
      <c r="F15" s="319"/>
      <c r="G15" s="319"/>
      <c r="H15" s="319"/>
      <c r="I15" s="319"/>
      <c r="J15" s="460"/>
      <c r="K15" s="460"/>
      <c r="L15" s="66"/>
      <c r="M15" s="66"/>
      <c r="N15" s="66"/>
      <c r="O15" s="66"/>
      <c r="P15" s="218">
        <f t="shared" si="97"/>
        <v>0</v>
      </c>
      <c r="Q15" s="62">
        <f>R10-P15</f>
        <v>151</v>
      </c>
      <c r="R15" s="219" t="str">
        <f t="shared" si="98"/>
        <v>Душин</v>
      </c>
      <c r="S15" s="76" t="s">
        <v>58</v>
      </c>
      <c r="T15" s="77" t="s">
        <v>59</v>
      </c>
      <c r="U15" s="73">
        <f t="shared" si="99"/>
        <v>0</v>
      </c>
      <c r="V15" s="62">
        <f t="shared" si="100"/>
        <v>0</v>
      </c>
      <c r="W15" s="62"/>
      <c r="X15" s="74" t="s">
        <v>34</v>
      </c>
      <c r="Y15" s="7"/>
      <c r="Z15" s="7"/>
      <c r="AA15" s="7"/>
      <c r="AB15" s="13"/>
      <c r="AC15" s="13"/>
      <c r="AD15" s="13"/>
    </row>
    <row r="16" s="21" customFormat="1" ht="14.25">
      <c r="A16" s="203" t="s">
        <v>31</v>
      </c>
      <c r="B16" s="319"/>
      <c r="C16" s="319"/>
      <c r="D16" s="319"/>
      <c r="E16" s="319"/>
      <c r="F16" s="319"/>
      <c r="G16" s="319"/>
      <c r="H16" s="319"/>
      <c r="I16" s="319"/>
      <c r="J16" s="460"/>
      <c r="K16" s="460"/>
      <c r="L16" s="66"/>
      <c r="M16" s="66"/>
      <c r="N16" s="66"/>
      <c r="O16" s="66"/>
      <c r="P16" s="218">
        <f t="shared" si="97"/>
        <v>0</v>
      </c>
      <c r="Q16" s="62">
        <f>R10-P16</f>
        <v>151</v>
      </c>
      <c r="R16" s="219" t="str">
        <f t="shared" si="98"/>
        <v>Нетронин</v>
      </c>
      <c r="S16" s="76" t="s">
        <v>58</v>
      </c>
      <c r="T16" s="77" t="s">
        <v>59</v>
      </c>
      <c r="U16" s="73">
        <f t="shared" si="99"/>
        <v>0</v>
      </c>
      <c r="V16" s="62">
        <f t="shared" si="100"/>
        <v>0</v>
      </c>
      <c r="W16" s="62"/>
      <c r="X16" s="74" t="s">
        <v>34</v>
      </c>
      <c r="Y16" s="7"/>
      <c r="Z16" s="7"/>
      <c r="AA16" s="7"/>
      <c r="AB16" s="13"/>
      <c r="AC16" s="13"/>
      <c r="AD16" s="13"/>
    </row>
    <row r="17" s="21" customFormat="1" ht="14.25">
      <c r="A17" s="203" t="s">
        <v>61</v>
      </c>
      <c r="B17" s="319"/>
      <c r="C17" s="319"/>
      <c r="D17" s="319"/>
      <c r="E17" s="319"/>
      <c r="F17" s="319"/>
      <c r="G17" s="319"/>
      <c r="H17" s="319"/>
      <c r="I17" s="319"/>
      <c r="J17" s="460"/>
      <c r="K17" s="460"/>
      <c r="L17" s="66"/>
      <c r="M17" s="66"/>
      <c r="N17" s="66"/>
      <c r="O17" s="66"/>
      <c r="P17" s="285">
        <f t="shared" si="97"/>
        <v>0</v>
      </c>
      <c r="Q17" s="62">
        <f>R10-P17</f>
        <v>151</v>
      </c>
      <c r="R17" s="461" t="str">
        <f t="shared" si="98"/>
        <v>Раимова</v>
      </c>
      <c r="S17" s="76" t="s">
        <v>10</v>
      </c>
      <c r="T17" s="77" t="s">
        <v>9</v>
      </c>
      <c r="U17" s="90">
        <f t="shared" si="99"/>
        <v>0</v>
      </c>
      <c r="V17" s="62">
        <f t="shared" si="100"/>
        <v>0</v>
      </c>
      <c r="W17" s="62"/>
      <c r="X17" s="74" t="s">
        <v>38</v>
      </c>
      <c r="Y17" s="7"/>
      <c r="Z17" s="7"/>
      <c r="AA17" s="7"/>
      <c r="AB17" s="13"/>
      <c r="AC17" s="13"/>
      <c r="AD17" s="13"/>
    </row>
    <row r="18" s="21" customFormat="1" ht="14.25">
      <c r="A18" s="203" t="s">
        <v>62</v>
      </c>
      <c r="B18" s="319"/>
      <c r="C18" s="319"/>
      <c r="D18" s="319"/>
      <c r="E18" s="319"/>
      <c r="F18" s="319"/>
      <c r="G18" s="319"/>
      <c r="H18" s="319"/>
      <c r="I18" s="319"/>
      <c r="J18" s="460"/>
      <c r="K18" s="460"/>
      <c r="L18" s="66"/>
      <c r="M18" s="66"/>
      <c r="N18" s="66"/>
      <c r="O18" s="66"/>
      <c r="P18" s="218">
        <f t="shared" si="97"/>
        <v>0</v>
      </c>
      <c r="Q18" s="62">
        <f>R10-P18</f>
        <v>151</v>
      </c>
      <c r="R18" s="219" t="str">
        <f t="shared" si="98"/>
        <v>Войтехович</v>
      </c>
      <c r="S18" s="76" t="s">
        <v>10</v>
      </c>
      <c r="T18" s="77" t="s">
        <v>9</v>
      </c>
      <c r="U18" s="73">
        <f t="shared" si="99"/>
        <v>0</v>
      </c>
      <c r="V18" s="62">
        <f t="shared" si="100"/>
        <v>0</v>
      </c>
      <c r="W18" s="62"/>
      <c r="X18" s="74" t="s">
        <v>34</v>
      </c>
      <c r="Y18" s="7"/>
      <c r="Z18" s="7"/>
      <c r="AA18" s="7"/>
      <c r="AB18" s="13"/>
      <c r="AC18" s="13"/>
      <c r="AD18" s="13"/>
    </row>
    <row r="19" s="21" customFormat="1" ht="14.25">
      <c r="A19" s="203" t="s">
        <v>63</v>
      </c>
      <c r="B19" s="394"/>
      <c r="C19" s="394"/>
      <c r="D19" s="394"/>
      <c r="E19" s="394"/>
      <c r="F19" s="394"/>
      <c r="G19" s="394"/>
      <c r="H19" s="319"/>
      <c r="I19" s="319"/>
      <c r="J19" s="460"/>
      <c r="K19" s="460"/>
      <c r="L19" s="325"/>
      <c r="M19" s="325"/>
      <c r="N19" s="325"/>
      <c r="O19" s="325"/>
      <c r="P19" s="218">
        <f t="shared" si="97"/>
        <v>0</v>
      </c>
      <c r="Q19" s="62">
        <f>R10-P19</f>
        <v>151</v>
      </c>
      <c r="R19" s="219" t="str">
        <f t="shared" si="98"/>
        <v>Васильев</v>
      </c>
      <c r="S19" s="71" t="s">
        <v>12</v>
      </c>
      <c r="T19" s="72" t="s">
        <v>11</v>
      </c>
      <c r="U19" s="73">
        <f t="shared" si="99"/>
        <v>0</v>
      </c>
      <c r="V19" s="62">
        <f t="shared" si="100"/>
        <v>0</v>
      </c>
      <c r="W19" s="62"/>
      <c r="X19" s="74" t="s">
        <v>38</v>
      </c>
      <c r="Y19" s="7"/>
      <c r="Z19" s="7"/>
      <c r="AA19" s="7"/>
      <c r="AB19" s="13"/>
      <c r="AC19" s="13"/>
      <c r="AD19" s="13"/>
    </row>
    <row r="20" s="21" customFormat="1" ht="14.25">
      <c r="A20" s="361" t="s">
        <v>43</v>
      </c>
      <c r="B20" s="462"/>
      <c r="C20" s="462"/>
      <c r="D20" s="334"/>
      <c r="E20" s="334"/>
      <c r="F20" s="463"/>
      <c r="G20" s="464"/>
      <c r="H20" s="76"/>
      <c r="I20" s="324"/>
      <c r="J20" s="76"/>
      <c r="K20" s="324">
        <v>11</v>
      </c>
      <c r="L20" s="173"/>
      <c r="M20" s="324">
        <v>11</v>
      </c>
      <c r="N20" s="325"/>
      <c r="O20" s="325"/>
      <c r="P20" s="218">
        <f t="shared" si="97"/>
        <v>22</v>
      </c>
      <c r="Q20" s="62">
        <f>R10-P20</f>
        <v>129</v>
      </c>
      <c r="R20" s="219" t="str">
        <f t="shared" si="98"/>
        <v>Дащенко</v>
      </c>
      <c r="S20" s="76" t="s">
        <v>10</v>
      </c>
      <c r="T20" s="77" t="s">
        <v>9</v>
      </c>
      <c r="U20" s="73">
        <f t="shared" si="99"/>
        <v>0</v>
      </c>
      <c r="V20" s="62">
        <f t="shared" si="100"/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s="21" customFormat="1" ht="14.25">
      <c r="A21" s="205" t="s">
        <v>45</v>
      </c>
      <c r="B21" s="77"/>
      <c r="C21" s="329"/>
      <c r="D21" s="77"/>
      <c r="E21" s="329"/>
      <c r="F21" s="465"/>
      <c r="G21" s="330"/>
      <c r="H21" s="465"/>
      <c r="I21" s="330"/>
      <c r="J21" s="77"/>
      <c r="K21" s="329">
        <v>11</v>
      </c>
      <c r="L21" s="77"/>
      <c r="M21" s="329">
        <v>11</v>
      </c>
      <c r="N21" s="465"/>
      <c r="O21" s="330"/>
      <c r="P21" s="218">
        <f t="shared" si="97"/>
        <v>22</v>
      </c>
      <c r="Q21" s="62">
        <f>R10-P21</f>
        <v>129</v>
      </c>
      <c r="R21" s="219" t="str">
        <f t="shared" si="98"/>
        <v>Пузырь</v>
      </c>
      <c r="S21" s="76" t="s">
        <v>10</v>
      </c>
      <c r="T21" s="77" t="s">
        <v>9</v>
      </c>
      <c r="U21" s="73">
        <f t="shared" si="99"/>
        <v>0</v>
      </c>
      <c r="V21" s="62">
        <f t="shared" si="100"/>
        <v>0</v>
      </c>
      <c r="W21" s="62"/>
      <c r="X21" s="74" t="s">
        <v>34</v>
      </c>
      <c r="Y21" s="7"/>
      <c r="Z21" s="7"/>
      <c r="AA21" s="7"/>
      <c r="AB21" s="13"/>
      <c r="AC21" s="13"/>
      <c r="AD21" s="13"/>
    </row>
    <row r="22" s="21" customFormat="1" ht="14.25">
      <c r="A22" s="205" t="s">
        <v>64</v>
      </c>
      <c r="B22" s="67"/>
      <c r="C22" s="330"/>
      <c r="D22" s="67"/>
      <c r="E22" s="330"/>
      <c r="F22" s="77"/>
      <c r="G22" s="329"/>
      <c r="H22" s="77"/>
      <c r="I22" s="329"/>
      <c r="J22" s="325"/>
      <c r="K22" s="325"/>
      <c r="L22" s="325"/>
      <c r="M22" s="325"/>
      <c r="N22" s="76"/>
      <c r="O22" s="357">
        <v>11</v>
      </c>
      <c r="P22" s="218">
        <f t="shared" si="97"/>
        <v>11</v>
      </c>
      <c r="Q22" s="62">
        <f>R10-P22</f>
        <v>140</v>
      </c>
      <c r="R22" s="219" t="str">
        <f t="shared" si="98"/>
        <v>Рожнева</v>
      </c>
      <c r="S22" s="76" t="s">
        <v>10</v>
      </c>
      <c r="T22" s="77" t="s">
        <v>9</v>
      </c>
      <c r="U22" s="73">
        <f t="shared" si="99"/>
        <v>0</v>
      </c>
      <c r="V22" s="62">
        <f t="shared" si="100"/>
        <v>0</v>
      </c>
      <c r="W22" s="62"/>
      <c r="X22" s="74" t="s">
        <v>34</v>
      </c>
      <c r="Y22" s="7"/>
      <c r="Z22" s="7"/>
      <c r="AA22" s="7"/>
      <c r="AB22" s="13"/>
      <c r="AC22" s="13"/>
      <c r="AD22" s="13"/>
    </row>
    <row r="23" s="21" customFormat="1" ht="14.25">
      <c r="A23" s="205" t="s">
        <v>47</v>
      </c>
      <c r="B23" s="67"/>
      <c r="C23" s="330"/>
      <c r="D23" s="465"/>
      <c r="E23" s="330"/>
      <c r="F23" s="76"/>
      <c r="G23" s="324"/>
      <c r="H23" s="76"/>
      <c r="I23" s="324"/>
      <c r="J23" s="76"/>
      <c r="K23" s="324">
        <v>11</v>
      </c>
      <c r="L23" s="325"/>
      <c r="M23" s="325"/>
      <c r="N23" s="67"/>
      <c r="O23" s="330"/>
      <c r="P23" s="285">
        <f t="shared" si="97"/>
        <v>11</v>
      </c>
      <c r="Q23" s="62">
        <f>R10-P23</f>
        <v>140</v>
      </c>
      <c r="R23" s="219" t="str">
        <f t="shared" si="98"/>
        <v>Торубара</v>
      </c>
      <c r="S23" s="76" t="s">
        <v>10</v>
      </c>
      <c r="T23" s="77" t="s">
        <v>9</v>
      </c>
      <c r="U23" s="90">
        <f t="shared" si="99"/>
        <v>0</v>
      </c>
      <c r="V23" s="62">
        <f t="shared" si="100"/>
        <v>0</v>
      </c>
      <c r="W23" s="62"/>
      <c r="X23" s="74" t="s">
        <v>34</v>
      </c>
      <c r="Y23" s="7"/>
      <c r="Z23" s="7"/>
      <c r="AA23" s="7"/>
      <c r="AB23" s="13"/>
      <c r="AC23" s="13"/>
      <c r="AD23" s="13"/>
    </row>
    <row r="24" ht="14.25">
      <c r="A24" s="205" t="s">
        <v>48</v>
      </c>
      <c r="B24" s="67"/>
      <c r="C24" s="67"/>
      <c r="D24" s="77"/>
      <c r="E24" s="329"/>
      <c r="F24" s="77"/>
      <c r="G24" s="329"/>
      <c r="H24" s="67"/>
      <c r="I24" s="330"/>
      <c r="J24" s="325"/>
      <c r="K24" s="325"/>
      <c r="L24" s="292"/>
      <c r="M24" s="329">
        <v>11</v>
      </c>
      <c r="N24" s="251"/>
      <c r="O24" s="329">
        <v>11</v>
      </c>
      <c r="P24" s="218">
        <f t="shared" si="97"/>
        <v>22</v>
      </c>
      <c r="Q24" s="62">
        <f>R10-P24</f>
        <v>129</v>
      </c>
      <c r="R24" s="219" t="str">
        <f t="shared" si="98"/>
        <v>Стрыгин</v>
      </c>
      <c r="S24" s="71" t="s">
        <v>8</v>
      </c>
      <c r="T24" s="72" t="s">
        <v>7</v>
      </c>
      <c r="U24" s="90">
        <f t="shared" si="99"/>
        <v>0</v>
      </c>
      <c r="V24" s="62">
        <f t="shared" si="100"/>
        <v>0</v>
      </c>
      <c r="W24" s="62"/>
      <c r="X24" s="74" t="s">
        <v>49</v>
      </c>
      <c r="Y24" s="7"/>
      <c r="Z24" s="7"/>
      <c r="AA24" s="7"/>
      <c r="AB24" s="13"/>
      <c r="AC24" s="13"/>
      <c r="AD24" s="13"/>
    </row>
    <row r="25" ht="14.25">
      <c r="A25" s="205" t="s">
        <v>50</v>
      </c>
      <c r="B25" s="67"/>
      <c r="C25" s="330"/>
      <c r="D25" s="76"/>
      <c r="E25" s="324"/>
      <c r="F25" s="76"/>
      <c r="G25" s="324"/>
      <c r="H25" s="66"/>
      <c r="I25" s="66"/>
      <c r="J25" s="325"/>
      <c r="K25" s="325"/>
      <c r="L25" s="76"/>
      <c r="M25" s="324">
        <v>11</v>
      </c>
      <c r="N25" s="76"/>
      <c r="O25" s="324">
        <v>11</v>
      </c>
      <c r="P25" s="218">
        <f t="shared" si="97"/>
        <v>22</v>
      </c>
      <c r="Q25" s="62">
        <f>R10-P25</f>
        <v>129</v>
      </c>
      <c r="R25" s="219" t="str">
        <f t="shared" si="98"/>
        <v>Фрик</v>
      </c>
      <c r="S25" s="71" t="s">
        <v>12</v>
      </c>
      <c r="T25" s="72" t="s">
        <v>11</v>
      </c>
      <c r="U25" s="90">
        <f t="shared" si="99"/>
        <v>0</v>
      </c>
      <c r="V25" s="62">
        <f t="shared" si="100"/>
        <v>0</v>
      </c>
      <c r="W25" s="62"/>
      <c r="X25" s="74" t="s">
        <v>44</v>
      </c>
      <c r="Y25" s="7"/>
      <c r="Z25" s="7"/>
      <c r="AA25" s="7"/>
      <c r="AB25" s="13"/>
      <c r="AC25" s="13"/>
      <c r="AD25" s="13"/>
    </row>
    <row r="26" ht="14.25">
      <c r="A26" s="206" t="s">
        <v>51</v>
      </c>
      <c r="B26" s="76"/>
      <c r="C26" s="324"/>
      <c r="D26" s="466"/>
      <c r="E26" s="467"/>
      <c r="F26" s="67"/>
      <c r="G26" s="330"/>
      <c r="H26" s="72"/>
      <c r="I26" s="329"/>
      <c r="J26" s="77"/>
      <c r="K26" s="329">
        <v>11</v>
      </c>
      <c r="L26" s="468"/>
      <c r="M26" s="400"/>
      <c r="N26" s="292"/>
      <c r="O26" s="469">
        <v>11</v>
      </c>
      <c r="P26" s="218">
        <f t="shared" si="97"/>
        <v>22</v>
      </c>
      <c r="Q26" s="62">
        <f>R10-P26</f>
        <v>129</v>
      </c>
      <c r="R26" s="219" t="str">
        <f t="shared" si="98"/>
        <v>Истрашкин</v>
      </c>
      <c r="S26" s="71" t="s">
        <v>10</v>
      </c>
      <c r="T26" s="72" t="s">
        <v>9</v>
      </c>
      <c r="U26" s="90">
        <f t="shared" si="99"/>
        <v>0</v>
      </c>
      <c r="V26" s="62">
        <f t="shared" si="100"/>
        <v>0</v>
      </c>
      <c r="W26" s="62"/>
      <c r="X26" s="74" t="s">
        <v>34</v>
      </c>
      <c r="Y26" s="7"/>
      <c r="Z26" s="7"/>
      <c r="AA26" s="7"/>
      <c r="AB26" s="13"/>
      <c r="AC26" s="13"/>
      <c r="AD26" s="13"/>
    </row>
    <row r="27" s="21" customFormat="1" ht="14.25">
      <c r="A27" s="206" t="s">
        <v>65</v>
      </c>
      <c r="B27" s="325"/>
      <c r="C27" s="325"/>
      <c r="D27" s="470"/>
      <c r="E27" s="470"/>
      <c r="F27" s="325"/>
      <c r="G27" s="325"/>
      <c r="H27" s="325"/>
      <c r="I27" s="325"/>
      <c r="J27" s="325"/>
      <c r="K27" s="325"/>
      <c r="L27" s="325"/>
      <c r="M27" s="325"/>
      <c r="N27" s="325"/>
      <c r="O27" s="325"/>
      <c r="P27" s="218">
        <f t="shared" si="97"/>
        <v>0</v>
      </c>
      <c r="Q27" s="62">
        <f>R10-P27</f>
        <v>151</v>
      </c>
      <c r="R27" s="219" t="str">
        <f t="shared" si="98"/>
        <v>Качаев</v>
      </c>
      <c r="S27" s="71"/>
      <c r="T27" s="72"/>
      <c r="U27" s="73"/>
      <c r="V27" s="62"/>
      <c r="W27" s="62"/>
      <c r="X27" s="331"/>
      <c r="Y27" s="7"/>
      <c r="Z27" s="7"/>
      <c r="AA27" s="7"/>
      <c r="AB27" s="13"/>
      <c r="AC27" s="13"/>
      <c r="AD27" s="13"/>
    </row>
    <row r="28" s="21" customFormat="1" ht="14.25">
      <c r="A28" s="471"/>
      <c r="B28" s="210">
        <v>46139</v>
      </c>
      <c r="C28" s="210"/>
      <c r="D28" s="210">
        <v>46140</v>
      </c>
      <c r="E28" s="210"/>
      <c r="F28" s="210">
        <v>46141</v>
      </c>
      <c r="G28" s="210"/>
      <c r="H28" s="210">
        <v>46142</v>
      </c>
      <c r="I28" s="210"/>
      <c r="J28" s="472">
        <v>46143</v>
      </c>
      <c r="K28" s="472"/>
      <c r="L28" s="472">
        <v>46144</v>
      </c>
      <c r="M28" s="472"/>
      <c r="N28" s="210">
        <v>46145</v>
      </c>
      <c r="O28" s="212"/>
      <c r="P28" s="473"/>
      <c r="Q28" s="334"/>
      <c r="R28" s="207"/>
      <c r="S28" s="138"/>
      <c r="T28" s="138"/>
      <c r="U28" s="194" t="s">
        <v>27</v>
      </c>
      <c r="V28" s="61" t="s">
        <v>28</v>
      </c>
      <c r="W28" s="335" t="s">
        <v>29</v>
      </c>
      <c r="X28" s="87"/>
      <c r="Y28" s="7"/>
      <c r="Z28" s="7"/>
      <c r="AA28" s="7"/>
      <c r="AB28" s="13"/>
      <c r="AC28" s="13"/>
      <c r="AD28" s="13"/>
    </row>
    <row r="29" s="21" customFormat="1" ht="14.25">
      <c r="A29" s="336"/>
      <c r="B29" s="337"/>
      <c r="C29" s="337"/>
      <c r="D29" s="337"/>
      <c r="E29" s="337"/>
      <c r="F29" s="337"/>
      <c r="G29" s="337"/>
      <c r="H29" s="337"/>
      <c r="I29" s="337"/>
      <c r="J29" s="337"/>
      <c r="K29" s="337"/>
      <c r="L29" s="337"/>
      <c r="M29" s="337"/>
      <c r="N29" s="337"/>
      <c r="O29" s="337"/>
      <c r="P29" s="337"/>
      <c r="Q29" s="338"/>
      <c r="R29" s="339"/>
      <c r="S29" s="165"/>
      <c r="T29" s="165"/>
      <c r="U29" s="340"/>
      <c r="V29" s="100"/>
      <c r="W29" s="100"/>
      <c r="X29" s="474"/>
      <c r="Y29" s="7"/>
      <c r="Z29" s="7"/>
      <c r="AA29" s="7"/>
      <c r="AB29" s="13"/>
      <c r="AC29" s="13"/>
      <c r="AD29" s="13"/>
    </row>
    <row r="30" s="21" customFormat="1" ht="14.25">
      <c r="A30" s="98"/>
      <c r="B30" s="101" t="s">
        <v>17</v>
      </c>
      <c r="C30" s="101"/>
      <c r="D30" s="101" t="s">
        <v>18</v>
      </c>
      <c r="E30" s="101"/>
      <c r="F30" s="101" t="s">
        <v>19</v>
      </c>
      <c r="G30" s="101"/>
      <c r="H30" s="101" t="s">
        <v>20</v>
      </c>
      <c r="I30" s="101"/>
      <c r="J30" s="102" t="s">
        <v>21</v>
      </c>
      <c r="K30" s="102"/>
      <c r="L30" s="101" t="s">
        <v>22</v>
      </c>
      <c r="M30" s="101"/>
      <c r="N30" s="101" t="s">
        <v>23</v>
      </c>
      <c r="O30" s="101"/>
      <c r="P30" s="342" t="s">
        <v>24</v>
      </c>
      <c r="Q30" s="343"/>
      <c r="R30" s="339"/>
      <c r="S30" s="165"/>
      <c r="T30" s="165"/>
      <c r="U30" s="340"/>
      <c r="V30" s="100"/>
      <c r="W30" s="100"/>
      <c r="X30" s="74"/>
      <c r="Y30" s="7"/>
      <c r="Z30" s="7"/>
      <c r="AA30" s="7"/>
      <c r="AB30" s="13"/>
      <c r="AC30" s="13"/>
      <c r="AD30" s="13"/>
    </row>
    <row r="31" s="21" customFormat="1" ht="14.25">
      <c r="A31" s="344"/>
      <c r="B31" s="53">
        <v>46146</v>
      </c>
      <c r="C31" s="53"/>
      <c r="D31" s="53">
        <v>46147</v>
      </c>
      <c r="E31" s="53"/>
      <c r="F31" s="53">
        <v>46148</v>
      </c>
      <c r="G31" s="53"/>
      <c r="H31" s="53">
        <v>46149</v>
      </c>
      <c r="I31" s="53"/>
      <c r="J31" s="171">
        <v>46150</v>
      </c>
      <c r="K31" s="171"/>
      <c r="L31" s="144">
        <v>46151</v>
      </c>
      <c r="M31" s="144"/>
      <c r="N31" s="145">
        <v>46152</v>
      </c>
      <c r="O31" s="146"/>
      <c r="P31" s="346" t="s">
        <v>25</v>
      </c>
      <c r="Q31" s="347" t="s">
        <v>26</v>
      </c>
      <c r="R31" s="348"/>
      <c r="S31" s="239"/>
      <c r="T31" s="239"/>
      <c r="U31" s="172" t="s">
        <v>27</v>
      </c>
      <c r="V31" s="106" t="s">
        <v>28</v>
      </c>
      <c r="W31" s="100" t="s">
        <v>29</v>
      </c>
      <c r="X31" s="74" t="s">
        <v>30</v>
      </c>
      <c r="Y31" s="7"/>
      <c r="Z31" s="7"/>
      <c r="AA31" s="7"/>
      <c r="AB31" s="13"/>
      <c r="AC31" s="13"/>
      <c r="AD31" s="13"/>
    </row>
    <row r="32" s="21" customFormat="1" ht="14.25">
      <c r="A32" s="203" t="s">
        <v>35</v>
      </c>
      <c r="B32" s="319"/>
      <c r="C32" s="319" t="s">
        <v>33</v>
      </c>
      <c r="D32" s="319"/>
      <c r="E32" s="319" t="s">
        <v>33</v>
      </c>
      <c r="F32" s="319"/>
      <c r="G32" s="319" t="s">
        <v>33</v>
      </c>
      <c r="H32" s="319"/>
      <c r="I32" s="319" t="s">
        <v>33</v>
      </c>
      <c r="J32" s="319"/>
      <c r="K32" s="319" t="s">
        <v>33</v>
      </c>
      <c r="L32" s="66"/>
      <c r="M32" s="66"/>
      <c r="N32" s="66"/>
      <c r="O32" s="66"/>
      <c r="P32" s="285">
        <f t="shared" si="97"/>
        <v>40</v>
      </c>
      <c r="Q32" s="62">
        <f t="shared" ref="Q32:Q38" si="101">Q12-P32</f>
        <v>111</v>
      </c>
      <c r="R32" s="461" t="str">
        <f t="shared" si="98"/>
        <v>Рычков</v>
      </c>
      <c r="S32" s="76" t="s">
        <v>10</v>
      </c>
      <c r="T32" s="77" t="s">
        <v>9</v>
      </c>
      <c r="U32" s="90">
        <f t="shared" si="99"/>
        <v>0</v>
      </c>
      <c r="V32" s="62">
        <f t="shared" si="100"/>
        <v>0</v>
      </c>
      <c r="W32" s="62"/>
      <c r="X32" s="74" t="s">
        <v>34</v>
      </c>
      <c r="Y32" s="7"/>
      <c r="Z32" s="7"/>
      <c r="AA32" s="7"/>
      <c r="AB32" s="13"/>
      <c r="AC32" s="13"/>
      <c r="AD32" s="13"/>
    </row>
    <row r="33" s="21" customFormat="1" ht="14.25">
      <c r="A33" s="203" t="s">
        <v>66</v>
      </c>
      <c r="B33" s="319"/>
      <c r="C33" s="319" t="s">
        <v>33</v>
      </c>
      <c r="D33" s="319"/>
      <c r="E33" s="319" t="s">
        <v>33</v>
      </c>
      <c r="F33" s="319"/>
      <c r="G33" s="319" t="s">
        <v>33</v>
      </c>
      <c r="H33" s="319"/>
      <c r="I33" s="319" t="s">
        <v>33</v>
      </c>
      <c r="J33" s="319"/>
      <c r="K33" s="319" t="s">
        <v>33</v>
      </c>
      <c r="L33" s="66"/>
      <c r="M33" s="66"/>
      <c r="N33" s="67"/>
      <c r="O33" s="67"/>
      <c r="P33" s="218">
        <f t="shared" si="97"/>
        <v>40</v>
      </c>
      <c r="Q33" s="62">
        <f t="shared" si="101"/>
        <v>111</v>
      </c>
      <c r="R33" s="219" t="str">
        <f t="shared" si="98"/>
        <v>Карузина</v>
      </c>
      <c r="S33" s="76" t="s">
        <v>10</v>
      </c>
      <c r="T33" s="77" t="s">
        <v>9</v>
      </c>
      <c r="U33" s="73">
        <f t="shared" si="99"/>
        <v>0</v>
      </c>
      <c r="V33" s="62">
        <f t="shared" si="100"/>
        <v>0</v>
      </c>
      <c r="W33" s="62"/>
      <c r="X33" s="79" t="s">
        <v>34</v>
      </c>
      <c r="Y33" s="7"/>
      <c r="Z33" s="7"/>
      <c r="AA33" s="7"/>
      <c r="AB33" s="13"/>
      <c r="AC33" s="13"/>
      <c r="AD33" s="13"/>
    </row>
    <row r="34" s="21" customFormat="1" ht="14.25">
      <c r="A34" s="203" t="s">
        <v>39</v>
      </c>
      <c r="B34" s="319"/>
      <c r="C34" s="319" t="s">
        <v>33</v>
      </c>
      <c r="D34" s="319"/>
      <c r="E34" s="319" t="s">
        <v>33</v>
      </c>
      <c r="F34" s="319"/>
      <c r="G34" s="319" t="s">
        <v>33</v>
      </c>
      <c r="H34" s="319"/>
      <c r="I34" s="319" t="s">
        <v>33</v>
      </c>
      <c r="J34" s="319"/>
      <c r="K34" s="319" t="s">
        <v>33</v>
      </c>
      <c r="L34" s="66"/>
      <c r="M34" s="66"/>
      <c r="N34" s="66"/>
      <c r="O34" s="66"/>
      <c r="P34" s="218">
        <f t="shared" si="97"/>
        <v>40</v>
      </c>
      <c r="Q34" s="62">
        <f t="shared" si="101"/>
        <v>111</v>
      </c>
      <c r="R34" s="219" t="str">
        <f t="shared" si="98"/>
        <v>Игумнов</v>
      </c>
      <c r="S34" s="76" t="s">
        <v>10</v>
      </c>
      <c r="T34" s="77" t="s">
        <v>9</v>
      </c>
      <c r="U34" s="73">
        <f t="shared" si="99"/>
        <v>0</v>
      </c>
      <c r="V34" s="62">
        <f t="shared" si="100"/>
        <v>0</v>
      </c>
      <c r="W34" s="62"/>
      <c r="X34" s="74" t="s">
        <v>38</v>
      </c>
      <c r="Y34" s="7"/>
      <c r="Z34" s="7"/>
      <c r="AA34" s="7"/>
      <c r="AB34" s="13"/>
      <c r="AC34" s="13"/>
      <c r="AD34" s="13"/>
    </row>
    <row r="35" s="21" customFormat="1" ht="14.25">
      <c r="A35" s="203" t="s">
        <v>40</v>
      </c>
      <c r="B35" s="319"/>
      <c r="C35" s="321" t="s">
        <v>33</v>
      </c>
      <c r="D35" s="319"/>
      <c r="E35" s="319" t="s">
        <v>33</v>
      </c>
      <c r="F35" s="319"/>
      <c r="G35" s="319" t="s">
        <v>33</v>
      </c>
      <c r="H35" s="319"/>
      <c r="I35" s="319" t="s">
        <v>33</v>
      </c>
      <c r="J35" s="319"/>
      <c r="K35" s="319" t="s">
        <v>33</v>
      </c>
      <c r="L35" s="66"/>
      <c r="M35" s="66"/>
      <c r="N35" s="66"/>
      <c r="O35" s="66"/>
      <c r="P35" s="218">
        <f t="shared" si="97"/>
        <v>40</v>
      </c>
      <c r="Q35" s="62">
        <f t="shared" si="101"/>
        <v>111</v>
      </c>
      <c r="R35" s="219" t="str">
        <f t="shared" si="98"/>
        <v>Душин</v>
      </c>
      <c r="S35" s="76" t="s">
        <v>58</v>
      </c>
      <c r="T35" s="77" t="s">
        <v>59</v>
      </c>
      <c r="U35" s="73">
        <f t="shared" si="99"/>
        <v>0</v>
      </c>
      <c r="V35" s="62">
        <f t="shared" si="100"/>
        <v>0</v>
      </c>
      <c r="W35" s="62"/>
      <c r="X35" s="74" t="s">
        <v>34</v>
      </c>
      <c r="Y35" s="7"/>
      <c r="Z35" s="7"/>
      <c r="AA35" s="7"/>
      <c r="AB35" s="13"/>
      <c r="AC35" s="13"/>
      <c r="AD35" s="13"/>
    </row>
    <row r="36" s="21" customFormat="1" ht="14.25">
      <c r="A36" s="203" t="s">
        <v>31</v>
      </c>
      <c r="B36" s="319"/>
      <c r="C36" s="319" t="s">
        <v>33</v>
      </c>
      <c r="D36" s="319"/>
      <c r="E36" s="319" t="s">
        <v>33</v>
      </c>
      <c r="F36" s="319"/>
      <c r="G36" s="319" t="s">
        <v>33</v>
      </c>
      <c r="H36" s="319"/>
      <c r="I36" s="319" t="s">
        <v>33</v>
      </c>
      <c r="J36" s="319"/>
      <c r="K36" s="319" t="s">
        <v>33</v>
      </c>
      <c r="L36" s="66"/>
      <c r="M36" s="66"/>
      <c r="N36" s="66"/>
      <c r="O36" s="66"/>
      <c r="P36" s="218">
        <f t="shared" si="97"/>
        <v>40</v>
      </c>
      <c r="Q36" s="62">
        <f t="shared" si="101"/>
        <v>111</v>
      </c>
      <c r="R36" s="219" t="str">
        <f t="shared" si="98"/>
        <v>Нетронин</v>
      </c>
      <c r="S36" s="76" t="s">
        <v>58</v>
      </c>
      <c r="T36" s="77" t="s">
        <v>59</v>
      </c>
      <c r="U36" s="73">
        <f t="shared" si="99"/>
        <v>0</v>
      </c>
      <c r="V36" s="62">
        <f t="shared" si="100"/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s="21" customFormat="1" ht="14.25">
      <c r="A37" s="203" t="s">
        <v>61</v>
      </c>
      <c r="B37" s="319"/>
      <c r="C37" s="319" t="s">
        <v>33</v>
      </c>
      <c r="D37" s="319"/>
      <c r="E37" s="319" t="s">
        <v>33</v>
      </c>
      <c r="F37" s="319"/>
      <c r="G37" s="319" t="s">
        <v>33</v>
      </c>
      <c r="H37" s="319"/>
      <c r="I37" s="319" t="s">
        <v>33</v>
      </c>
      <c r="J37" s="319"/>
      <c r="K37" s="319" t="s">
        <v>33</v>
      </c>
      <c r="L37" s="66"/>
      <c r="M37" s="66"/>
      <c r="N37" s="66"/>
      <c r="O37" s="66"/>
      <c r="P37" s="218">
        <f t="shared" si="97"/>
        <v>40</v>
      </c>
      <c r="Q37" s="62">
        <f t="shared" si="101"/>
        <v>111</v>
      </c>
      <c r="R37" s="219" t="str">
        <f t="shared" si="98"/>
        <v>Раимова</v>
      </c>
      <c r="S37" s="76" t="s">
        <v>10</v>
      </c>
      <c r="T37" s="77" t="s">
        <v>9</v>
      </c>
      <c r="U37" s="73">
        <f t="shared" si="99"/>
        <v>0</v>
      </c>
      <c r="V37" s="62">
        <f t="shared" si="100"/>
        <v>0</v>
      </c>
      <c r="W37" s="62"/>
      <c r="X37" s="74" t="s">
        <v>38</v>
      </c>
      <c r="Y37" s="7"/>
      <c r="Z37" s="7"/>
      <c r="AA37" s="7"/>
      <c r="AB37" s="13"/>
      <c r="AC37" s="13"/>
      <c r="AD37" s="13"/>
    </row>
    <row r="38" s="21" customFormat="1" ht="14.25">
      <c r="A38" s="203" t="s">
        <v>62</v>
      </c>
      <c r="B38" s="319"/>
      <c r="C38" s="321" t="s">
        <v>33</v>
      </c>
      <c r="D38" s="319"/>
      <c r="E38" s="319" t="s">
        <v>33</v>
      </c>
      <c r="F38" s="319"/>
      <c r="G38" s="319" t="s">
        <v>33</v>
      </c>
      <c r="H38" s="319"/>
      <c r="I38" s="319" t="s">
        <v>33</v>
      </c>
      <c r="J38" s="319"/>
      <c r="K38" s="319" t="s">
        <v>33</v>
      </c>
      <c r="L38" s="66"/>
      <c r="M38" s="66"/>
      <c r="N38" s="66"/>
      <c r="O38" s="66"/>
      <c r="P38" s="218">
        <f t="shared" si="97"/>
        <v>40</v>
      </c>
      <c r="Q38" s="62">
        <f t="shared" si="101"/>
        <v>111</v>
      </c>
      <c r="R38" s="219" t="str">
        <f t="shared" si="98"/>
        <v>Войтехович</v>
      </c>
      <c r="S38" s="76" t="s">
        <v>10</v>
      </c>
      <c r="T38" s="77" t="s">
        <v>9</v>
      </c>
      <c r="U38" s="73">
        <f t="shared" si="99"/>
        <v>0</v>
      </c>
      <c r="V38" s="62">
        <f t="shared" si="100"/>
        <v>0</v>
      </c>
      <c r="W38" s="62"/>
      <c r="X38" s="74" t="s">
        <v>38</v>
      </c>
      <c r="Y38" s="7"/>
      <c r="Z38" s="7"/>
      <c r="AA38" s="7"/>
      <c r="AB38" s="13"/>
      <c r="AC38" s="13"/>
      <c r="AD38" s="13"/>
    </row>
    <row r="39" ht="14.4" hidden="1">
      <c r="A39" s="203" t="s">
        <v>66</v>
      </c>
      <c r="B39" s="319"/>
      <c r="C39" s="319" t="s">
        <v>33</v>
      </c>
      <c r="D39" s="319"/>
      <c r="E39" s="319" t="s">
        <v>33</v>
      </c>
      <c r="F39" s="319"/>
      <c r="G39" s="319" t="s">
        <v>33</v>
      </c>
      <c r="H39" s="319"/>
      <c r="I39" s="319" t="s">
        <v>33</v>
      </c>
      <c r="J39" s="319"/>
      <c r="K39" s="319" t="s">
        <v>33</v>
      </c>
      <c r="L39" s="66"/>
      <c r="M39" s="66"/>
      <c r="N39" s="66"/>
      <c r="O39" s="66"/>
      <c r="P39" s="218">
        <f t="shared" si="97"/>
        <v>40</v>
      </c>
      <c r="Q39" s="62" t="e">
        <f>#REF!-P39</f>
        <v>#REF!</v>
      </c>
      <c r="R39" s="288" t="str">
        <f t="shared" si="98"/>
        <v>Карузина</v>
      </c>
      <c r="S39" s="76" t="s">
        <v>10</v>
      </c>
      <c r="T39" s="77" t="s">
        <v>9</v>
      </c>
      <c r="U39" s="73">
        <f t="shared" si="99"/>
        <v>0</v>
      </c>
      <c r="V39" s="62">
        <f t="shared" si="100"/>
        <v>0</v>
      </c>
      <c r="W39" s="62"/>
      <c r="X39" s="74" t="s">
        <v>38</v>
      </c>
      <c r="Y39" s="7"/>
      <c r="Z39" s="7"/>
      <c r="AA39" s="7"/>
      <c r="AB39" s="13"/>
      <c r="AC39" s="13"/>
      <c r="AD39" s="13"/>
    </row>
    <row r="40" ht="14.25">
      <c r="A40" s="203" t="s">
        <v>63</v>
      </c>
      <c r="B40" s="319"/>
      <c r="C40" s="319" t="s">
        <v>33</v>
      </c>
      <c r="D40" s="319"/>
      <c r="E40" s="319" t="s">
        <v>33</v>
      </c>
      <c r="F40" s="319"/>
      <c r="G40" s="319" t="s">
        <v>33</v>
      </c>
      <c r="H40" s="319"/>
      <c r="I40" s="319" t="s">
        <v>33</v>
      </c>
      <c r="J40" s="319"/>
      <c r="K40" s="319" t="s">
        <v>33</v>
      </c>
      <c r="L40" s="320"/>
      <c r="M40" s="320"/>
      <c r="N40" s="320"/>
      <c r="O40" s="320"/>
      <c r="P40" s="218">
        <f t="shared" si="97"/>
        <v>40</v>
      </c>
      <c r="Q40" s="62">
        <f t="shared" ref="Q40:Q59" si="102">Q19-P40</f>
        <v>111</v>
      </c>
      <c r="R40" s="219" t="str">
        <f t="shared" si="98"/>
        <v>Васильев</v>
      </c>
      <c r="S40" s="71" t="s">
        <v>12</v>
      </c>
      <c r="T40" s="72" t="s">
        <v>11</v>
      </c>
      <c r="U40" s="90">
        <f t="shared" si="99"/>
        <v>0</v>
      </c>
      <c r="V40" s="62">
        <f t="shared" si="100"/>
        <v>0</v>
      </c>
      <c r="W40" s="62"/>
      <c r="X40" s="74" t="s">
        <v>38</v>
      </c>
      <c r="Y40" s="7"/>
      <c r="Z40" s="7"/>
      <c r="AA40" s="7"/>
      <c r="AB40" s="13"/>
      <c r="AC40" s="13"/>
      <c r="AD40" s="13"/>
    </row>
    <row r="41" ht="14.25">
      <c r="A41" s="205" t="s">
        <v>43</v>
      </c>
      <c r="B41" s="67"/>
      <c r="C41" s="330"/>
      <c r="D41" s="77"/>
      <c r="E41" s="329">
        <v>11</v>
      </c>
      <c r="F41" s="251"/>
      <c r="G41" s="329">
        <v>11</v>
      </c>
      <c r="H41" s="67"/>
      <c r="I41" s="330"/>
      <c r="J41" s="465"/>
      <c r="K41" s="330"/>
      <c r="L41" s="77"/>
      <c r="M41" s="329">
        <v>11</v>
      </c>
      <c r="N41" s="77"/>
      <c r="O41" s="329">
        <v>11</v>
      </c>
      <c r="P41" s="218">
        <f t="shared" si="97"/>
        <v>44</v>
      </c>
      <c r="Q41" s="62">
        <f t="shared" si="102"/>
        <v>85</v>
      </c>
      <c r="R41" s="219" t="str">
        <f t="shared" si="98"/>
        <v>Дащенко</v>
      </c>
      <c r="S41" s="76" t="s">
        <v>10</v>
      </c>
      <c r="T41" s="77" t="s">
        <v>9</v>
      </c>
      <c r="U41" s="90">
        <f t="shared" si="99"/>
        <v>0</v>
      </c>
      <c r="V41" s="62">
        <f t="shared" si="100"/>
        <v>0</v>
      </c>
      <c r="W41" s="62"/>
      <c r="X41" s="74" t="s">
        <v>34</v>
      </c>
      <c r="Y41" s="7"/>
      <c r="Z41" s="7"/>
      <c r="AA41" s="7"/>
      <c r="AB41" s="13"/>
      <c r="AC41" s="13"/>
      <c r="AD41" s="13"/>
    </row>
    <row r="42" ht="14.25">
      <c r="A42" s="205" t="s">
        <v>45</v>
      </c>
      <c r="B42" s="67"/>
      <c r="C42" s="330"/>
      <c r="D42" s="76"/>
      <c r="E42" s="324">
        <v>11</v>
      </c>
      <c r="F42" s="76"/>
      <c r="G42" s="324">
        <v>11</v>
      </c>
      <c r="H42" s="67"/>
      <c r="I42" s="330"/>
      <c r="J42" s="67"/>
      <c r="K42" s="330"/>
      <c r="L42" s="77"/>
      <c r="M42" s="329">
        <v>11</v>
      </c>
      <c r="N42" s="77"/>
      <c r="O42" s="329">
        <v>11</v>
      </c>
      <c r="P42" s="218">
        <f t="shared" si="97"/>
        <v>44</v>
      </c>
      <c r="Q42" s="62">
        <f t="shared" si="102"/>
        <v>85</v>
      </c>
      <c r="R42" s="219" t="str">
        <f t="shared" si="98"/>
        <v>Пузырь</v>
      </c>
      <c r="S42" s="76" t="s">
        <v>10</v>
      </c>
      <c r="T42" s="77" t="s">
        <v>9</v>
      </c>
      <c r="U42" s="90">
        <f t="shared" si="99"/>
        <v>0</v>
      </c>
      <c r="V42" s="62">
        <f t="shared" si="100"/>
        <v>0</v>
      </c>
      <c r="W42" s="62"/>
      <c r="X42" s="74" t="s">
        <v>34</v>
      </c>
      <c r="Y42" s="7"/>
      <c r="Z42" s="7"/>
      <c r="AA42" s="7"/>
      <c r="AB42" s="13"/>
      <c r="AC42" s="13"/>
      <c r="AD42" s="13"/>
    </row>
    <row r="43" ht="14.25">
      <c r="A43" s="205" t="s">
        <v>64</v>
      </c>
      <c r="B43" s="76"/>
      <c r="C43" s="357">
        <v>11</v>
      </c>
      <c r="D43" s="67"/>
      <c r="E43" s="330"/>
      <c r="F43" s="67"/>
      <c r="G43" s="330"/>
      <c r="H43" s="76"/>
      <c r="I43" s="324">
        <v>11</v>
      </c>
      <c r="J43" s="76"/>
      <c r="K43" s="324">
        <v>11</v>
      </c>
      <c r="L43" s="67"/>
      <c r="M43" s="330"/>
      <c r="N43" s="67"/>
      <c r="O43" s="330"/>
      <c r="P43" s="218">
        <f t="shared" si="97"/>
        <v>33</v>
      </c>
      <c r="Q43" s="62">
        <f t="shared" si="102"/>
        <v>107</v>
      </c>
      <c r="R43" s="219" t="str">
        <f t="shared" si="98"/>
        <v>Рожнева</v>
      </c>
      <c r="S43" s="76" t="s">
        <v>10</v>
      </c>
      <c r="T43" s="77" t="s">
        <v>9</v>
      </c>
      <c r="U43" s="90">
        <f t="shared" si="99"/>
        <v>0</v>
      </c>
      <c r="V43" s="62">
        <f t="shared" si="100"/>
        <v>0</v>
      </c>
      <c r="W43" s="62"/>
      <c r="X43" s="74" t="s">
        <v>34</v>
      </c>
      <c r="Y43" s="7"/>
      <c r="Z43" s="7"/>
      <c r="AA43" s="7"/>
      <c r="AB43" s="13"/>
      <c r="AC43" s="13"/>
      <c r="AD43" s="13"/>
    </row>
    <row r="44" s="21" customFormat="1" ht="14.25">
      <c r="A44" s="205" t="s">
        <v>47</v>
      </c>
      <c r="B44" s="76"/>
      <c r="C44" s="324">
        <v>11</v>
      </c>
      <c r="D44" s="76"/>
      <c r="E44" s="324">
        <v>11</v>
      </c>
      <c r="F44" s="76"/>
      <c r="G44" s="324">
        <v>11</v>
      </c>
      <c r="H44" s="67"/>
      <c r="I44" s="330"/>
      <c r="J44" s="67"/>
      <c r="K44" s="330"/>
      <c r="L44" s="320"/>
      <c r="M44" s="320"/>
      <c r="N44" s="320"/>
      <c r="O44" s="320"/>
      <c r="P44" s="218">
        <f t="shared" si="97"/>
        <v>33</v>
      </c>
      <c r="Q44" s="62">
        <f t="shared" si="102"/>
        <v>107</v>
      </c>
      <c r="R44" s="219" t="str">
        <f t="shared" si="98"/>
        <v>Торубара</v>
      </c>
      <c r="S44" s="76" t="s">
        <v>10</v>
      </c>
      <c r="T44" s="77" t="s">
        <v>9</v>
      </c>
      <c r="U44" s="73">
        <f t="shared" si="99"/>
        <v>0</v>
      </c>
      <c r="V44" s="62">
        <f t="shared" si="100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s="21" customFormat="1" ht="14.25">
      <c r="A45" s="205" t="s">
        <v>48</v>
      </c>
      <c r="B45" s="292"/>
      <c r="C45" s="469">
        <v>11</v>
      </c>
      <c r="D45" s="320"/>
      <c r="E45" s="320"/>
      <c r="F45" s="67"/>
      <c r="G45" s="330"/>
      <c r="H45" s="77"/>
      <c r="I45" s="329">
        <v>11</v>
      </c>
      <c r="J45" s="77"/>
      <c r="K45" s="329">
        <v>11</v>
      </c>
      <c r="L45" s="320"/>
      <c r="M45" s="320"/>
      <c r="N45" s="67"/>
      <c r="O45" s="330"/>
      <c r="P45" s="218">
        <f t="shared" si="97"/>
        <v>33</v>
      </c>
      <c r="Q45" s="62">
        <f t="shared" si="102"/>
        <v>96</v>
      </c>
      <c r="R45" s="219" t="str">
        <f t="shared" si="98"/>
        <v>Стрыгин</v>
      </c>
      <c r="S45" s="71" t="s">
        <v>8</v>
      </c>
      <c r="T45" s="72" t="s">
        <v>7</v>
      </c>
      <c r="U45" s="73">
        <f t="shared" si="99"/>
        <v>0</v>
      </c>
      <c r="V45" s="62">
        <f t="shared" si="100"/>
        <v>0</v>
      </c>
      <c r="W45" s="62"/>
      <c r="X45" s="74" t="s">
        <v>49</v>
      </c>
      <c r="Y45" s="7"/>
      <c r="Z45" s="7"/>
      <c r="AA45" s="7"/>
      <c r="AB45" s="13"/>
      <c r="AC45" s="13"/>
      <c r="AD45" s="13"/>
    </row>
    <row r="46" s="21" customFormat="1" ht="14.25">
      <c r="A46" s="205" t="s">
        <v>50</v>
      </c>
      <c r="B46" s="320"/>
      <c r="C46" s="320"/>
      <c r="D46" s="67"/>
      <c r="E46" s="330"/>
      <c r="F46" s="77"/>
      <c r="G46" s="329">
        <v>11</v>
      </c>
      <c r="H46" s="67"/>
      <c r="I46" s="330"/>
      <c r="J46" s="67"/>
      <c r="K46" s="330"/>
      <c r="L46" s="76"/>
      <c r="M46" s="324">
        <v>11</v>
      </c>
      <c r="N46" s="76"/>
      <c r="O46" s="324">
        <v>11</v>
      </c>
      <c r="P46" s="218">
        <f t="shared" si="97"/>
        <v>33</v>
      </c>
      <c r="Q46" s="62">
        <f t="shared" si="102"/>
        <v>96</v>
      </c>
      <c r="R46" s="219" t="str">
        <f t="shared" si="98"/>
        <v>Фрик</v>
      </c>
      <c r="S46" s="71" t="s">
        <v>12</v>
      </c>
      <c r="T46" s="72" t="s">
        <v>11</v>
      </c>
      <c r="U46" s="73">
        <f t="shared" si="99"/>
        <v>0</v>
      </c>
      <c r="V46" s="62">
        <f t="shared" si="100"/>
        <v>0</v>
      </c>
      <c r="W46" s="62"/>
      <c r="X46" s="74" t="s">
        <v>44</v>
      </c>
      <c r="Y46" s="7"/>
      <c r="Z46" s="7"/>
      <c r="AA46" s="7"/>
      <c r="AB46" s="13"/>
      <c r="AC46" s="13"/>
      <c r="AD46" s="13"/>
    </row>
    <row r="47" s="21" customFormat="1" ht="14.25">
      <c r="A47" s="206" t="s">
        <v>51</v>
      </c>
      <c r="B47" s="67"/>
      <c r="C47" s="330"/>
      <c r="D47" s="320"/>
      <c r="E47" s="320"/>
      <c r="F47" s="320"/>
      <c r="G47" s="320"/>
      <c r="H47" s="76"/>
      <c r="I47" s="324">
        <v>11</v>
      </c>
      <c r="J47" s="76"/>
      <c r="K47" s="324">
        <v>11</v>
      </c>
      <c r="L47" s="67"/>
      <c r="M47" s="330"/>
      <c r="N47" s="67"/>
      <c r="O47" s="330"/>
      <c r="P47" s="218">
        <f t="shared" si="97"/>
        <v>22</v>
      </c>
      <c r="Q47" s="62">
        <f t="shared" si="102"/>
        <v>107</v>
      </c>
      <c r="R47" s="219" t="str">
        <f t="shared" si="98"/>
        <v>Истрашкин</v>
      </c>
      <c r="S47" s="71" t="s">
        <v>10</v>
      </c>
      <c r="T47" s="72" t="s">
        <v>9</v>
      </c>
      <c r="U47" s="73">
        <f t="shared" si="99"/>
        <v>0</v>
      </c>
      <c r="V47" s="62">
        <f t="shared" si="100"/>
        <v>0</v>
      </c>
      <c r="W47" s="62"/>
      <c r="X47" s="74" t="s">
        <v>34</v>
      </c>
      <c r="Y47" s="7"/>
      <c r="Z47" s="7"/>
      <c r="AA47" s="7"/>
      <c r="AB47" s="13"/>
      <c r="AC47" s="13"/>
      <c r="AD47" s="13"/>
    </row>
    <row r="48" s="21" customFormat="1" ht="14.25">
      <c r="A48" s="369" t="s">
        <v>65</v>
      </c>
      <c r="B48" s="77"/>
      <c r="C48" s="469">
        <v>11</v>
      </c>
      <c r="D48" s="77"/>
      <c r="E48" s="469">
        <v>11</v>
      </c>
      <c r="F48" s="320"/>
      <c r="G48" s="320"/>
      <c r="H48" s="468"/>
      <c r="I48" s="330"/>
      <c r="J48" s="251"/>
      <c r="K48" s="329">
        <v>11</v>
      </c>
      <c r="L48" s="292" t="s">
        <v>9</v>
      </c>
      <c r="M48" s="469">
        <v>8</v>
      </c>
      <c r="N48" s="320"/>
      <c r="O48" s="320"/>
      <c r="P48" s="218">
        <f t="shared" si="97"/>
        <v>41</v>
      </c>
      <c r="Q48" s="62">
        <f t="shared" si="102"/>
        <v>110</v>
      </c>
      <c r="R48" s="219" t="str">
        <f t="shared" si="98"/>
        <v>Качаев</v>
      </c>
      <c r="S48" s="71" t="s">
        <v>10</v>
      </c>
      <c r="T48" s="72" t="s">
        <v>9</v>
      </c>
      <c r="U48" s="73">
        <f t="shared" si="99"/>
        <v>0</v>
      </c>
      <c r="V48" s="62">
        <f t="shared" si="100"/>
        <v>0</v>
      </c>
      <c r="W48" s="62"/>
      <c r="X48" s="74" t="s">
        <v>34</v>
      </c>
      <c r="Y48" s="7"/>
      <c r="Z48" s="7"/>
      <c r="AA48" s="7"/>
      <c r="AB48" s="13"/>
      <c r="AC48" s="13"/>
      <c r="AD48" s="13"/>
    </row>
    <row r="49" s="21" customFormat="1" ht="14.25">
      <c r="A49" s="97"/>
      <c r="B49" s="53">
        <v>46146</v>
      </c>
      <c r="C49" s="53"/>
      <c r="D49" s="53">
        <v>46147</v>
      </c>
      <c r="E49" s="53"/>
      <c r="F49" s="53">
        <v>46148</v>
      </c>
      <c r="G49" s="53"/>
      <c r="H49" s="53">
        <v>46149</v>
      </c>
      <c r="I49" s="53"/>
      <c r="J49" s="171">
        <v>46150</v>
      </c>
      <c r="K49" s="171"/>
      <c r="L49" s="144">
        <v>46151</v>
      </c>
      <c r="M49" s="144"/>
      <c r="N49" s="145">
        <v>46152</v>
      </c>
      <c r="O49" s="146"/>
      <c r="P49" s="475"/>
      <c r="Q49" s="436"/>
      <c r="R49" s="372"/>
      <c r="S49" s="178"/>
      <c r="T49" s="178"/>
      <c r="U49" s="340"/>
      <c r="V49" s="100"/>
      <c r="W49" s="100"/>
      <c r="X49" s="452"/>
      <c r="Y49" s="7"/>
      <c r="Z49" s="7"/>
      <c r="AA49" s="7"/>
      <c r="AB49" s="13"/>
      <c r="AC49" s="13"/>
      <c r="AD49" s="13"/>
    </row>
    <row r="50" s="21" customFormat="1" ht="14.25">
      <c r="A50" s="336"/>
      <c r="B50" s="337"/>
      <c r="C50" s="337"/>
      <c r="D50" s="337"/>
      <c r="E50" s="337"/>
      <c r="F50" s="337"/>
      <c r="G50" s="337"/>
      <c r="H50" s="337"/>
      <c r="I50" s="337"/>
      <c r="J50" s="337"/>
      <c r="K50" s="337"/>
      <c r="L50" s="337"/>
      <c r="M50" s="337"/>
      <c r="N50" s="337"/>
      <c r="O50" s="337"/>
      <c r="P50" s="337"/>
      <c r="Q50" s="338"/>
      <c r="R50" s="339"/>
      <c r="S50" s="165"/>
      <c r="T50" s="165"/>
      <c r="U50" s="340"/>
      <c r="V50" s="100"/>
      <c r="W50" s="100"/>
      <c r="X50" s="74"/>
      <c r="Y50" s="7"/>
      <c r="Z50" s="7"/>
      <c r="AA50" s="7"/>
      <c r="AB50" s="13"/>
      <c r="AC50" s="13"/>
      <c r="AD50" s="13"/>
    </row>
    <row r="51" s="21" customFormat="1" ht="14.25">
      <c r="A51" s="52"/>
      <c r="B51" s="56" t="s">
        <v>17</v>
      </c>
      <c r="C51" s="116"/>
      <c r="D51" s="56" t="s">
        <v>18</v>
      </c>
      <c r="E51" s="116"/>
      <c r="F51" s="56" t="s">
        <v>19</v>
      </c>
      <c r="G51" s="56"/>
      <c r="H51" s="56" t="s">
        <v>20</v>
      </c>
      <c r="I51" s="116"/>
      <c r="J51" s="56" t="s">
        <v>21</v>
      </c>
      <c r="K51" s="56"/>
      <c r="L51" s="56" t="s">
        <v>22</v>
      </c>
      <c r="M51" s="56"/>
      <c r="N51" s="56" t="s">
        <v>23</v>
      </c>
      <c r="O51" s="56"/>
      <c r="P51" s="374" t="s">
        <v>24</v>
      </c>
      <c r="Q51" s="375"/>
      <c r="R51" s="376"/>
      <c r="S51" s="143"/>
      <c r="T51" s="143"/>
      <c r="U51" s="90"/>
      <c r="V51" s="62"/>
      <c r="W51" s="62"/>
      <c r="X51" s="74"/>
      <c r="Y51" s="7"/>
      <c r="Z51" s="7"/>
      <c r="AA51" s="7"/>
      <c r="AB51" s="13"/>
      <c r="AC51" s="13"/>
      <c r="AD51" s="13"/>
    </row>
    <row r="52" s="21" customFormat="1" ht="14.25">
      <c r="A52" s="377"/>
      <c r="B52" s="145">
        <v>46153</v>
      </c>
      <c r="C52" s="476"/>
      <c r="D52" s="53">
        <v>46154</v>
      </c>
      <c r="E52" s="53"/>
      <c r="F52" s="53">
        <v>46155</v>
      </c>
      <c r="G52" s="53"/>
      <c r="H52" s="53">
        <v>46156</v>
      </c>
      <c r="I52" s="53"/>
      <c r="J52" s="53">
        <v>46157</v>
      </c>
      <c r="K52" s="53"/>
      <c r="L52" s="53">
        <v>46158</v>
      </c>
      <c r="M52" s="53"/>
      <c r="N52" s="53">
        <v>46159</v>
      </c>
      <c r="O52" s="54"/>
      <c r="P52" s="379" t="s">
        <v>25</v>
      </c>
      <c r="Q52" s="380" t="s">
        <v>26</v>
      </c>
      <c r="R52" s="381"/>
      <c r="S52" s="147"/>
      <c r="T52" s="147"/>
      <c r="U52" s="194" t="s">
        <v>27</v>
      </c>
      <c r="V52" s="61" t="s">
        <v>28</v>
      </c>
      <c r="W52" s="62" t="s">
        <v>29</v>
      </c>
      <c r="X52" s="74" t="s">
        <v>30</v>
      </c>
      <c r="Y52" s="7"/>
      <c r="Z52" s="7"/>
      <c r="AA52" s="7"/>
      <c r="AB52" s="13"/>
      <c r="AC52" s="13"/>
      <c r="AD52" s="13"/>
    </row>
    <row r="53" s="21" customFormat="1" ht="14.25">
      <c r="A53" s="203" t="s">
        <v>35</v>
      </c>
      <c r="B53" s="460"/>
      <c r="C53" s="460"/>
      <c r="D53" s="319"/>
      <c r="E53" s="319" t="s">
        <v>33</v>
      </c>
      <c r="F53" s="319"/>
      <c r="G53" s="319" t="s">
        <v>33</v>
      </c>
      <c r="H53" s="319"/>
      <c r="I53" s="319" t="s">
        <v>33</v>
      </c>
      <c r="J53" s="319"/>
      <c r="K53" s="319" t="s">
        <v>33</v>
      </c>
      <c r="L53" s="66"/>
      <c r="M53" s="66"/>
      <c r="N53" s="66"/>
      <c r="O53" s="66"/>
      <c r="P53" s="218">
        <f t="shared" si="97"/>
        <v>32</v>
      </c>
      <c r="Q53" s="62">
        <f t="shared" si="102"/>
        <v>79</v>
      </c>
      <c r="R53" s="219" t="str">
        <f t="shared" si="98"/>
        <v>Рычков</v>
      </c>
      <c r="S53" s="76" t="s">
        <v>10</v>
      </c>
      <c r="T53" s="77" t="s">
        <v>9</v>
      </c>
      <c r="U53" s="73">
        <f t="shared" si="99"/>
        <v>0</v>
      </c>
      <c r="V53" s="62">
        <f t="shared" si="100"/>
        <v>0</v>
      </c>
      <c r="W53" s="62"/>
      <c r="X53" s="74" t="s">
        <v>34</v>
      </c>
      <c r="Y53" s="7"/>
      <c r="Z53" s="7"/>
      <c r="AA53" s="7"/>
      <c r="AB53" s="13"/>
      <c r="AC53" s="13"/>
      <c r="AD53" s="13"/>
    </row>
    <row r="54" s="21" customFormat="1" ht="14.25">
      <c r="A54" s="203" t="s">
        <v>66</v>
      </c>
      <c r="B54" s="460"/>
      <c r="C54" s="460"/>
      <c r="D54" s="319"/>
      <c r="E54" s="319" t="s">
        <v>33</v>
      </c>
      <c r="F54" s="319"/>
      <c r="G54" s="319" t="s">
        <v>33</v>
      </c>
      <c r="H54" s="321"/>
      <c r="I54" s="319" t="s">
        <v>33</v>
      </c>
      <c r="J54" s="319"/>
      <c r="K54" s="319" t="s">
        <v>33</v>
      </c>
      <c r="L54" s="66"/>
      <c r="M54" s="66"/>
      <c r="N54" s="67"/>
      <c r="O54" s="67"/>
      <c r="P54" s="218">
        <f t="shared" si="97"/>
        <v>32</v>
      </c>
      <c r="Q54" s="62">
        <f t="shared" si="102"/>
        <v>79</v>
      </c>
      <c r="R54" s="219" t="str">
        <f t="shared" si="98"/>
        <v>Карузина</v>
      </c>
      <c r="S54" s="76" t="s">
        <v>10</v>
      </c>
      <c r="T54" s="77" t="s">
        <v>9</v>
      </c>
      <c r="U54" s="73">
        <f t="shared" si="99"/>
        <v>0</v>
      </c>
      <c r="V54" s="62">
        <f t="shared" si="100"/>
        <v>0</v>
      </c>
      <c r="W54" s="62"/>
      <c r="X54" s="79" t="s">
        <v>34</v>
      </c>
      <c r="Y54" s="7"/>
      <c r="Z54" s="7"/>
      <c r="AA54" s="7"/>
      <c r="AB54" s="13"/>
      <c r="AC54" s="13"/>
      <c r="AD54" s="13"/>
    </row>
    <row r="55" s="21" customFormat="1" ht="14.25">
      <c r="A55" s="203" t="s">
        <v>39</v>
      </c>
      <c r="B55" s="460"/>
      <c r="C55" s="477"/>
      <c r="D55" s="319"/>
      <c r="E55" s="319" t="s">
        <v>33</v>
      </c>
      <c r="F55" s="319"/>
      <c r="G55" s="319" t="s">
        <v>33</v>
      </c>
      <c r="H55" s="319"/>
      <c r="I55" s="319" t="s">
        <v>33</v>
      </c>
      <c r="J55" s="319"/>
      <c r="K55" s="319" t="s">
        <v>33</v>
      </c>
      <c r="L55" s="66"/>
      <c r="M55" s="66"/>
      <c r="N55" s="66"/>
      <c r="O55" s="66"/>
      <c r="P55" s="218">
        <f t="shared" si="97"/>
        <v>32</v>
      </c>
      <c r="Q55" s="62">
        <f t="shared" si="102"/>
        <v>79</v>
      </c>
      <c r="R55" s="219" t="str">
        <f t="shared" si="98"/>
        <v>Игумнов</v>
      </c>
      <c r="S55" s="76" t="s">
        <v>10</v>
      </c>
      <c r="T55" s="77" t="s">
        <v>9</v>
      </c>
      <c r="U55" s="73">
        <f t="shared" si="99"/>
        <v>0</v>
      </c>
      <c r="V55" s="62">
        <f t="shared" si="100"/>
        <v>0</v>
      </c>
      <c r="W55" s="62"/>
      <c r="X55" s="74" t="s">
        <v>38</v>
      </c>
      <c r="Y55" s="7"/>
      <c r="Z55" s="7"/>
      <c r="AA55" s="7"/>
      <c r="AB55" s="13"/>
      <c r="AC55" s="13"/>
      <c r="AD55" s="13"/>
    </row>
    <row r="56" ht="14.4" hidden="1">
      <c r="A56" s="203" t="s">
        <v>40</v>
      </c>
      <c r="B56" s="460"/>
      <c r="C56" s="460"/>
      <c r="D56" s="319"/>
      <c r="E56" s="319" t="s">
        <v>33</v>
      </c>
      <c r="F56" s="319"/>
      <c r="G56" s="319" t="s">
        <v>33</v>
      </c>
      <c r="H56" s="319"/>
      <c r="I56" s="319" t="s">
        <v>33</v>
      </c>
      <c r="J56" s="319"/>
      <c r="K56" s="319" t="s">
        <v>33</v>
      </c>
      <c r="L56" s="66"/>
      <c r="M56" s="66"/>
      <c r="N56" s="66"/>
      <c r="O56" s="66"/>
      <c r="P56" s="218">
        <f t="shared" si="97"/>
        <v>32</v>
      </c>
      <c r="Q56" s="62">
        <f t="shared" si="102"/>
        <v>79</v>
      </c>
      <c r="R56" s="288" t="str">
        <f t="shared" si="98"/>
        <v>Душин</v>
      </c>
      <c r="S56" s="76" t="s">
        <v>58</v>
      </c>
      <c r="T56" s="77" t="s">
        <v>59</v>
      </c>
      <c r="U56" s="73">
        <f t="shared" si="99"/>
        <v>0</v>
      </c>
      <c r="V56" s="62">
        <f t="shared" si="100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25">
      <c r="A57" s="203" t="s">
        <v>31</v>
      </c>
      <c r="B57" s="460"/>
      <c r="C57" s="460"/>
      <c r="D57" s="319"/>
      <c r="E57" s="319" t="s">
        <v>33</v>
      </c>
      <c r="F57" s="319"/>
      <c r="G57" s="319" t="s">
        <v>33</v>
      </c>
      <c r="H57" s="319"/>
      <c r="I57" s="319" t="s">
        <v>33</v>
      </c>
      <c r="J57" s="319"/>
      <c r="K57" s="319" t="s">
        <v>33</v>
      </c>
      <c r="L57" s="66"/>
      <c r="M57" s="66"/>
      <c r="N57" s="66"/>
      <c r="O57" s="66"/>
      <c r="P57" s="218">
        <f t="shared" si="97"/>
        <v>32</v>
      </c>
      <c r="Q57" s="62">
        <f t="shared" si="102"/>
        <v>79</v>
      </c>
      <c r="R57" s="219" t="str">
        <f t="shared" si="98"/>
        <v>Нетронин</v>
      </c>
      <c r="S57" s="76" t="s">
        <v>58</v>
      </c>
      <c r="T57" s="77" t="s">
        <v>59</v>
      </c>
      <c r="U57" s="90">
        <f t="shared" si="99"/>
        <v>0</v>
      </c>
      <c r="V57" s="62">
        <f t="shared" si="100"/>
        <v>0</v>
      </c>
      <c r="W57" s="62"/>
      <c r="X57" s="74" t="s">
        <v>34</v>
      </c>
      <c r="Y57" s="7"/>
      <c r="Z57" s="7"/>
      <c r="AA57" s="7"/>
      <c r="AB57" s="13"/>
      <c r="AC57" s="13"/>
      <c r="AD57" s="13"/>
    </row>
    <row r="58" ht="14.25">
      <c r="A58" s="203" t="s">
        <v>61</v>
      </c>
      <c r="B58" s="460"/>
      <c r="C58" s="460"/>
      <c r="D58" s="319"/>
      <c r="E58" s="319" t="s">
        <v>33</v>
      </c>
      <c r="F58" s="319"/>
      <c r="G58" s="319" t="s">
        <v>33</v>
      </c>
      <c r="H58" s="319"/>
      <c r="I58" s="319" t="s">
        <v>33</v>
      </c>
      <c r="J58" s="319"/>
      <c r="K58" s="319" t="s">
        <v>33</v>
      </c>
      <c r="L58" s="66"/>
      <c r="M58" s="66"/>
      <c r="N58" s="66"/>
      <c r="O58" s="66"/>
      <c r="P58" s="218">
        <f t="shared" si="97"/>
        <v>32</v>
      </c>
      <c r="Q58" s="62">
        <f t="shared" si="102"/>
        <v>79</v>
      </c>
      <c r="R58" s="219" t="str">
        <f t="shared" si="98"/>
        <v>Раимова</v>
      </c>
      <c r="S58" s="76" t="s">
        <v>10</v>
      </c>
      <c r="T58" s="77" t="s">
        <v>9</v>
      </c>
      <c r="U58" s="73">
        <f t="shared" si="99"/>
        <v>0</v>
      </c>
      <c r="V58" s="62">
        <f t="shared" si="100"/>
        <v>0</v>
      </c>
      <c r="W58" s="62"/>
      <c r="X58" s="74" t="s">
        <v>38</v>
      </c>
      <c r="Y58" s="7"/>
      <c r="Z58" s="7"/>
      <c r="AA58" s="7"/>
      <c r="AB58" s="13"/>
      <c r="AC58" s="13"/>
      <c r="AD58" s="13"/>
    </row>
    <row r="59" ht="14.25">
      <c r="A59" s="203" t="s">
        <v>62</v>
      </c>
      <c r="B59" s="460"/>
      <c r="C59" s="460"/>
      <c r="D59" s="319"/>
      <c r="E59" s="319" t="s">
        <v>33</v>
      </c>
      <c r="F59" s="319"/>
      <c r="G59" s="319" t="s">
        <v>33</v>
      </c>
      <c r="H59" s="319"/>
      <c r="I59" s="319" t="s">
        <v>33</v>
      </c>
      <c r="J59" s="319"/>
      <c r="K59" s="319" t="s">
        <v>33</v>
      </c>
      <c r="L59" s="66"/>
      <c r="M59" s="66"/>
      <c r="N59" s="66"/>
      <c r="O59" s="66"/>
      <c r="P59" s="218">
        <f t="shared" si="97"/>
        <v>32</v>
      </c>
      <c r="Q59" s="62">
        <f t="shared" si="102"/>
        <v>79</v>
      </c>
      <c r="R59" s="219" t="str">
        <f t="shared" si="98"/>
        <v>Войтехович</v>
      </c>
      <c r="S59" s="76" t="s">
        <v>10</v>
      </c>
      <c r="T59" s="77" t="s">
        <v>9</v>
      </c>
      <c r="U59" s="90">
        <f t="shared" si="99"/>
        <v>0</v>
      </c>
      <c r="V59" s="62">
        <f t="shared" si="100"/>
        <v>0</v>
      </c>
      <c r="W59" s="62"/>
      <c r="X59" s="74" t="s">
        <v>38</v>
      </c>
      <c r="Y59" s="7"/>
      <c r="Z59" s="7"/>
      <c r="AA59" s="7"/>
      <c r="AB59" s="13"/>
      <c r="AC59" s="13"/>
      <c r="AD59" s="13"/>
    </row>
    <row r="60" s="21" customFormat="1" ht="14.25">
      <c r="A60" s="203" t="s">
        <v>63</v>
      </c>
      <c r="B60" s="460"/>
      <c r="C60" s="460"/>
      <c r="D60" s="319"/>
      <c r="E60" s="319" t="s">
        <v>33</v>
      </c>
      <c r="F60" s="319"/>
      <c r="G60" s="319" t="s">
        <v>33</v>
      </c>
      <c r="H60" s="319"/>
      <c r="I60" s="319" t="s">
        <v>33</v>
      </c>
      <c r="J60" s="319"/>
      <c r="K60" s="319" t="s">
        <v>33</v>
      </c>
      <c r="L60" s="320"/>
      <c r="M60" s="320"/>
      <c r="N60" s="320"/>
      <c r="O60" s="320"/>
      <c r="P60" s="218">
        <f t="shared" si="97"/>
        <v>32</v>
      </c>
      <c r="Q60" s="62">
        <f t="shared" ref="Q60:Q99" si="103">Q40-P60</f>
        <v>79</v>
      </c>
      <c r="R60" s="219" t="str">
        <f t="shared" si="98"/>
        <v>Васильев</v>
      </c>
      <c r="S60" s="71" t="s">
        <v>12</v>
      </c>
      <c r="T60" s="72" t="s">
        <v>11</v>
      </c>
      <c r="U60" s="73">
        <f t="shared" si="99"/>
        <v>0</v>
      </c>
      <c r="V60" s="62">
        <f t="shared" si="100"/>
        <v>0</v>
      </c>
      <c r="W60" s="62"/>
      <c r="X60" s="74" t="s">
        <v>38</v>
      </c>
      <c r="Y60" s="7"/>
      <c r="Z60" s="7"/>
      <c r="AA60" s="7"/>
      <c r="AB60" s="13"/>
      <c r="AC60" s="13"/>
      <c r="AD60" s="13"/>
    </row>
    <row r="61" s="21" customFormat="1" ht="14.25">
      <c r="A61" s="205" t="s">
        <v>43</v>
      </c>
      <c r="B61" s="320"/>
      <c r="C61" s="320"/>
      <c r="D61" s="320"/>
      <c r="E61" s="320"/>
      <c r="F61" s="76"/>
      <c r="G61" s="324">
        <v>11</v>
      </c>
      <c r="H61" s="76"/>
      <c r="I61" s="324">
        <v>11</v>
      </c>
      <c r="J61" s="320"/>
      <c r="K61" s="320"/>
      <c r="L61" s="320"/>
      <c r="M61" s="320"/>
      <c r="N61" s="76"/>
      <c r="O61" s="324">
        <v>11</v>
      </c>
      <c r="P61" s="218">
        <f t="shared" si="97"/>
        <v>33</v>
      </c>
      <c r="Q61" s="62">
        <f t="shared" si="103"/>
        <v>52</v>
      </c>
      <c r="R61" s="219" t="str">
        <f t="shared" si="98"/>
        <v>Дащенко</v>
      </c>
      <c r="S61" s="76" t="s">
        <v>10</v>
      </c>
      <c r="T61" s="77" t="s">
        <v>9</v>
      </c>
      <c r="U61" s="73">
        <f t="shared" si="99"/>
        <v>0</v>
      </c>
      <c r="V61" s="62">
        <f t="shared" si="100"/>
        <v>0</v>
      </c>
      <c r="W61" s="62"/>
      <c r="X61" s="74" t="s">
        <v>44</v>
      </c>
      <c r="Y61" s="7"/>
      <c r="Z61" s="7"/>
      <c r="AA61" s="7"/>
      <c r="AB61" s="13"/>
      <c r="AC61" s="13"/>
      <c r="AD61" s="13"/>
    </row>
    <row r="62" s="21" customFormat="1" ht="14.25">
      <c r="A62" s="205" t="s">
        <v>45</v>
      </c>
      <c r="B62" s="320"/>
      <c r="C62" s="320"/>
      <c r="D62" s="320"/>
      <c r="E62" s="320"/>
      <c r="F62" s="67"/>
      <c r="G62" s="330"/>
      <c r="H62" s="76"/>
      <c r="I62" s="324">
        <v>11</v>
      </c>
      <c r="J62" s="320"/>
      <c r="K62" s="320"/>
      <c r="L62" s="67"/>
      <c r="M62" s="320"/>
      <c r="N62" s="76"/>
      <c r="O62" s="324">
        <v>11</v>
      </c>
      <c r="P62" s="218">
        <f t="shared" si="97"/>
        <v>22</v>
      </c>
      <c r="Q62" s="62">
        <f t="shared" si="103"/>
        <v>63</v>
      </c>
      <c r="R62" s="219" t="str">
        <f t="shared" si="98"/>
        <v>Пузырь</v>
      </c>
      <c r="S62" s="76" t="s">
        <v>10</v>
      </c>
      <c r="T62" s="77" t="s">
        <v>9</v>
      </c>
      <c r="U62" s="73">
        <f>COUNTIF(T62,B62)+COUNTIF(T62,D62)+COUNTIF(T62,F62)+COUNTIF(T62,H62)+COUNTIF(T62,J62)+COUNTIF(T62,#REF!)+COUNTIF(T62,N62)</f>
        <v>0</v>
      </c>
      <c r="V62" s="62">
        <f>COUNTIF(S62,B62)+COUNTIF(S62,D62)+COUNTIF(S62,F62)+COUNTIF(S62,H62)+COUNTIF(S62,J62)+COUNTIF(S62,#REF!)+COUNTIF(S62,N62)</f>
        <v>0</v>
      </c>
      <c r="W62" s="62"/>
      <c r="X62" s="74" t="s">
        <v>34</v>
      </c>
      <c r="Y62" s="7"/>
      <c r="Z62" s="7"/>
      <c r="AA62" s="7"/>
      <c r="AB62" s="13"/>
      <c r="AC62" s="13"/>
      <c r="AD62" s="13"/>
    </row>
    <row r="63" s="21" customFormat="1" ht="14.25">
      <c r="A63" s="205" t="s">
        <v>64</v>
      </c>
      <c r="B63" s="76"/>
      <c r="C63" s="324">
        <v>11</v>
      </c>
      <c r="D63" s="76"/>
      <c r="E63" s="324">
        <v>11</v>
      </c>
      <c r="F63" s="67"/>
      <c r="G63" s="330"/>
      <c r="H63" s="320"/>
      <c r="I63" s="320"/>
      <c r="J63" s="292"/>
      <c r="K63" s="329">
        <v>11</v>
      </c>
      <c r="L63" s="251"/>
      <c r="M63" s="329">
        <v>11</v>
      </c>
      <c r="N63" s="77"/>
      <c r="O63" s="329">
        <v>11</v>
      </c>
      <c r="P63" s="218">
        <f t="shared" si="97"/>
        <v>55</v>
      </c>
      <c r="Q63" s="62">
        <f t="shared" si="103"/>
        <v>52</v>
      </c>
      <c r="R63" s="219" t="str">
        <f t="shared" si="98"/>
        <v>Рожнева</v>
      </c>
      <c r="S63" s="76" t="s">
        <v>10</v>
      </c>
      <c r="T63" s="77" t="s">
        <v>9</v>
      </c>
      <c r="U63" s="73">
        <f>COUNTIF(T63,B63)+COUNTIF(T63,D63)+COUNTIF(T63,F63)+COUNTIF(T63,H63)+COUNTIF(T63,J63)+COUNTIF(T63,L62)+COUNTIF(T63,N63)</f>
        <v>0</v>
      </c>
      <c r="V63" s="62">
        <f>COUNTIF(S63,B63)+COUNTIF(S63,D63)+COUNTIF(S63,F63)+COUNTIF(S63,H63)+COUNTIF(S63,J63)+COUNTIF(S63,L62)+COUNTIF(S63,N63)</f>
        <v>0</v>
      </c>
      <c r="W63" s="62"/>
      <c r="X63" s="74" t="s">
        <v>34</v>
      </c>
      <c r="Y63" s="7"/>
      <c r="Z63" s="7"/>
      <c r="AA63" s="7"/>
      <c r="AB63" s="13"/>
      <c r="AC63" s="13"/>
      <c r="AD63" s="13"/>
    </row>
    <row r="64" s="21" customFormat="1" ht="14.25">
      <c r="A64" s="205" t="s">
        <v>47</v>
      </c>
      <c r="B64" s="76"/>
      <c r="C64" s="324">
        <v>11</v>
      </c>
      <c r="D64" s="76"/>
      <c r="E64" s="324">
        <v>11</v>
      </c>
      <c r="F64" s="76"/>
      <c r="G64" s="324">
        <v>11</v>
      </c>
      <c r="H64" s="320"/>
      <c r="I64" s="320"/>
      <c r="J64" s="67"/>
      <c r="K64" s="330"/>
      <c r="L64" s="77"/>
      <c r="M64" s="329">
        <v>11</v>
      </c>
      <c r="N64" s="77"/>
      <c r="O64" s="329">
        <v>11</v>
      </c>
      <c r="P64" s="218">
        <f t="shared" si="97"/>
        <v>55</v>
      </c>
      <c r="Q64" s="62">
        <f t="shared" si="103"/>
        <v>52</v>
      </c>
      <c r="R64" s="219" t="str">
        <f t="shared" si="98"/>
        <v>Торубара</v>
      </c>
      <c r="S64" s="76" t="s">
        <v>10</v>
      </c>
      <c r="T64" s="77" t="s">
        <v>9</v>
      </c>
      <c r="U64" s="73">
        <f t="shared" ref="U64:U108" si="104">COUNTIF(T64,B64)+COUNTIF(T64,D64)+COUNTIF(T64,F64)+COUNTIF(T64,H64)+COUNTIF(T64,J64)+COUNTIF(T64,L64)+COUNTIF(T64,N64)</f>
        <v>0</v>
      </c>
      <c r="V64" s="62">
        <f t="shared" ref="V64:V108" si="105">COUNTIF(S64,B64)+COUNTIF(S64,D64)+COUNTIF(S64,F64)+COUNTIF(S64,H64)+COUNTIF(S64,J64)+COUNTIF(S64,L64)+COUNTIF(S64,N64)</f>
        <v>0</v>
      </c>
      <c r="W64" s="62"/>
      <c r="X64" s="74" t="s">
        <v>34</v>
      </c>
      <c r="Y64" s="7"/>
      <c r="Z64" s="7"/>
      <c r="AA64" s="7"/>
      <c r="AB64" s="13"/>
      <c r="AC64" s="13"/>
      <c r="AD64" s="13"/>
    </row>
    <row r="65" s="21" customFormat="1" ht="14.25">
      <c r="A65" s="205" t="s">
        <v>48</v>
      </c>
      <c r="B65" s="77"/>
      <c r="C65" s="329">
        <v>11</v>
      </c>
      <c r="D65" s="67"/>
      <c r="E65" s="330"/>
      <c r="F65" s="320"/>
      <c r="G65" s="320"/>
      <c r="H65" s="320"/>
      <c r="I65" s="320"/>
      <c r="J65" s="76"/>
      <c r="K65" s="324">
        <v>11</v>
      </c>
      <c r="L65" s="76"/>
      <c r="M65" s="324">
        <v>11</v>
      </c>
      <c r="N65" s="320"/>
      <c r="O65" s="320"/>
      <c r="P65" s="285">
        <f t="shared" si="97"/>
        <v>33</v>
      </c>
      <c r="Q65" s="62">
        <f t="shared" si="103"/>
        <v>63</v>
      </c>
      <c r="R65" s="461" t="str">
        <f t="shared" si="98"/>
        <v>Стрыгин</v>
      </c>
      <c r="S65" s="71" t="s">
        <v>8</v>
      </c>
      <c r="T65" s="72" t="s">
        <v>7</v>
      </c>
      <c r="U65" s="90">
        <f t="shared" si="104"/>
        <v>0</v>
      </c>
      <c r="V65" s="62">
        <f t="shared" si="105"/>
        <v>0</v>
      </c>
      <c r="W65" s="62"/>
      <c r="X65" s="74" t="s">
        <v>49</v>
      </c>
      <c r="Y65" s="7"/>
      <c r="Z65" s="7"/>
      <c r="AA65" s="7"/>
      <c r="AB65" s="13"/>
      <c r="AC65" s="13"/>
      <c r="AD65" s="13"/>
    </row>
    <row r="66" s="21" customFormat="1" ht="14.25">
      <c r="A66" s="205" t="s">
        <v>50</v>
      </c>
      <c r="B66" s="67"/>
      <c r="C66" s="330"/>
      <c r="D66" s="320"/>
      <c r="E66" s="320"/>
      <c r="F66" s="77"/>
      <c r="G66" s="329">
        <v>11</v>
      </c>
      <c r="H66" s="77"/>
      <c r="I66" s="329">
        <v>11</v>
      </c>
      <c r="J66" s="261"/>
      <c r="K66" s="330"/>
      <c r="L66" s="320"/>
      <c r="M66" s="320"/>
      <c r="N66" s="320"/>
      <c r="O66" s="320"/>
      <c r="P66" s="218">
        <f t="shared" si="97"/>
        <v>22</v>
      </c>
      <c r="Q66" s="62">
        <f t="shared" si="103"/>
        <v>74</v>
      </c>
      <c r="R66" s="219" t="str">
        <f t="shared" si="98"/>
        <v>Фрик</v>
      </c>
      <c r="S66" s="71" t="s">
        <v>12</v>
      </c>
      <c r="T66" s="72" t="s">
        <v>11</v>
      </c>
      <c r="U66" s="73">
        <f t="shared" si="104"/>
        <v>0</v>
      </c>
      <c r="V66" s="62">
        <f t="shared" si="105"/>
        <v>0</v>
      </c>
      <c r="W66" s="62"/>
      <c r="X66" s="74" t="s">
        <v>44</v>
      </c>
      <c r="Y66" s="7"/>
      <c r="Z66" s="7"/>
      <c r="AA66" s="7"/>
      <c r="AB66" s="13"/>
      <c r="AC66" s="13"/>
      <c r="AD66" s="13"/>
    </row>
    <row r="67" s="21" customFormat="1" ht="14.25">
      <c r="A67" s="206" t="s">
        <v>51</v>
      </c>
      <c r="B67" s="77"/>
      <c r="C67" s="329">
        <v>11</v>
      </c>
      <c r="D67" s="77"/>
      <c r="E67" s="329">
        <v>11</v>
      </c>
      <c r="F67" s="67"/>
      <c r="G67" s="330"/>
      <c r="H67" s="320"/>
      <c r="I67" s="320"/>
      <c r="J67" s="76"/>
      <c r="K67" s="324">
        <v>11</v>
      </c>
      <c r="L67" s="76"/>
      <c r="M67" s="324">
        <v>11</v>
      </c>
      <c r="N67" s="320"/>
      <c r="O67" s="320"/>
      <c r="P67" s="218">
        <f t="shared" si="97"/>
        <v>44</v>
      </c>
      <c r="Q67" s="62">
        <f t="shared" si="103"/>
        <v>63</v>
      </c>
      <c r="R67" s="219" t="str">
        <f t="shared" si="98"/>
        <v>Истрашкин</v>
      </c>
      <c r="S67" s="71" t="s">
        <v>10</v>
      </c>
      <c r="T67" s="72" t="s">
        <v>9</v>
      </c>
      <c r="U67" s="73">
        <f t="shared" si="104"/>
        <v>0</v>
      </c>
      <c r="V67" s="62">
        <f t="shared" si="105"/>
        <v>0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 s="21" customFormat="1" ht="14.25">
      <c r="A68" s="369" t="s">
        <v>65</v>
      </c>
      <c r="B68" s="320"/>
      <c r="C68" s="350"/>
      <c r="D68" s="77"/>
      <c r="E68" s="469">
        <v>11</v>
      </c>
      <c r="F68" s="77"/>
      <c r="G68" s="469">
        <v>11</v>
      </c>
      <c r="H68" s="468"/>
      <c r="I68" s="400"/>
      <c r="J68" s="320"/>
      <c r="K68" s="320"/>
      <c r="L68" s="173"/>
      <c r="M68" s="324">
        <v>11</v>
      </c>
      <c r="N68" s="173"/>
      <c r="O68" s="324">
        <v>11</v>
      </c>
      <c r="P68" s="220">
        <f t="shared" si="97"/>
        <v>44</v>
      </c>
      <c r="Q68" s="221">
        <f t="shared" si="103"/>
        <v>66</v>
      </c>
      <c r="R68" s="219" t="str">
        <f t="shared" si="98"/>
        <v>Качаев</v>
      </c>
      <c r="S68" s="71" t="s">
        <v>10</v>
      </c>
      <c r="T68" s="72" t="s">
        <v>9</v>
      </c>
      <c r="U68" s="73">
        <f t="shared" si="104"/>
        <v>0</v>
      </c>
      <c r="V68" s="62">
        <f t="shared" si="105"/>
        <v>0</v>
      </c>
      <c r="W68" s="62"/>
      <c r="X68" s="74" t="s">
        <v>34</v>
      </c>
      <c r="Y68" s="7"/>
      <c r="Z68" s="7"/>
      <c r="AA68" s="7"/>
      <c r="AB68" s="13"/>
      <c r="AC68" s="13"/>
      <c r="AD68" s="13"/>
    </row>
    <row r="69" s="21" customFormat="1" ht="14.25">
      <c r="A69" s="92"/>
      <c r="B69" s="145">
        <v>46153</v>
      </c>
      <c r="C69" s="145"/>
      <c r="D69" s="53">
        <v>46154</v>
      </c>
      <c r="E69" s="53"/>
      <c r="F69" s="53">
        <v>46155</v>
      </c>
      <c r="G69" s="53"/>
      <c r="H69" s="53">
        <v>46156</v>
      </c>
      <c r="I69" s="53"/>
      <c r="J69" s="53">
        <v>46157</v>
      </c>
      <c r="K69" s="53"/>
      <c r="L69" s="53">
        <v>46158</v>
      </c>
      <c r="M69" s="53"/>
      <c r="N69" s="53">
        <v>46159</v>
      </c>
      <c r="O69" s="54"/>
      <c r="P69" s="68"/>
      <c r="Q69" s="67"/>
      <c r="R69" s="391"/>
      <c r="S69" s="138"/>
      <c r="T69" s="138"/>
      <c r="U69" s="194" t="s">
        <v>27</v>
      </c>
      <c r="V69" s="61" t="s">
        <v>28</v>
      </c>
      <c r="W69" s="62" t="s">
        <v>29</v>
      </c>
      <c r="X69" s="74" t="s">
        <v>34</v>
      </c>
      <c r="Y69" s="7"/>
      <c r="Z69" s="7"/>
      <c r="AA69" s="7"/>
      <c r="AB69" s="13"/>
      <c r="AC69" s="13"/>
      <c r="AD69" s="13"/>
    </row>
    <row r="70" s="21" customFormat="1" ht="14.2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393"/>
      <c r="S70" s="393"/>
      <c r="T70" s="393"/>
      <c r="U70" s="339"/>
      <c r="V70" s="165"/>
      <c r="W70" s="100"/>
      <c r="X70" s="373"/>
      <c r="Y70" s="7"/>
      <c r="Z70" s="7"/>
      <c r="AA70" s="7"/>
      <c r="AB70" s="13"/>
      <c r="AC70" s="13"/>
      <c r="AD70" s="13"/>
    </row>
    <row r="71" s="21" customFormat="1" ht="14.25">
      <c r="A71" s="52"/>
      <c r="B71" s="56" t="s">
        <v>17</v>
      </c>
      <c r="C71" s="405"/>
      <c r="D71" s="56" t="s">
        <v>18</v>
      </c>
      <c r="E71" s="116"/>
      <c r="F71" s="56" t="s">
        <v>19</v>
      </c>
      <c r="G71" s="56"/>
      <c r="H71" s="56" t="s">
        <v>20</v>
      </c>
      <c r="I71" s="116"/>
      <c r="J71" s="129" t="s">
        <v>21</v>
      </c>
      <c r="K71" s="129"/>
      <c r="L71" s="56" t="s">
        <v>22</v>
      </c>
      <c r="M71" s="56"/>
      <c r="N71" s="56" t="s">
        <v>23</v>
      </c>
      <c r="O71" s="56"/>
      <c r="P71" s="374" t="s">
        <v>24</v>
      </c>
      <c r="Q71" s="375"/>
      <c r="R71" s="376"/>
      <c r="S71" s="143"/>
      <c r="T71" s="143"/>
      <c r="U71" s="90"/>
      <c r="V71" s="62"/>
      <c r="W71" s="62"/>
      <c r="X71" s="74"/>
      <c r="Y71" s="7"/>
      <c r="Z71" s="7"/>
      <c r="AA71" s="7"/>
      <c r="AB71" s="13"/>
      <c r="AC71" s="13"/>
      <c r="AD71" s="13"/>
    </row>
    <row r="72" ht="14.25">
      <c r="A72" s="377"/>
      <c r="B72" s="53">
        <v>46160</v>
      </c>
      <c r="C72" s="53"/>
      <c r="D72" s="53">
        <v>46161</v>
      </c>
      <c r="E72" s="53"/>
      <c r="F72" s="53">
        <v>46162</v>
      </c>
      <c r="G72" s="53"/>
      <c r="H72" s="53">
        <v>46163</v>
      </c>
      <c r="I72" s="53"/>
      <c r="J72" s="53">
        <v>46164</v>
      </c>
      <c r="K72" s="53"/>
      <c r="L72" s="53">
        <v>46165</v>
      </c>
      <c r="M72" s="53"/>
      <c r="N72" s="53">
        <v>46166</v>
      </c>
      <c r="O72" s="54"/>
      <c r="P72" s="379" t="s">
        <v>25</v>
      </c>
      <c r="Q72" s="380" t="s">
        <v>26</v>
      </c>
      <c r="R72" s="381"/>
      <c r="S72" s="147"/>
      <c r="T72" s="147"/>
      <c r="U72" s="60" t="s">
        <v>27</v>
      </c>
      <c r="V72" s="61" t="s">
        <v>28</v>
      </c>
      <c r="W72" s="62" t="s">
        <v>29</v>
      </c>
      <c r="X72" s="63" t="s">
        <v>30</v>
      </c>
      <c r="Y72" s="7"/>
      <c r="Z72" s="7"/>
      <c r="AA72" s="7"/>
      <c r="AB72" s="13"/>
      <c r="AC72" s="13"/>
      <c r="AD72" s="13"/>
    </row>
    <row r="73" ht="14.25">
      <c r="A73" s="203" t="s">
        <v>35</v>
      </c>
      <c r="B73" s="319"/>
      <c r="C73" s="319" t="s">
        <v>33</v>
      </c>
      <c r="D73" s="319"/>
      <c r="E73" s="319" t="s">
        <v>33</v>
      </c>
      <c r="F73" s="319"/>
      <c r="G73" s="319" t="s">
        <v>33</v>
      </c>
      <c r="H73" s="319"/>
      <c r="I73" s="319" t="s">
        <v>33</v>
      </c>
      <c r="J73" s="319"/>
      <c r="K73" s="319" t="s">
        <v>33</v>
      </c>
      <c r="L73" s="66"/>
      <c r="M73" s="66"/>
      <c r="N73" s="66"/>
      <c r="O73" s="66"/>
      <c r="P73" s="218">
        <f t="shared" si="97"/>
        <v>40</v>
      </c>
      <c r="Q73" s="62">
        <f t="shared" si="103"/>
        <v>39</v>
      </c>
      <c r="R73" s="219" t="str">
        <f t="shared" si="98"/>
        <v>Рычков</v>
      </c>
      <c r="S73" s="76" t="s">
        <v>10</v>
      </c>
      <c r="T73" s="77" t="s">
        <v>9</v>
      </c>
      <c r="U73" s="90">
        <f t="shared" si="104"/>
        <v>0</v>
      </c>
      <c r="V73" s="62">
        <f t="shared" si="105"/>
        <v>0</v>
      </c>
      <c r="W73" s="62"/>
      <c r="X73" s="74" t="s">
        <v>34</v>
      </c>
      <c r="Y73" s="7"/>
      <c r="Z73" s="7"/>
      <c r="AA73" s="7"/>
      <c r="AB73" s="13"/>
      <c r="AC73" s="13"/>
      <c r="AD73" s="13"/>
    </row>
    <row r="74" ht="14.25">
      <c r="A74" s="203" t="s">
        <v>66</v>
      </c>
      <c r="B74" s="319"/>
      <c r="C74" s="319" t="s">
        <v>33</v>
      </c>
      <c r="D74" s="319"/>
      <c r="E74" s="319" t="s">
        <v>33</v>
      </c>
      <c r="F74" s="319"/>
      <c r="G74" s="319" t="s">
        <v>33</v>
      </c>
      <c r="H74" s="319"/>
      <c r="I74" s="319" t="s">
        <v>33</v>
      </c>
      <c r="J74" s="319"/>
      <c r="K74" s="319" t="s">
        <v>33</v>
      </c>
      <c r="L74" s="66"/>
      <c r="M74" s="66"/>
      <c r="N74" s="67"/>
      <c r="O74" s="67"/>
      <c r="P74" s="218">
        <f t="shared" si="97"/>
        <v>40</v>
      </c>
      <c r="Q74" s="62">
        <f t="shared" si="103"/>
        <v>39</v>
      </c>
      <c r="R74" s="219" t="str">
        <f t="shared" si="98"/>
        <v>Карузина</v>
      </c>
      <c r="S74" s="76" t="s">
        <v>10</v>
      </c>
      <c r="T74" s="77" t="s">
        <v>9</v>
      </c>
      <c r="U74" s="73">
        <f t="shared" si="104"/>
        <v>0</v>
      </c>
      <c r="V74" s="62">
        <f t="shared" si="105"/>
        <v>0</v>
      </c>
      <c r="W74" s="62"/>
      <c r="X74" s="79" t="s">
        <v>34</v>
      </c>
      <c r="Y74" s="7"/>
      <c r="Z74" s="7"/>
      <c r="AA74" s="7"/>
      <c r="AB74" s="13"/>
      <c r="AC74" s="13"/>
      <c r="AD74" s="13"/>
    </row>
    <row r="75" ht="14.25">
      <c r="A75" s="203" t="s">
        <v>39</v>
      </c>
      <c r="B75" s="319"/>
      <c r="C75" s="319" t="s">
        <v>33</v>
      </c>
      <c r="D75" s="319"/>
      <c r="E75" s="319" t="s">
        <v>33</v>
      </c>
      <c r="F75" s="319"/>
      <c r="G75" s="319" t="s">
        <v>33</v>
      </c>
      <c r="H75" s="319"/>
      <c r="I75" s="319" t="s">
        <v>33</v>
      </c>
      <c r="J75" s="319"/>
      <c r="K75" s="319" t="s">
        <v>33</v>
      </c>
      <c r="L75" s="66"/>
      <c r="M75" s="66"/>
      <c r="N75" s="66"/>
      <c r="O75" s="66"/>
      <c r="P75" s="218">
        <f t="shared" si="97"/>
        <v>40</v>
      </c>
      <c r="Q75" s="62">
        <f t="shared" si="103"/>
        <v>39</v>
      </c>
      <c r="R75" s="219" t="str">
        <f t="shared" si="98"/>
        <v>Игумнов</v>
      </c>
      <c r="S75" s="76" t="s">
        <v>10</v>
      </c>
      <c r="T75" s="77" t="s">
        <v>9</v>
      </c>
      <c r="U75" s="90">
        <f t="shared" si="104"/>
        <v>0</v>
      </c>
      <c r="V75" s="62">
        <f t="shared" si="105"/>
        <v>0</v>
      </c>
      <c r="W75" s="62"/>
      <c r="X75" s="74" t="s">
        <v>38</v>
      </c>
      <c r="Y75" s="7"/>
      <c r="Z75" s="7"/>
      <c r="AA75" s="7"/>
      <c r="AB75" s="13"/>
      <c r="AC75" s="13"/>
      <c r="AD75" s="13"/>
    </row>
    <row r="76" ht="14.25">
      <c r="A76" s="203" t="s">
        <v>40</v>
      </c>
      <c r="B76" s="319"/>
      <c r="C76" s="319" t="s">
        <v>33</v>
      </c>
      <c r="D76" s="319"/>
      <c r="E76" s="319" t="s">
        <v>33</v>
      </c>
      <c r="F76" s="319"/>
      <c r="G76" s="319" t="s">
        <v>33</v>
      </c>
      <c r="H76" s="319"/>
      <c r="I76" s="319" t="s">
        <v>33</v>
      </c>
      <c r="J76" s="319"/>
      <c r="K76" s="319" t="s">
        <v>33</v>
      </c>
      <c r="L76" s="66"/>
      <c r="M76" s="66"/>
      <c r="N76" s="66"/>
      <c r="O76" s="66"/>
      <c r="P76" s="218">
        <f t="shared" ref="P76:P108" si="106">C76+E76+G76+I76+K76+M76+O76</f>
        <v>40</v>
      </c>
      <c r="Q76" s="62">
        <f t="shared" si="103"/>
        <v>39</v>
      </c>
      <c r="R76" s="219" t="str">
        <f t="shared" ref="R76:R108" si="107">A76</f>
        <v>Душин</v>
      </c>
      <c r="S76" s="76" t="s">
        <v>58</v>
      </c>
      <c r="T76" s="77" t="s">
        <v>59</v>
      </c>
      <c r="U76" s="90">
        <f t="shared" si="104"/>
        <v>0</v>
      </c>
      <c r="V76" s="62">
        <f t="shared" si="105"/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 s="21" customFormat="1" ht="14.25">
      <c r="A77" s="203" t="s">
        <v>31</v>
      </c>
      <c r="B77" s="319"/>
      <c r="C77" s="319" t="s">
        <v>33</v>
      </c>
      <c r="D77" s="319"/>
      <c r="E77" s="319" t="s">
        <v>33</v>
      </c>
      <c r="F77" s="319"/>
      <c r="G77" s="319" t="s">
        <v>33</v>
      </c>
      <c r="H77" s="319"/>
      <c r="I77" s="319" t="s">
        <v>33</v>
      </c>
      <c r="J77" s="319"/>
      <c r="K77" s="319" t="s">
        <v>33</v>
      </c>
      <c r="L77" s="66"/>
      <c r="M77" s="66"/>
      <c r="N77" s="66"/>
      <c r="O77" s="66"/>
      <c r="P77" s="218">
        <f t="shared" si="106"/>
        <v>40</v>
      </c>
      <c r="Q77" s="62">
        <f t="shared" si="103"/>
        <v>39</v>
      </c>
      <c r="R77" s="219" t="str">
        <f t="shared" si="107"/>
        <v>Нетронин</v>
      </c>
      <c r="S77" s="76" t="s">
        <v>58</v>
      </c>
      <c r="T77" s="77" t="s">
        <v>59</v>
      </c>
      <c r="U77" s="73">
        <f t="shared" si="104"/>
        <v>0</v>
      </c>
      <c r="V77" s="62">
        <f t="shared" si="105"/>
        <v>0</v>
      </c>
      <c r="W77" s="62"/>
      <c r="X77" s="74" t="s">
        <v>34</v>
      </c>
      <c r="Y77" s="7"/>
      <c r="Z77" s="7"/>
      <c r="AA77" s="7"/>
      <c r="AB77" s="13"/>
      <c r="AC77" s="13"/>
      <c r="AD77" s="13"/>
    </row>
    <row r="78" s="21" customFormat="1" ht="14.25">
      <c r="A78" s="203" t="s">
        <v>61</v>
      </c>
      <c r="B78" s="319"/>
      <c r="C78" s="319" t="s">
        <v>33</v>
      </c>
      <c r="D78" s="319"/>
      <c r="E78" s="319" t="s">
        <v>33</v>
      </c>
      <c r="F78" s="319"/>
      <c r="G78" s="319" t="s">
        <v>33</v>
      </c>
      <c r="H78" s="319"/>
      <c r="I78" s="319" t="s">
        <v>33</v>
      </c>
      <c r="J78" s="319"/>
      <c r="K78" s="319" t="s">
        <v>33</v>
      </c>
      <c r="L78" s="66"/>
      <c r="M78" s="66"/>
      <c r="N78" s="66"/>
      <c r="O78" s="66"/>
      <c r="P78" s="218">
        <f t="shared" si="106"/>
        <v>40</v>
      </c>
      <c r="Q78" s="62">
        <f t="shared" si="103"/>
        <v>39</v>
      </c>
      <c r="R78" s="219" t="str">
        <f t="shared" si="107"/>
        <v>Раимова</v>
      </c>
      <c r="S78" s="76" t="s">
        <v>10</v>
      </c>
      <c r="T78" s="77" t="s">
        <v>9</v>
      </c>
      <c r="U78" s="73">
        <f t="shared" si="104"/>
        <v>0</v>
      </c>
      <c r="V78" s="62">
        <f t="shared" si="105"/>
        <v>0</v>
      </c>
      <c r="W78" s="62"/>
      <c r="X78" s="74" t="s">
        <v>38</v>
      </c>
      <c r="Y78" s="7"/>
      <c r="Z78" s="7"/>
      <c r="AA78" s="7"/>
      <c r="AB78" s="13"/>
      <c r="AC78" s="13"/>
      <c r="AD78" s="13"/>
    </row>
    <row r="79" s="21" customFormat="1" ht="14.25">
      <c r="A79" s="203" t="s">
        <v>62</v>
      </c>
      <c r="B79" s="319"/>
      <c r="C79" s="319" t="s">
        <v>33</v>
      </c>
      <c r="D79" s="319"/>
      <c r="E79" s="319" t="s">
        <v>33</v>
      </c>
      <c r="F79" s="319"/>
      <c r="G79" s="319" t="s">
        <v>33</v>
      </c>
      <c r="H79" s="319"/>
      <c r="I79" s="319" t="s">
        <v>33</v>
      </c>
      <c r="J79" s="319"/>
      <c r="K79" s="319" t="s">
        <v>33</v>
      </c>
      <c r="L79" s="66"/>
      <c r="M79" s="66"/>
      <c r="N79" s="66"/>
      <c r="O79" s="66"/>
      <c r="P79" s="218">
        <f t="shared" si="106"/>
        <v>40</v>
      </c>
      <c r="Q79" s="62">
        <f t="shared" si="103"/>
        <v>39</v>
      </c>
      <c r="R79" s="219" t="str">
        <f t="shared" si="107"/>
        <v>Войтехович</v>
      </c>
      <c r="S79" s="76" t="s">
        <v>10</v>
      </c>
      <c r="T79" s="77" t="s">
        <v>9</v>
      </c>
      <c r="U79" s="73">
        <f t="shared" si="104"/>
        <v>0</v>
      </c>
      <c r="V79" s="62">
        <f t="shared" si="105"/>
        <v>0</v>
      </c>
      <c r="W79" s="62"/>
      <c r="X79" s="74" t="s">
        <v>38</v>
      </c>
      <c r="Y79" s="7"/>
      <c r="Z79" s="7"/>
      <c r="AA79" s="7"/>
      <c r="AB79" s="13"/>
      <c r="AC79" s="13"/>
      <c r="AD79" s="13"/>
    </row>
    <row r="80" s="21" customFormat="1" ht="14.25">
      <c r="A80" s="203" t="s">
        <v>63</v>
      </c>
      <c r="B80" s="319"/>
      <c r="C80" s="319" t="s">
        <v>33</v>
      </c>
      <c r="D80" s="319"/>
      <c r="E80" s="319" t="s">
        <v>33</v>
      </c>
      <c r="F80" s="319"/>
      <c r="G80" s="319" t="s">
        <v>33</v>
      </c>
      <c r="H80" s="319"/>
      <c r="I80" s="319" t="s">
        <v>33</v>
      </c>
      <c r="J80" s="319"/>
      <c r="K80" s="319" t="s">
        <v>33</v>
      </c>
      <c r="L80" s="320"/>
      <c r="M80" s="320"/>
      <c r="N80" s="320"/>
      <c r="O80" s="320"/>
      <c r="P80" s="218">
        <f t="shared" si="106"/>
        <v>40</v>
      </c>
      <c r="Q80" s="62">
        <f t="shared" si="103"/>
        <v>39</v>
      </c>
      <c r="R80" s="219" t="str">
        <f t="shared" si="107"/>
        <v>Васильев</v>
      </c>
      <c r="S80" s="71" t="s">
        <v>12</v>
      </c>
      <c r="T80" s="72" t="s">
        <v>11</v>
      </c>
      <c r="U80" s="73">
        <f t="shared" si="104"/>
        <v>0</v>
      </c>
      <c r="V80" s="62">
        <f t="shared" si="105"/>
        <v>0</v>
      </c>
      <c r="W80" s="62"/>
      <c r="X80" s="74" t="s">
        <v>38</v>
      </c>
      <c r="Y80" s="7"/>
      <c r="Z80" s="7"/>
      <c r="AA80" s="7"/>
      <c r="AB80" s="13"/>
      <c r="AC80" s="13"/>
      <c r="AD80" s="13"/>
    </row>
    <row r="81" s="21" customFormat="1" ht="14.25">
      <c r="A81" s="205" t="s">
        <v>43</v>
      </c>
      <c r="B81" s="67"/>
      <c r="C81" s="330"/>
      <c r="D81" s="76"/>
      <c r="E81" s="324">
        <v>11</v>
      </c>
      <c r="F81" s="76"/>
      <c r="G81" s="324">
        <v>11</v>
      </c>
      <c r="H81" s="67"/>
      <c r="I81" s="330"/>
      <c r="J81" s="67"/>
      <c r="K81" s="330"/>
      <c r="L81" s="77"/>
      <c r="M81" s="329">
        <v>11</v>
      </c>
      <c r="N81" s="77"/>
      <c r="O81" s="329">
        <v>11</v>
      </c>
      <c r="P81" s="285">
        <f t="shared" si="106"/>
        <v>44</v>
      </c>
      <c r="Q81" s="62">
        <f t="shared" si="103"/>
        <v>8</v>
      </c>
      <c r="R81" s="461" t="str">
        <f t="shared" si="107"/>
        <v>Дащенко</v>
      </c>
      <c r="S81" s="76" t="s">
        <v>10</v>
      </c>
      <c r="T81" s="77" t="s">
        <v>9</v>
      </c>
      <c r="U81" s="90">
        <f t="shared" si="104"/>
        <v>0</v>
      </c>
      <c r="V81" s="62">
        <f t="shared" si="105"/>
        <v>0</v>
      </c>
      <c r="W81" s="62"/>
      <c r="X81" s="74" t="s">
        <v>34</v>
      </c>
      <c r="Y81" s="7"/>
      <c r="Z81" s="7"/>
      <c r="AA81" s="7"/>
      <c r="AB81" s="13"/>
      <c r="AC81" s="13"/>
      <c r="AD81" s="13"/>
    </row>
    <row r="82" s="21" customFormat="1" ht="14.25">
      <c r="A82" s="205" t="s">
        <v>45</v>
      </c>
      <c r="B82" s="76"/>
      <c r="C82" s="324">
        <v>11</v>
      </c>
      <c r="D82" s="320"/>
      <c r="E82" s="320"/>
      <c r="F82" s="320"/>
      <c r="G82" s="320"/>
      <c r="H82" s="77"/>
      <c r="I82" s="329">
        <v>11</v>
      </c>
      <c r="J82" s="77"/>
      <c r="K82" s="329">
        <v>11</v>
      </c>
      <c r="L82" s="67"/>
      <c r="M82" s="330"/>
      <c r="N82" s="320"/>
      <c r="O82" s="320"/>
      <c r="P82" s="218">
        <f t="shared" si="106"/>
        <v>33</v>
      </c>
      <c r="Q82" s="62">
        <f t="shared" si="103"/>
        <v>30</v>
      </c>
      <c r="R82" s="219" t="str">
        <f t="shared" si="107"/>
        <v>Пузырь</v>
      </c>
      <c r="S82" s="76" t="s">
        <v>10</v>
      </c>
      <c r="T82" s="77" t="s">
        <v>9</v>
      </c>
      <c r="U82" s="73">
        <f t="shared" si="104"/>
        <v>0</v>
      </c>
      <c r="V82" s="62">
        <f t="shared" si="105"/>
        <v>0</v>
      </c>
      <c r="W82" s="62"/>
      <c r="X82" s="74" t="s">
        <v>34</v>
      </c>
      <c r="Y82" s="7"/>
      <c r="Z82" s="7"/>
      <c r="AA82" s="7"/>
      <c r="AB82" s="13"/>
      <c r="AC82" s="13"/>
      <c r="AD82" s="13"/>
    </row>
    <row r="83" s="21" customFormat="1" ht="14.25">
      <c r="A83" s="205" t="s">
        <v>64</v>
      </c>
      <c r="B83" s="442" t="s">
        <v>1</v>
      </c>
      <c r="C83" s="478">
        <v>8</v>
      </c>
      <c r="D83" s="442" t="s">
        <v>1</v>
      </c>
      <c r="E83" s="478">
        <v>8</v>
      </c>
      <c r="F83" s="442" t="s">
        <v>1</v>
      </c>
      <c r="G83" s="478">
        <v>8</v>
      </c>
      <c r="H83" s="442" t="s">
        <v>1</v>
      </c>
      <c r="I83" s="478">
        <v>8</v>
      </c>
      <c r="J83" s="442" t="s">
        <v>1</v>
      </c>
      <c r="K83" s="478">
        <v>8</v>
      </c>
      <c r="L83" s="442" t="s">
        <v>1</v>
      </c>
      <c r="M83" s="478"/>
      <c r="N83" s="442"/>
      <c r="O83" s="478"/>
      <c r="P83" s="218">
        <f t="shared" si="106"/>
        <v>40</v>
      </c>
      <c r="Q83" s="62">
        <f t="shared" si="103"/>
        <v>12</v>
      </c>
      <c r="R83" s="219" t="str">
        <f t="shared" si="107"/>
        <v>Рожнева</v>
      </c>
      <c r="S83" s="76" t="s">
        <v>10</v>
      </c>
      <c r="T83" s="77" t="s">
        <v>9</v>
      </c>
      <c r="U83" s="73">
        <f t="shared" si="104"/>
        <v>0</v>
      </c>
      <c r="V83" s="62">
        <f t="shared" si="105"/>
        <v>0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s="21" customFormat="1" ht="14.25">
      <c r="A84" s="205" t="s">
        <v>47</v>
      </c>
      <c r="B84" s="320"/>
      <c r="C84" s="320"/>
      <c r="D84" s="67"/>
      <c r="E84" s="330"/>
      <c r="F84" s="76"/>
      <c r="G84" s="324">
        <v>11</v>
      </c>
      <c r="H84" s="76"/>
      <c r="I84" s="324">
        <v>11</v>
      </c>
      <c r="J84" s="479"/>
      <c r="K84" s="324">
        <v>11</v>
      </c>
      <c r="L84" s="261"/>
      <c r="M84" s="330"/>
      <c r="N84" s="67"/>
      <c r="O84" s="330"/>
      <c r="P84" s="218">
        <f t="shared" si="106"/>
        <v>33</v>
      </c>
      <c r="Q84" s="62">
        <f t="shared" si="103"/>
        <v>19</v>
      </c>
      <c r="R84" s="219" t="str">
        <f t="shared" si="107"/>
        <v>Торубара</v>
      </c>
      <c r="S84" s="76" t="s">
        <v>10</v>
      </c>
      <c r="T84" s="77" t="s">
        <v>9</v>
      </c>
      <c r="U84" s="73">
        <f t="shared" si="104"/>
        <v>0</v>
      </c>
      <c r="V84" s="62">
        <f t="shared" si="105"/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s="21" customFormat="1" ht="14.25">
      <c r="A85" s="205" t="s">
        <v>48</v>
      </c>
      <c r="B85" s="320"/>
      <c r="C85" s="320"/>
      <c r="D85" s="261"/>
      <c r="E85" s="330"/>
      <c r="F85" s="251"/>
      <c r="G85" s="329">
        <v>11</v>
      </c>
      <c r="H85" s="320"/>
      <c r="I85" s="320"/>
      <c r="J85" s="320"/>
      <c r="K85" s="320"/>
      <c r="L85" s="77"/>
      <c r="M85" s="329">
        <v>11</v>
      </c>
      <c r="N85" s="77"/>
      <c r="O85" s="329">
        <v>11</v>
      </c>
      <c r="P85" s="218">
        <f t="shared" si="106"/>
        <v>33</v>
      </c>
      <c r="Q85" s="62">
        <f t="shared" si="103"/>
        <v>30</v>
      </c>
      <c r="R85" s="219" t="str">
        <f t="shared" si="107"/>
        <v>Стрыгин</v>
      </c>
      <c r="S85" s="71" t="s">
        <v>8</v>
      </c>
      <c r="T85" s="72" t="s">
        <v>7</v>
      </c>
      <c r="U85" s="73">
        <f t="shared" si="104"/>
        <v>0</v>
      </c>
      <c r="V85" s="62">
        <f t="shared" si="105"/>
        <v>0</v>
      </c>
      <c r="W85" s="62"/>
      <c r="X85" s="74" t="s">
        <v>49</v>
      </c>
      <c r="Y85" s="7"/>
      <c r="Z85" s="7"/>
      <c r="AA85" s="7"/>
      <c r="AB85" s="13"/>
      <c r="AC85" s="13"/>
      <c r="AD85" s="13"/>
    </row>
    <row r="86" s="21" customFormat="1" ht="14.25">
      <c r="A86" s="205" t="s">
        <v>50</v>
      </c>
      <c r="B86" s="480"/>
      <c r="C86" s="481">
        <v>11</v>
      </c>
      <c r="D86" s="76"/>
      <c r="E86" s="324">
        <v>11</v>
      </c>
      <c r="F86" s="67"/>
      <c r="G86" s="330"/>
      <c r="H86" s="320"/>
      <c r="I86" s="320"/>
      <c r="J86" s="67"/>
      <c r="K86" s="330"/>
      <c r="L86" s="479"/>
      <c r="M86" s="324">
        <v>11</v>
      </c>
      <c r="N86" s="173"/>
      <c r="O86" s="324">
        <v>11</v>
      </c>
      <c r="P86" s="218">
        <f t="shared" si="106"/>
        <v>44</v>
      </c>
      <c r="Q86" s="62">
        <f t="shared" si="103"/>
        <v>30</v>
      </c>
      <c r="R86" s="219" t="str">
        <f t="shared" si="107"/>
        <v>Фрик</v>
      </c>
      <c r="S86" s="71" t="s">
        <v>12</v>
      </c>
      <c r="T86" s="72" t="s">
        <v>11</v>
      </c>
      <c r="U86" s="73">
        <f t="shared" si="104"/>
        <v>0</v>
      </c>
      <c r="V86" s="62">
        <f t="shared" si="105"/>
        <v>0</v>
      </c>
      <c r="W86" s="62"/>
      <c r="X86" s="74" t="s">
        <v>44</v>
      </c>
      <c r="Y86" s="7"/>
      <c r="Z86" s="7"/>
      <c r="AA86" s="7"/>
      <c r="AB86" s="13"/>
      <c r="AC86" s="13"/>
      <c r="AD86" s="13"/>
    </row>
    <row r="87" s="21" customFormat="1" ht="14.25">
      <c r="A87" s="206" t="s">
        <v>51</v>
      </c>
      <c r="B87" s="442" t="s">
        <v>1</v>
      </c>
      <c r="C87" s="478">
        <v>8</v>
      </c>
      <c r="D87" s="442" t="s">
        <v>1</v>
      </c>
      <c r="E87" s="443">
        <v>8</v>
      </c>
      <c r="F87" s="442" t="s">
        <v>1</v>
      </c>
      <c r="G87" s="443">
        <v>8</v>
      </c>
      <c r="H87" s="442" t="s">
        <v>1</v>
      </c>
      <c r="I87" s="443">
        <v>8</v>
      </c>
      <c r="J87" s="442" t="s">
        <v>1</v>
      </c>
      <c r="K87" s="443">
        <v>8</v>
      </c>
      <c r="L87" s="442" t="s">
        <v>1</v>
      </c>
      <c r="M87" s="443"/>
      <c r="N87" s="442"/>
      <c r="O87" s="443"/>
      <c r="P87" s="218">
        <f t="shared" si="106"/>
        <v>40</v>
      </c>
      <c r="Q87" s="62">
        <f t="shared" si="103"/>
        <v>23</v>
      </c>
      <c r="R87" s="219" t="str">
        <f t="shared" si="107"/>
        <v>Истрашкин</v>
      </c>
      <c r="S87" s="71" t="s">
        <v>10</v>
      </c>
      <c r="T87" s="72" t="s">
        <v>9</v>
      </c>
      <c r="U87" s="73">
        <f t="shared" si="104"/>
        <v>0</v>
      </c>
      <c r="V87" s="62">
        <f t="shared" si="105"/>
        <v>0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25">
      <c r="A88" s="369" t="s">
        <v>65</v>
      </c>
      <c r="B88" s="468"/>
      <c r="C88" s="330"/>
      <c r="D88" s="482"/>
      <c r="E88" s="330"/>
      <c r="F88" s="300"/>
      <c r="G88" s="329">
        <v>11</v>
      </c>
      <c r="H88" s="300"/>
      <c r="I88" s="469">
        <v>11</v>
      </c>
      <c r="J88" s="320"/>
      <c r="K88" s="320"/>
      <c r="L88" s="320"/>
      <c r="M88" s="320"/>
      <c r="N88" s="173"/>
      <c r="O88" s="324">
        <v>11</v>
      </c>
      <c r="P88" s="333">
        <f t="shared" si="106"/>
        <v>33</v>
      </c>
      <c r="Q88" s="221">
        <f t="shared" si="103"/>
        <v>33</v>
      </c>
      <c r="R88" s="288" t="str">
        <f t="shared" si="107"/>
        <v>Качаев</v>
      </c>
      <c r="S88" s="71" t="s">
        <v>10</v>
      </c>
      <c r="T88" s="72" t="s">
        <v>9</v>
      </c>
      <c r="U88" s="73">
        <f t="shared" si="104"/>
        <v>0</v>
      </c>
      <c r="V88" s="62">
        <f t="shared" si="105"/>
        <v>0</v>
      </c>
      <c r="W88" s="62"/>
      <c r="X88" s="299" t="s">
        <v>34</v>
      </c>
      <c r="Y88" s="7"/>
      <c r="Z88" s="7"/>
      <c r="AA88" s="7"/>
      <c r="AB88" s="13"/>
      <c r="AC88" s="13"/>
      <c r="AD88" s="13"/>
    </row>
    <row r="89" ht="14.25">
      <c r="A89" s="92"/>
      <c r="B89" s="53">
        <v>46160</v>
      </c>
      <c r="C89" s="53"/>
      <c r="D89" s="53">
        <v>46161</v>
      </c>
      <c r="E89" s="53"/>
      <c r="F89" s="53">
        <v>46162</v>
      </c>
      <c r="G89" s="53"/>
      <c r="H89" s="53">
        <v>46163</v>
      </c>
      <c r="I89" s="53"/>
      <c r="J89" s="53">
        <v>46164</v>
      </c>
      <c r="K89" s="53"/>
      <c r="L89" s="53">
        <v>46165</v>
      </c>
      <c r="M89" s="53"/>
      <c r="N89" s="53">
        <v>46166</v>
      </c>
      <c r="O89" s="54"/>
      <c r="P89" s="68"/>
      <c r="Q89" s="67"/>
      <c r="R89" s="297"/>
      <c r="S89" s="138"/>
      <c r="T89" s="138"/>
      <c r="U89" s="60" t="s">
        <v>27</v>
      </c>
      <c r="V89" s="61" t="s">
        <v>28</v>
      </c>
      <c r="W89" s="62" t="s">
        <v>29</v>
      </c>
      <c r="X89" s="7"/>
      <c r="Y89" s="7"/>
      <c r="Z89" s="7"/>
      <c r="AA89" s="7"/>
      <c r="AB89" s="13"/>
      <c r="AC89" s="13"/>
      <c r="AD89" s="13"/>
    </row>
    <row r="90" ht="14.25">
      <c r="A90" s="314"/>
      <c r="B90" s="314"/>
      <c r="C90" s="314"/>
      <c r="D90" s="314"/>
      <c r="E90" s="314"/>
      <c r="F90" s="314"/>
      <c r="G90" s="314"/>
      <c r="H90" s="314"/>
      <c r="I90" s="314"/>
      <c r="J90" s="314"/>
      <c r="K90" s="314"/>
      <c r="L90" s="314"/>
      <c r="M90" s="314"/>
      <c r="N90" s="314"/>
      <c r="O90" s="314"/>
      <c r="P90" s="314"/>
      <c r="Q90" s="98"/>
      <c r="R90" s="139"/>
      <c r="S90" s="139"/>
      <c r="T90" s="139"/>
      <c r="U90" s="127"/>
      <c r="V90" s="127"/>
      <c r="W90" s="128"/>
      <c r="X90" s="7"/>
      <c r="Y90" s="7"/>
      <c r="Z90" s="7"/>
      <c r="AA90" s="7"/>
      <c r="AB90" s="13"/>
      <c r="AC90" s="13"/>
      <c r="AD90" s="13"/>
    </row>
    <row r="91" ht="14.25">
      <c r="A91" s="52"/>
      <c r="B91" s="56" t="s">
        <v>17</v>
      </c>
      <c r="C91" s="116"/>
      <c r="D91" s="56" t="s">
        <v>18</v>
      </c>
      <c r="E91" s="116"/>
      <c r="F91" s="56" t="s">
        <v>19</v>
      </c>
      <c r="G91" s="56"/>
      <c r="H91" s="56" t="s">
        <v>20</v>
      </c>
      <c r="I91" s="116"/>
      <c r="J91" s="129" t="s">
        <v>21</v>
      </c>
      <c r="K91" s="129"/>
      <c r="L91" s="56" t="s">
        <v>22</v>
      </c>
      <c r="M91" s="56"/>
      <c r="N91" s="56" t="s">
        <v>23</v>
      </c>
      <c r="O91" s="56"/>
      <c r="P91" s="374" t="s">
        <v>24</v>
      </c>
      <c r="Q91" s="375"/>
      <c r="R91" s="376"/>
      <c r="S91" s="143"/>
      <c r="T91" s="143"/>
      <c r="U91" s="62"/>
      <c r="V91" s="62"/>
      <c r="W91" s="62"/>
      <c r="X91" s="51"/>
      <c r="Y91" s="7"/>
      <c r="Z91" s="7"/>
      <c r="AA91" s="7"/>
      <c r="AB91" s="13"/>
      <c r="AC91" s="13"/>
      <c r="AD91" s="13"/>
    </row>
    <row r="92" ht="14.25">
      <c r="A92" s="377"/>
      <c r="B92" s="53">
        <v>46167</v>
      </c>
      <c r="C92" s="53"/>
      <c r="D92" s="53">
        <v>46168</v>
      </c>
      <c r="E92" s="53"/>
      <c r="F92" s="53">
        <v>46169</v>
      </c>
      <c r="G92" s="53"/>
      <c r="H92" s="53">
        <v>46170</v>
      </c>
      <c r="I92" s="53"/>
      <c r="J92" s="53">
        <v>46171</v>
      </c>
      <c r="K92" s="53"/>
      <c r="L92" s="53">
        <v>46172</v>
      </c>
      <c r="M92" s="53"/>
      <c r="N92" s="378">
        <v>46173</v>
      </c>
      <c r="O92" s="54"/>
      <c r="P92" s="379" t="s">
        <v>25</v>
      </c>
      <c r="Q92" s="380" t="s">
        <v>26</v>
      </c>
      <c r="R92" s="381"/>
      <c r="S92" s="147"/>
      <c r="T92" s="147"/>
      <c r="U92" s="60" t="s">
        <v>27</v>
      </c>
      <c r="V92" s="61" t="s">
        <v>28</v>
      </c>
      <c r="W92" s="62" t="s">
        <v>29</v>
      </c>
      <c r="X92" s="63" t="s">
        <v>30</v>
      </c>
      <c r="Y92" s="7"/>
      <c r="Z92" s="7"/>
      <c r="AA92" s="7"/>
      <c r="AB92" s="13"/>
      <c r="AC92" s="13"/>
      <c r="AD92" s="13"/>
    </row>
    <row r="93" ht="14.25">
      <c r="A93" s="203" t="s">
        <v>35</v>
      </c>
      <c r="B93" s="319"/>
      <c r="C93" s="319" t="s">
        <v>33</v>
      </c>
      <c r="D93" s="319"/>
      <c r="E93" s="319" t="s">
        <v>33</v>
      </c>
      <c r="F93" s="319"/>
      <c r="G93" s="319" t="s">
        <v>33</v>
      </c>
      <c r="H93" s="319"/>
      <c r="I93" s="319" t="s">
        <v>33</v>
      </c>
      <c r="J93" s="319"/>
      <c r="K93" s="319" t="s">
        <v>33</v>
      </c>
      <c r="L93" s="66"/>
      <c r="M93" s="66"/>
      <c r="N93" s="66"/>
      <c r="O93" s="66"/>
      <c r="P93" s="218">
        <f t="shared" si="106"/>
        <v>40</v>
      </c>
      <c r="Q93" s="62">
        <f t="shared" si="103"/>
        <v>-1</v>
      </c>
      <c r="R93" s="219" t="str">
        <f t="shared" si="107"/>
        <v>Рычков</v>
      </c>
      <c r="S93" s="76" t="s">
        <v>10</v>
      </c>
      <c r="T93" s="77" t="s">
        <v>9</v>
      </c>
      <c r="U93" s="73">
        <f t="shared" si="104"/>
        <v>0</v>
      </c>
      <c r="V93" s="62">
        <f t="shared" si="105"/>
        <v>0</v>
      </c>
      <c r="W93" s="62"/>
      <c r="X93" s="74" t="s">
        <v>34</v>
      </c>
      <c r="Y93" s="7"/>
      <c r="Z93" s="7"/>
      <c r="AA93" s="7"/>
      <c r="AB93" s="13"/>
      <c r="AC93" s="13"/>
      <c r="AD93" s="13"/>
    </row>
    <row r="94" ht="14.25">
      <c r="A94" s="203" t="s">
        <v>66</v>
      </c>
      <c r="B94" s="319"/>
      <c r="C94" s="319" t="s">
        <v>33</v>
      </c>
      <c r="D94" s="319"/>
      <c r="E94" s="319" t="s">
        <v>33</v>
      </c>
      <c r="F94" s="319"/>
      <c r="G94" s="319" t="s">
        <v>33</v>
      </c>
      <c r="H94" s="319"/>
      <c r="I94" s="319" t="s">
        <v>33</v>
      </c>
      <c r="J94" s="319"/>
      <c r="K94" s="319" t="s">
        <v>33</v>
      </c>
      <c r="L94" s="66"/>
      <c r="M94" s="66"/>
      <c r="N94" s="67"/>
      <c r="O94" s="67"/>
      <c r="P94" s="218">
        <f t="shared" si="106"/>
        <v>40</v>
      </c>
      <c r="Q94" s="62">
        <f t="shared" si="103"/>
        <v>-1</v>
      </c>
      <c r="R94" s="219" t="str">
        <f t="shared" si="107"/>
        <v>Карузина</v>
      </c>
      <c r="S94" s="76" t="s">
        <v>10</v>
      </c>
      <c r="T94" s="77" t="s">
        <v>9</v>
      </c>
      <c r="U94" s="73">
        <f t="shared" si="104"/>
        <v>0</v>
      </c>
      <c r="V94" s="62">
        <f t="shared" si="105"/>
        <v>0</v>
      </c>
      <c r="W94" s="62"/>
      <c r="X94" s="79" t="s">
        <v>34</v>
      </c>
      <c r="Y94" s="7"/>
      <c r="Z94" s="7"/>
      <c r="AA94" s="7"/>
      <c r="AB94" s="13"/>
      <c r="AC94" s="13"/>
      <c r="AD94" s="13"/>
    </row>
    <row r="95" ht="14.25">
      <c r="A95" s="203" t="s">
        <v>39</v>
      </c>
      <c r="B95" s="319"/>
      <c r="C95" s="319" t="s">
        <v>33</v>
      </c>
      <c r="D95" s="319"/>
      <c r="E95" s="319" t="s">
        <v>33</v>
      </c>
      <c r="F95" s="319"/>
      <c r="G95" s="319" t="s">
        <v>33</v>
      </c>
      <c r="H95" s="319"/>
      <c r="I95" s="319" t="s">
        <v>33</v>
      </c>
      <c r="J95" s="319"/>
      <c r="K95" s="319" t="s">
        <v>33</v>
      </c>
      <c r="L95" s="66"/>
      <c r="M95" s="66"/>
      <c r="N95" s="66"/>
      <c r="O95" s="66"/>
      <c r="P95" s="218">
        <f t="shared" si="106"/>
        <v>40</v>
      </c>
      <c r="Q95" s="62">
        <f t="shared" si="103"/>
        <v>-1</v>
      </c>
      <c r="R95" s="219" t="str">
        <f t="shared" si="107"/>
        <v>Игумнов</v>
      </c>
      <c r="S95" s="76" t="s">
        <v>10</v>
      </c>
      <c r="T95" s="77" t="s">
        <v>9</v>
      </c>
      <c r="U95" s="73">
        <f t="shared" si="104"/>
        <v>0</v>
      </c>
      <c r="V95" s="62">
        <f t="shared" si="105"/>
        <v>0</v>
      </c>
      <c r="W95" s="62"/>
      <c r="X95" s="74" t="s">
        <v>38</v>
      </c>
      <c r="Y95" s="7"/>
      <c r="Z95" s="7"/>
      <c r="AA95" s="7"/>
      <c r="AB95" s="13"/>
      <c r="AC95" s="13"/>
      <c r="AD95" s="13"/>
    </row>
    <row r="96" ht="14.25">
      <c r="A96" s="203" t="s">
        <v>40</v>
      </c>
      <c r="B96" s="319"/>
      <c r="C96" s="319" t="s">
        <v>33</v>
      </c>
      <c r="D96" s="319"/>
      <c r="E96" s="319" t="s">
        <v>33</v>
      </c>
      <c r="F96" s="319"/>
      <c r="G96" s="319" t="s">
        <v>33</v>
      </c>
      <c r="H96" s="319"/>
      <c r="I96" s="319" t="s">
        <v>33</v>
      </c>
      <c r="J96" s="319"/>
      <c r="K96" s="319" t="s">
        <v>33</v>
      </c>
      <c r="L96" s="66"/>
      <c r="M96" s="66"/>
      <c r="N96" s="66"/>
      <c r="O96" s="66"/>
      <c r="P96" s="218">
        <f t="shared" si="106"/>
        <v>40</v>
      </c>
      <c r="Q96" s="62">
        <f t="shared" si="103"/>
        <v>-1</v>
      </c>
      <c r="R96" s="219" t="str">
        <f t="shared" si="107"/>
        <v>Душин</v>
      </c>
      <c r="S96" s="76" t="s">
        <v>58</v>
      </c>
      <c r="T96" s="77" t="s">
        <v>59</v>
      </c>
      <c r="U96" s="73">
        <f t="shared" si="104"/>
        <v>0</v>
      </c>
      <c r="V96" s="62">
        <f t="shared" si="105"/>
        <v>0</v>
      </c>
      <c r="W96" s="62"/>
      <c r="X96" s="74" t="s">
        <v>34</v>
      </c>
      <c r="Y96" s="7"/>
      <c r="Z96" s="7"/>
      <c r="AA96" s="7"/>
      <c r="AB96" s="13"/>
      <c r="AC96" s="13"/>
      <c r="AD96" s="13"/>
    </row>
    <row r="97" ht="14.25">
      <c r="A97" s="203" t="s">
        <v>31</v>
      </c>
      <c r="B97" s="319"/>
      <c r="C97" s="319" t="s">
        <v>33</v>
      </c>
      <c r="D97" s="319"/>
      <c r="E97" s="319" t="s">
        <v>33</v>
      </c>
      <c r="F97" s="319"/>
      <c r="G97" s="319" t="s">
        <v>33</v>
      </c>
      <c r="H97" s="319"/>
      <c r="I97" s="319" t="s">
        <v>33</v>
      </c>
      <c r="J97" s="319"/>
      <c r="K97" s="319" t="s">
        <v>33</v>
      </c>
      <c r="L97" s="66"/>
      <c r="M97" s="66"/>
      <c r="N97" s="66"/>
      <c r="O97" s="66"/>
      <c r="P97" s="218">
        <f t="shared" si="106"/>
        <v>40</v>
      </c>
      <c r="Q97" s="62">
        <f t="shared" si="103"/>
        <v>-1</v>
      </c>
      <c r="R97" s="219" t="str">
        <f t="shared" si="107"/>
        <v>Нетронин</v>
      </c>
      <c r="S97" s="76" t="s">
        <v>58</v>
      </c>
      <c r="T97" s="77" t="s">
        <v>59</v>
      </c>
      <c r="U97" s="73">
        <f t="shared" si="104"/>
        <v>0</v>
      </c>
      <c r="V97" s="62">
        <f t="shared" si="105"/>
        <v>0</v>
      </c>
      <c r="W97" s="62"/>
      <c r="X97" s="74" t="s">
        <v>34</v>
      </c>
      <c r="Y97" s="7"/>
      <c r="Z97" s="7"/>
      <c r="AA97" s="7"/>
      <c r="AB97" s="13"/>
      <c r="AC97" s="13"/>
      <c r="AD97" s="13"/>
    </row>
    <row r="98" ht="14.25">
      <c r="A98" s="203" t="s">
        <v>61</v>
      </c>
      <c r="B98" s="319"/>
      <c r="C98" s="319" t="s">
        <v>33</v>
      </c>
      <c r="D98" s="319"/>
      <c r="E98" s="319" t="s">
        <v>33</v>
      </c>
      <c r="F98" s="319"/>
      <c r="G98" s="319" t="s">
        <v>33</v>
      </c>
      <c r="H98" s="319"/>
      <c r="I98" s="319" t="s">
        <v>33</v>
      </c>
      <c r="J98" s="319"/>
      <c r="K98" s="319" t="s">
        <v>33</v>
      </c>
      <c r="L98" s="66"/>
      <c r="M98" s="66"/>
      <c r="N98" s="66"/>
      <c r="O98" s="66"/>
      <c r="P98" s="218">
        <f t="shared" si="106"/>
        <v>40</v>
      </c>
      <c r="Q98" s="62">
        <f t="shared" si="103"/>
        <v>-1</v>
      </c>
      <c r="R98" s="219" t="str">
        <f t="shared" si="107"/>
        <v>Раимова</v>
      </c>
      <c r="S98" s="76" t="s">
        <v>10</v>
      </c>
      <c r="T98" s="77" t="s">
        <v>9</v>
      </c>
      <c r="U98" s="73">
        <f t="shared" si="104"/>
        <v>0</v>
      </c>
      <c r="V98" s="62">
        <f t="shared" si="105"/>
        <v>0</v>
      </c>
      <c r="W98" s="62"/>
      <c r="X98" s="74" t="s">
        <v>38</v>
      </c>
      <c r="Y98" s="7"/>
      <c r="Z98" s="7"/>
      <c r="AA98" s="7"/>
      <c r="AB98" s="13"/>
      <c r="AC98" s="13"/>
      <c r="AD98" s="13"/>
    </row>
    <row r="99" ht="14.25">
      <c r="A99" s="203" t="s">
        <v>62</v>
      </c>
      <c r="B99" s="319"/>
      <c r="C99" s="319" t="s">
        <v>33</v>
      </c>
      <c r="D99" s="319"/>
      <c r="E99" s="319" t="s">
        <v>33</v>
      </c>
      <c r="F99" s="319"/>
      <c r="G99" s="319" t="s">
        <v>33</v>
      </c>
      <c r="H99" s="319"/>
      <c r="I99" s="319" t="s">
        <v>33</v>
      </c>
      <c r="J99" s="319"/>
      <c r="K99" s="319" t="s">
        <v>33</v>
      </c>
      <c r="L99" s="66"/>
      <c r="M99" s="66"/>
      <c r="N99" s="66"/>
      <c r="O99" s="66"/>
      <c r="P99" s="218">
        <f t="shared" si="106"/>
        <v>40</v>
      </c>
      <c r="Q99" s="62">
        <f t="shared" si="103"/>
        <v>-1</v>
      </c>
      <c r="R99" s="219" t="str">
        <f t="shared" si="107"/>
        <v>Войтехович</v>
      </c>
      <c r="S99" s="76" t="s">
        <v>10</v>
      </c>
      <c r="T99" s="77" t="s">
        <v>9</v>
      </c>
      <c r="U99" s="73">
        <f t="shared" si="104"/>
        <v>0</v>
      </c>
      <c r="V99" s="62">
        <f t="shared" si="105"/>
        <v>0</v>
      </c>
      <c r="W99" s="62"/>
      <c r="X99" s="74" t="s">
        <v>38</v>
      </c>
      <c r="Y99" s="7"/>
      <c r="Z99" s="7"/>
      <c r="AA99" s="7"/>
      <c r="AB99" s="13"/>
      <c r="AC99" s="13"/>
      <c r="AD99" s="13"/>
    </row>
    <row r="100" ht="14.25">
      <c r="A100" s="203" t="s">
        <v>63</v>
      </c>
      <c r="B100" s="319"/>
      <c r="C100" s="319" t="s">
        <v>33</v>
      </c>
      <c r="D100" s="319"/>
      <c r="E100" s="319" t="s">
        <v>33</v>
      </c>
      <c r="F100" s="319"/>
      <c r="G100" s="319" t="s">
        <v>33</v>
      </c>
      <c r="H100" s="319"/>
      <c r="I100" s="319" t="s">
        <v>33</v>
      </c>
      <c r="J100" s="319"/>
      <c r="K100" s="319" t="s">
        <v>33</v>
      </c>
      <c r="L100" s="320"/>
      <c r="M100" s="320"/>
      <c r="N100" s="320"/>
      <c r="O100" s="320"/>
      <c r="P100" s="218">
        <f t="shared" si="106"/>
        <v>40</v>
      </c>
      <c r="Q100" s="62">
        <f t="shared" ref="Q100:Q108" si="108">Q80-P100</f>
        <v>-1</v>
      </c>
      <c r="R100" s="219" t="str">
        <f t="shared" si="107"/>
        <v>Васильев</v>
      </c>
      <c r="S100" s="71" t="s">
        <v>12</v>
      </c>
      <c r="T100" s="72" t="s">
        <v>11</v>
      </c>
      <c r="U100" s="73">
        <f t="shared" si="104"/>
        <v>0</v>
      </c>
      <c r="V100" s="62">
        <f t="shared" si="105"/>
        <v>0</v>
      </c>
      <c r="W100" s="62"/>
      <c r="X100" s="416" t="s">
        <v>44</v>
      </c>
      <c r="Y100" s="7"/>
      <c r="Z100" s="7"/>
      <c r="AA100" s="7"/>
      <c r="AB100" s="13"/>
      <c r="AC100" s="13"/>
      <c r="AD100" s="13"/>
    </row>
    <row r="101" ht="14.25">
      <c r="A101" s="205" t="s">
        <v>43</v>
      </c>
      <c r="B101" s="320"/>
      <c r="C101" s="320"/>
      <c r="D101" s="320"/>
      <c r="E101" s="320"/>
      <c r="F101" s="76"/>
      <c r="G101" s="324">
        <v>11</v>
      </c>
      <c r="H101" s="76"/>
      <c r="I101" s="324">
        <v>11</v>
      </c>
      <c r="J101" s="320"/>
      <c r="K101" s="320"/>
      <c r="L101" s="320"/>
      <c r="M101" s="320"/>
      <c r="N101" s="77"/>
      <c r="O101" s="329">
        <v>11</v>
      </c>
      <c r="P101" s="218">
        <f t="shared" si="106"/>
        <v>33</v>
      </c>
      <c r="Q101" s="62">
        <f t="shared" si="108"/>
        <v>-25</v>
      </c>
      <c r="R101" s="219" t="str">
        <f t="shared" si="107"/>
        <v>Дащенко</v>
      </c>
      <c r="S101" s="76" t="s">
        <v>10</v>
      </c>
      <c r="T101" s="77" t="s">
        <v>9</v>
      </c>
      <c r="U101" s="73">
        <f t="shared" si="104"/>
        <v>0</v>
      </c>
      <c r="V101" s="62">
        <f t="shared" si="105"/>
        <v>0</v>
      </c>
      <c r="W101" s="62"/>
      <c r="X101" s="74" t="s">
        <v>34</v>
      </c>
      <c r="Y101" s="7"/>
      <c r="Z101" s="7"/>
      <c r="AA101" s="7"/>
      <c r="AB101" s="13"/>
      <c r="AC101" s="13"/>
      <c r="AD101" s="13"/>
    </row>
    <row r="102" ht="14.25">
      <c r="A102" s="205" t="s">
        <v>45</v>
      </c>
      <c r="B102" s="76"/>
      <c r="C102" s="357">
        <v>11</v>
      </c>
      <c r="D102" s="76"/>
      <c r="E102" s="357">
        <v>11</v>
      </c>
      <c r="F102" s="67"/>
      <c r="G102" s="330"/>
      <c r="H102" s="320"/>
      <c r="I102" s="320"/>
      <c r="J102" s="320"/>
      <c r="K102" s="320"/>
      <c r="L102" s="76"/>
      <c r="M102" s="324">
        <v>11</v>
      </c>
      <c r="N102" s="76"/>
      <c r="O102" s="324">
        <v>11</v>
      </c>
      <c r="P102" s="218">
        <f t="shared" si="106"/>
        <v>44</v>
      </c>
      <c r="Q102" s="62">
        <f t="shared" si="108"/>
        <v>-14</v>
      </c>
      <c r="R102" s="219" t="str">
        <f t="shared" si="107"/>
        <v>Пузырь</v>
      </c>
      <c r="S102" s="76" t="s">
        <v>10</v>
      </c>
      <c r="T102" s="77" t="s">
        <v>9</v>
      </c>
      <c r="U102" s="73">
        <f t="shared" si="104"/>
        <v>0</v>
      </c>
      <c r="V102" s="62">
        <f t="shared" si="105"/>
        <v>0</v>
      </c>
      <c r="W102" s="62"/>
      <c r="X102" s="74" t="s">
        <v>34</v>
      </c>
      <c r="Y102" s="7"/>
      <c r="Z102" s="7"/>
      <c r="AA102" s="7"/>
      <c r="AB102" s="13"/>
      <c r="AC102" s="13"/>
      <c r="AD102" s="13"/>
    </row>
    <row r="103" ht="14.25">
      <c r="A103" s="205" t="s">
        <v>64</v>
      </c>
      <c r="B103" s="76"/>
      <c r="C103" s="324">
        <v>11</v>
      </c>
      <c r="D103" s="320"/>
      <c r="E103" s="320"/>
      <c r="F103" s="320"/>
      <c r="G103" s="320"/>
      <c r="H103" s="67"/>
      <c r="I103" s="330"/>
      <c r="J103" s="77"/>
      <c r="K103" s="329">
        <v>11</v>
      </c>
      <c r="L103" s="251"/>
      <c r="M103" s="329">
        <v>11</v>
      </c>
      <c r="N103" s="320"/>
      <c r="O103" s="320"/>
      <c r="P103" s="218">
        <f t="shared" si="106"/>
        <v>33</v>
      </c>
      <c r="Q103" s="62">
        <f t="shared" si="108"/>
        <v>-21</v>
      </c>
      <c r="R103" s="219" t="str">
        <f t="shared" si="107"/>
        <v>Рожнева</v>
      </c>
      <c r="S103" s="76" t="s">
        <v>10</v>
      </c>
      <c r="T103" s="77" t="s">
        <v>9</v>
      </c>
      <c r="U103" s="73">
        <f t="shared" si="104"/>
        <v>0</v>
      </c>
      <c r="V103" s="62">
        <f t="shared" si="105"/>
        <v>0</v>
      </c>
      <c r="W103" s="62"/>
      <c r="X103" s="74" t="s">
        <v>34</v>
      </c>
      <c r="Y103" s="7"/>
      <c r="Z103" s="7"/>
      <c r="AA103" s="7"/>
      <c r="AB103" s="13"/>
      <c r="AC103" s="13"/>
      <c r="AD103" s="13"/>
    </row>
    <row r="104" ht="14.25">
      <c r="A104" s="205" t="s">
        <v>47</v>
      </c>
      <c r="B104" s="320"/>
      <c r="C104" s="320"/>
      <c r="D104" s="76"/>
      <c r="E104" s="324">
        <v>11</v>
      </c>
      <c r="F104" s="76"/>
      <c r="G104" s="324">
        <v>11</v>
      </c>
      <c r="H104" s="320"/>
      <c r="I104" s="320"/>
      <c r="J104" s="320"/>
      <c r="K104" s="320"/>
      <c r="L104" s="77"/>
      <c r="M104" s="329">
        <v>11</v>
      </c>
      <c r="N104" s="77"/>
      <c r="O104" s="329">
        <v>11</v>
      </c>
      <c r="P104" s="218">
        <f t="shared" si="106"/>
        <v>44</v>
      </c>
      <c r="Q104" s="62">
        <f t="shared" si="108"/>
        <v>-25</v>
      </c>
      <c r="R104" s="219" t="str">
        <f t="shared" si="107"/>
        <v>Торубара</v>
      </c>
      <c r="S104" s="76" t="s">
        <v>10</v>
      </c>
      <c r="T104" s="77" t="s">
        <v>9</v>
      </c>
      <c r="U104" s="73">
        <f t="shared" si="104"/>
        <v>0</v>
      </c>
      <c r="V104" s="62">
        <f t="shared" si="105"/>
        <v>0</v>
      </c>
      <c r="W104" s="62"/>
      <c r="X104" s="74" t="s">
        <v>34</v>
      </c>
      <c r="Y104" s="7"/>
      <c r="Z104" s="7"/>
      <c r="AA104" s="7"/>
      <c r="AB104" s="13"/>
      <c r="AC104" s="13"/>
      <c r="AD104" s="13"/>
    </row>
    <row r="105" ht="14.25">
      <c r="A105" s="205" t="s">
        <v>48</v>
      </c>
      <c r="B105" s="77"/>
      <c r="C105" s="329">
        <v>11</v>
      </c>
      <c r="D105" s="320"/>
      <c r="E105" s="320"/>
      <c r="F105" s="320"/>
      <c r="G105" s="320"/>
      <c r="H105" s="76"/>
      <c r="I105" s="324">
        <v>11</v>
      </c>
      <c r="J105" s="76"/>
      <c r="K105" s="324">
        <v>11</v>
      </c>
      <c r="L105" s="261"/>
      <c r="M105" s="330"/>
      <c r="N105" s="320"/>
      <c r="O105" s="320"/>
      <c r="P105" s="218">
        <f t="shared" si="106"/>
        <v>33</v>
      </c>
      <c r="Q105" s="62">
        <f t="shared" si="108"/>
        <v>-3</v>
      </c>
      <c r="R105" s="219" t="str">
        <f t="shared" si="107"/>
        <v>Стрыгин</v>
      </c>
      <c r="S105" s="71" t="s">
        <v>8</v>
      </c>
      <c r="T105" s="72" t="s">
        <v>7</v>
      </c>
      <c r="U105" s="73">
        <f t="shared" si="104"/>
        <v>0</v>
      </c>
      <c r="V105" s="62">
        <f t="shared" si="105"/>
        <v>0</v>
      </c>
      <c r="W105" s="62"/>
      <c r="X105" s="74" t="s">
        <v>49</v>
      </c>
      <c r="Y105" s="7"/>
      <c r="Z105" s="7"/>
      <c r="AA105" s="7"/>
      <c r="AB105" s="13"/>
      <c r="AC105" s="13"/>
      <c r="AD105" s="13"/>
    </row>
    <row r="106" ht="14.25">
      <c r="A106" s="205" t="s">
        <v>50</v>
      </c>
      <c r="B106" s="320"/>
      <c r="C106" s="320"/>
      <c r="D106" s="292"/>
      <c r="E106" s="329">
        <v>11</v>
      </c>
      <c r="F106" s="251"/>
      <c r="G106" s="329">
        <v>11</v>
      </c>
      <c r="H106" s="292"/>
      <c r="I106" s="469">
        <v>11</v>
      </c>
      <c r="J106" s="320"/>
      <c r="K106" s="320"/>
      <c r="L106" s="67"/>
      <c r="M106" s="330"/>
      <c r="N106" s="76"/>
      <c r="O106" s="324">
        <v>11</v>
      </c>
      <c r="P106" s="218">
        <f t="shared" si="106"/>
        <v>44</v>
      </c>
      <c r="Q106" s="62">
        <f t="shared" si="108"/>
        <v>-14</v>
      </c>
      <c r="R106" s="219" t="str">
        <f t="shared" si="107"/>
        <v>Фрик</v>
      </c>
      <c r="S106" s="71" t="s">
        <v>12</v>
      </c>
      <c r="T106" s="72" t="s">
        <v>11</v>
      </c>
      <c r="U106" s="73">
        <f t="shared" si="104"/>
        <v>0</v>
      </c>
      <c r="V106" s="62">
        <f t="shared" si="105"/>
        <v>0</v>
      </c>
      <c r="W106" s="62"/>
      <c r="X106" s="74" t="s">
        <v>44</v>
      </c>
      <c r="Y106" s="7"/>
      <c r="Z106" s="7"/>
      <c r="AA106" s="7"/>
      <c r="AB106" s="13"/>
      <c r="AC106" s="13"/>
      <c r="AD106" s="13"/>
    </row>
    <row r="107" ht="14.25">
      <c r="A107" s="206" t="s">
        <v>51</v>
      </c>
      <c r="B107" s="77"/>
      <c r="C107" s="389">
        <v>11</v>
      </c>
      <c r="D107" s="77"/>
      <c r="E107" s="389">
        <v>11</v>
      </c>
      <c r="F107" s="483"/>
      <c r="G107" s="484"/>
      <c r="H107" s="483"/>
      <c r="I107" s="484"/>
      <c r="J107" s="76"/>
      <c r="K107" s="365">
        <v>11</v>
      </c>
      <c r="L107" s="76"/>
      <c r="M107" s="365">
        <v>11</v>
      </c>
      <c r="N107" s="483"/>
      <c r="O107" s="484"/>
      <c r="P107" s="218">
        <f t="shared" si="106"/>
        <v>44</v>
      </c>
      <c r="Q107" s="62">
        <f t="shared" si="108"/>
        <v>-21</v>
      </c>
      <c r="R107" s="219" t="str">
        <f t="shared" si="107"/>
        <v>Истрашкин</v>
      </c>
      <c r="S107" s="71" t="s">
        <v>10</v>
      </c>
      <c r="T107" s="72" t="s">
        <v>9</v>
      </c>
      <c r="U107" s="73">
        <f t="shared" si="104"/>
        <v>0</v>
      </c>
      <c r="V107" s="62">
        <f t="shared" si="105"/>
        <v>0</v>
      </c>
      <c r="W107" s="62"/>
      <c r="X107" s="74" t="s">
        <v>34</v>
      </c>
      <c r="Y107" s="7"/>
      <c r="Z107" s="7"/>
      <c r="AA107" s="7"/>
      <c r="AB107" s="13"/>
      <c r="AC107" s="13"/>
      <c r="AD107" s="13"/>
    </row>
    <row r="108" ht="14.25">
      <c r="A108" s="369" t="s">
        <v>65</v>
      </c>
      <c r="B108" s="76"/>
      <c r="C108" s="357">
        <v>11</v>
      </c>
      <c r="D108" s="320"/>
      <c r="E108" s="320">
        <v>0.5</v>
      </c>
      <c r="F108" s="320"/>
      <c r="G108" s="320"/>
      <c r="H108" s="300"/>
      <c r="I108" s="329">
        <v>12</v>
      </c>
      <c r="J108" s="300"/>
      <c r="K108" s="485">
        <v>11</v>
      </c>
      <c r="L108" s="468"/>
      <c r="M108" s="400"/>
      <c r="N108" s="320"/>
      <c r="O108" s="320"/>
      <c r="P108" s="220">
        <f t="shared" si="106"/>
        <v>34.5</v>
      </c>
      <c r="Q108" s="221">
        <f t="shared" si="108"/>
        <v>-1.5</v>
      </c>
      <c r="R108" s="219" t="str">
        <f t="shared" si="107"/>
        <v>Качаев</v>
      </c>
      <c r="S108" s="71" t="s">
        <v>10</v>
      </c>
      <c r="T108" s="72" t="s">
        <v>9</v>
      </c>
      <c r="U108" s="73">
        <f t="shared" si="104"/>
        <v>0</v>
      </c>
      <c r="V108" s="62">
        <f t="shared" si="105"/>
        <v>0</v>
      </c>
      <c r="W108" s="62"/>
      <c r="X108" s="299" t="s">
        <v>34</v>
      </c>
      <c r="Y108" s="7"/>
      <c r="Z108" s="7"/>
      <c r="AA108" s="7"/>
      <c r="AB108" s="13"/>
      <c r="AC108" s="13"/>
      <c r="AD108" s="13"/>
    </row>
    <row r="109" ht="14.25">
      <c r="A109" s="92"/>
      <c r="B109" s="53">
        <v>46167</v>
      </c>
      <c r="C109" s="53"/>
      <c r="D109" s="53">
        <v>46168</v>
      </c>
      <c r="E109" s="53"/>
      <c r="F109" s="53">
        <v>46169</v>
      </c>
      <c r="G109" s="53"/>
      <c r="H109" s="53">
        <v>46170</v>
      </c>
      <c r="I109" s="53"/>
      <c r="J109" s="53">
        <v>46171</v>
      </c>
      <c r="K109" s="53"/>
      <c r="L109" s="53">
        <v>46172</v>
      </c>
      <c r="M109" s="53"/>
      <c r="N109" s="53">
        <v>46173</v>
      </c>
      <c r="O109" s="54"/>
      <c r="P109" s="68"/>
      <c r="Q109" s="67"/>
      <c r="R109" s="391"/>
      <c r="S109" s="138"/>
      <c r="T109" s="138"/>
      <c r="U109" s="60" t="s">
        <v>27</v>
      </c>
      <c r="V109" s="61" t="s">
        <v>28</v>
      </c>
      <c r="W109" s="286" t="s">
        <v>29</v>
      </c>
      <c r="X109" s="314"/>
      <c r="Y109" s="7"/>
      <c r="Z109" s="7"/>
      <c r="AA109" s="7"/>
      <c r="AB109" s="13"/>
      <c r="AC109" s="13"/>
      <c r="AD109" s="13"/>
    </row>
    <row r="110" ht="14.25">
      <c r="A110" s="486"/>
      <c r="B110" s="486"/>
      <c r="C110" s="486"/>
      <c r="D110" s="486"/>
      <c r="E110" s="486"/>
      <c r="F110" s="486"/>
      <c r="G110" s="486"/>
      <c r="H110" s="486"/>
      <c r="I110" s="486"/>
      <c r="J110" s="486"/>
      <c r="K110" s="486"/>
      <c r="L110" s="486"/>
      <c r="M110" s="486"/>
      <c r="N110" s="486"/>
      <c r="O110" s="486"/>
      <c r="P110" s="486"/>
      <c r="Q110" s="487"/>
      <c r="R110" s="488"/>
      <c r="S110" s="488"/>
      <c r="T110" s="488"/>
      <c r="U110" s="489"/>
      <c r="V110" s="489"/>
      <c r="W110" s="490"/>
      <c r="X110" s="7"/>
      <c r="Y110" s="7"/>
      <c r="Z110" s="7"/>
      <c r="AA110" s="7"/>
      <c r="AB110" s="13"/>
      <c r="AC110" s="13"/>
      <c r="AD110" s="13"/>
    </row>
    <row r="111" ht="14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 ht="14.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 ht="14.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 ht="14.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 ht="14.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 ht="14.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 ht="14.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 ht="14.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7"/>
      <c r="Q654" s="153"/>
      <c r="R654" s="7"/>
      <c r="S654" s="7"/>
      <c r="T654" s="7"/>
      <c r="U654" s="153"/>
      <c r="V654" s="153"/>
      <c r="W654" s="12"/>
      <c r="X654" s="7"/>
      <c r="Y654" s="7"/>
      <c r="Z654" s="7"/>
      <c r="AA654" s="7"/>
      <c r="AB654" s="13"/>
      <c r="AC654" s="13"/>
      <c r="AD654" s="13"/>
    </row>
    <row r="655" ht="14.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7"/>
      <c r="Q655" s="153"/>
      <c r="R655" s="7"/>
      <c r="S655" s="7"/>
      <c r="T655" s="7"/>
      <c r="U655" s="153"/>
      <c r="V655" s="153"/>
      <c r="W655" s="12"/>
      <c r="X655" s="7"/>
      <c r="Y655" s="7"/>
      <c r="Z655" s="7"/>
      <c r="AA655" s="7"/>
      <c r="AB655" s="13"/>
      <c r="AC655" s="13"/>
      <c r="AD655" s="13"/>
    </row>
    <row r="656" ht="14.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7"/>
      <c r="Q656" s="153"/>
      <c r="R656" s="7"/>
      <c r="S656" s="7"/>
      <c r="T656" s="7"/>
      <c r="U656" s="153"/>
      <c r="V656" s="153"/>
      <c r="W656" s="12"/>
      <c r="X656" s="7"/>
      <c r="Y656" s="7"/>
      <c r="Z656" s="7"/>
      <c r="AA656" s="7"/>
      <c r="AB656" s="13"/>
      <c r="AC656" s="13"/>
      <c r="AD656" s="13"/>
    </row>
    <row r="657" ht="14.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7"/>
      <c r="Q657" s="153"/>
      <c r="R657" s="7"/>
      <c r="S657" s="7"/>
      <c r="T657" s="7"/>
      <c r="U657" s="153"/>
      <c r="V657" s="153"/>
      <c r="W657" s="12"/>
      <c r="X657" s="7"/>
      <c r="Y657" s="7"/>
      <c r="Z657" s="7"/>
      <c r="AA657" s="7"/>
      <c r="AB657" s="13"/>
      <c r="AC657" s="13"/>
      <c r="AD657" s="13"/>
    </row>
    <row r="658" ht="14.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7"/>
      <c r="Q658" s="153"/>
      <c r="R658" s="7"/>
      <c r="S658" s="7"/>
      <c r="T658" s="7"/>
      <c r="U658" s="153"/>
      <c r="V658" s="153"/>
      <c r="W658" s="12"/>
      <c r="X658" s="7"/>
      <c r="Y658" s="7"/>
      <c r="Z658" s="7"/>
      <c r="AA658" s="7"/>
      <c r="AB658" s="13"/>
      <c r="AC658" s="13"/>
      <c r="AD658" s="13"/>
    </row>
    <row r="659" ht="14.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7"/>
      <c r="Q659" s="153"/>
      <c r="R659" s="7"/>
      <c r="S659" s="7"/>
      <c r="T659" s="7"/>
      <c r="U659" s="153"/>
      <c r="V659" s="153"/>
      <c r="W659" s="12"/>
      <c r="X659" s="7"/>
      <c r="Y659" s="7"/>
      <c r="Z659" s="7"/>
      <c r="AA659" s="7"/>
      <c r="AB659" s="13"/>
      <c r="AC659" s="13"/>
      <c r="AD659" s="13"/>
    </row>
    <row r="660" ht="14.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7"/>
      <c r="Q660" s="153"/>
      <c r="R660" s="7"/>
      <c r="S660" s="7"/>
      <c r="T660" s="7"/>
      <c r="U660" s="153"/>
      <c r="V660" s="153"/>
      <c r="W660" s="12"/>
      <c r="X660" s="7"/>
      <c r="Y660" s="7"/>
      <c r="Z660" s="7"/>
      <c r="AA660" s="7"/>
      <c r="AB660" s="13"/>
      <c r="AC660" s="13"/>
      <c r="AD660" s="13"/>
    </row>
    <row r="661" ht="14.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7"/>
      <c r="Q661" s="153"/>
      <c r="R661" s="7"/>
      <c r="S661" s="7"/>
      <c r="T661" s="7"/>
      <c r="U661" s="153"/>
      <c r="V661" s="153"/>
      <c r="W661" s="12"/>
      <c r="X661" s="7"/>
      <c r="Y661" s="7"/>
      <c r="Z661" s="7"/>
      <c r="AA661" s="7"/>
      <c r="AB661" s="13"/>
      <c r="AC661" s="13"/>
      <c r="AD661" s="13"/>
    </row>
    <row r="662" ht="14.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7"/>
      <c r="Q662" s="153"/>
      <c r="R662" s="7"/>
      <c r="S662" s="7"/>
      <c r="T662" s="7"/>
      <c r="U662" s="153"/>
      <c r="V662" s="153"/>
      <c r="W662" s="12"/>
      <c r="X662" s="7"/>
      <c r="Y662" s="7"/>
      <c r="Z662" s="7"/>
      <c r="AA662" s="7"/>
      <c r="AB662" s="13"/>
      <c r="AC662" s="13"/>
      <c r="AD662" s="13"/>
    </row>
    <row r="663" ht="14.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7"/>
      <c r="Q663" s="153"/>
      <c r="R663" s="7"/>
      <c r="S663" s="7"/>
      <c r="T663" s="7"/>
      <c r="U663" s="153"/>
      <c r="V663" s="153"/>
      <c r="W663" s="12"/>
      <c r="X663" s="7"/>
      <c r="Y663" s="7"/>
      <c r="Z663" s="7"/>
      <c r="AA663" s="7"/>
      <c r="AB663" s="13"/>
      <c r="AC663" s="13"/>
      <c r="AD663" s="13"/>
    </row>
    <row r="664" ht="14.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7"/>
      <c r="Q664" s="153"/>
      <c r="R664" s="7"/>
      <c r="S664" s="7"/>
      <c r="T664" s="7"/>
      <c r="U664" s="153"/>
      <c r="V664" s="153"/>
      <c r="W664" s="12"/>
      <c r="X664" s="7"/>
      <c r="Y664" s="7"/>
      <c r="Z664" s="7"/>
      <c r="AA664" s="7"/>
      <c r="AB664" s="13"/>
      <c r="AC664" s="13"/>
      <c r="AD664" s="13"/>
    </row>
    <row r="665" ht="14.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7"/>
      <c r="Q665" s="153"/>
      <c r="R665" s="7"/>
      <c r="S665" s="7"/>
      <c r="T665" s="7"/>
      <c r="U665" s="153"/>
      <c r="V665" s="153"/>
      <c r="W665" s="12"/>
      <c r="X665" s="21"/>
      <c r="Y665" s="7"/>
      <c r="Z665" s="7"/>
      <c r="AA665" s="7"/>
      <c r="AB665" s="13"/>
      <c r="AC665" s="13"/>
      <c r="AD665" s="13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54"/>
      <c r="R666" s="21"/>
      <c r="S666" s="21"/>
      <c r="T666" s="21"/>
      <c r="U666" s="154"/>
      <c r="V666" s="154"/>
      <c r="W666" s="154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54"/>
      <c r="R667" s="21"/>
      <c r="S667" s="21"/>
      <c r="T667" s="21"/>
      <c r="U667" s="154"/>
      <c r="V667" s="154"/>
      <c r="W667" s="154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54"/>
      <c r="R668" s="21"/>
      <c r="S668" s="21"/>
      <c r="T668" s="21"/>
      <c r="U668" s="154"/>
      <c r="V668" s="154"/>
      <c r="W668" s="154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54"/>
      <c r="R669" s="21"/>
      <c r="S669" s="21"/>
      <c r="T669" s="21"/>
      <c r="U669" s="154"/>
      <c r="V669" s="154"/>
      <c r="W669" s="154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54"/>
      <c r="R670" s="21"/>
      <c r="S670" s="21"/>
      <c r="T670" s="21"/>
      <c r="U670" s="154"/>
      <c r="V670" s="154"/>
      <c r="W670" s="154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54"/>
      <c r="R671" s="21"/>
      <c r="S671" s="21"/>
      <c r="T671" s="21"/>
      <c r="U671" s="154"/>
      <c r="V671" s="154"/>
      <c r="W671" s="154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54"/>
      <c r="R672" s="21"/>
      <c r="S672" s="21"/>
      <c r="T672" s="21"/>
      <c r="U672" s="154"/>
      <c r="V672" s="154"/>
      <c r="W672" s="154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54"/>
      <c r="R673" s="21"/>
      <c r="S673" s="21"/>
      <c r="T673" s="21"/>
      <c r="U673" s="154"/>
      <c r="V673" s="154"/>
      <c r="W673" s="154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54"/>
      <c r="R674" s="21"/>
      <c r="S674" s="21"/>
      <c r="T674" s="21"/>
      <c r="U674" s="154"/>
      <c r="V674" s="154"/>
      <c r="W674" s="154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54"/>
      <c r="R675" s="21"/>
      <c r="S675" s="21"/>
      <c r="T675" s="21"/>
      <c r="U675" s="154"/>
      <c r="V675" s="154"/>
      <c r="W675" s="154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54"/>
      <c r="R676" s="21"/>
      <c r="S676" s="21"/>
      <c r="T676" s="21"/>
      <c r="U676" s="154"/>
      <c r="V676" s="154"/>
      <c r="W676" s="154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54"/>
      <c r="R677" s="21"/>
      <c r="S677" s="21"/>
      <c r="T677" s="21"/>
      <c r="U677" s="154"/>
      <c r="V677" s="154"/>
      <c r="W677" s="154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54"/>
      <c r="R678" s="21"/>
      <c r="S678" s="21"/>
      <c r="T678" s="21"/>
      <c r="U678" s="154"/>
      <c r="V678" s="154"/>
      <c r="W678" s="154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54"/>
      <c r="R679" s="21"/>
      <c r="S679" s="21"/>
      <c r="T679" s="21"/>
      <c r="U679" s="154"/>
      <c r="V679" s="154"/>
      <c r="W679" s="154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54"/>
      <c r="R680" s="21"/>
      <c r="S680" s="21"/>
      <c r="T680" s="21"/>
      <c r="U680" s="154"/>
      <c r="V680" s="154"/>
      <c r="W680" s="154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54"/>
      <c r="R681" s="21"/>
      <c r="S681" s="21"/>
      <c r="T681" s="21"/>
      <c r="U681" s="154"/>
      <c r="V681" s="154"/>
      <c r="W681" s="154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54"/>
      <c r="R682" s="21"/>
      <c r="S682" s="21"/>
      <c r="T682" s="21"/>
      <c r="U682" s="154"/>
      <c r="V682" s="154"/>
      <c r="W682" s="154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54"/>
      <c r="R683" s="21"/>
      <c r="S683" s="21"/>
      <c r="T683" s="21"/>
      <c r="U683" s="154"/>
      <c r="V683" s="154"/>
      <c r="W683" s="154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54"/>
      <c r="R684" s="21"/>
      <c r="S684" s="21"/>
      <c r="T684" s="21"/>
      <c r="U684" s="154"/>
      <c r="V684" s="154"/>
      <c r="W684" s="154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54"/>
      <c r="R685" s="21"/>
      <c r="S685" s="21"/>
      <c r="T685" s="21"/>
      <c r="U685" s="154"/>
      <c r="V685" s="154"/>
      <c r="W685" s="154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154"/>
      <c r="R818" s="21"/>
      <c r="S818" s="21"/>
      <c r="T818" s="21"/>
      <c r="U818" s="154"/>
      <c r="V818" s="154"/>
      <c r="W818" s="154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154"/>
      <c r="R819" s="21"/>
      <c r="S819" s="21"/>
      <c r="T819" s="21"/>
      <c r="U819" s="154"/>
      <c r="V819" s="154"/>
      <c r="W819" s="154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154"/>
      <c r="R820" s="21"/>
      <c r="S820" s="21"/>
      <c r="T820" s="21"/>
      <c r="U820" s="154"/>
      <c r="V820" s="154"/>
      <c r="W820" s="154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154"/>
      <c r="R821" s="21"/>
      <c r="S821" s="21"/>
      <c r="T821" s="21"/>
      <c r="U821" s="154"/>
      <c r="V821" s="154"/>
      <c r="W821" s="154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154"/>
      <c r="R822" s="21"/>
      <c r="S822" s="21"/>
      <c r="T822" s="21"/>
      <c r="U822" s="154"/>
      <c r="V822" s="154"/>
      <c r="W822" s="154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154"/>
      <c r="R823" s="21"/>
      <c r="S823" s="21"/>
      <c r="T823" s="21"/>
      <c r="U823" s="154"/>
      <c r="V823" s="154"/>
      <c r="W823" s="154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154"/>
      <c r="R824" s="21"/>
      <c r="S824" s="21"/>
      <c r="T824" s="21"/>
      <c r="U824" s="154"/>
      <c r="V824" s="154"/>
      <c r="W824" s="154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154"/>
      <c r="R825" s="21"/>
      <c r="S825" s="21"/>
      <c r="T825" s="21"/>
      <c r="U825" s="154"/>
      <c r="V825" s="154"/>
      <c r="W825" s="154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154"/>
      <c r="R826" s="21"/>
      <c r="S826" s="21"/>
      <c r="T826" s="21"/>
      <c r="U826" s="154"/>
      <c r="V826" s="154"/>
      <c r="W826" s="154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154"/>
      <c r="R827" s="21"/>
      <c r="S827" s="21"/>
      <c r="T827" s="21"/>
      <c r="U827" s="154"/>
      <c r="V827" s="154"/>
      <c r="W827" s="154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154"/>
      <c r="R828" s="21"/>
      <c r="S828" s="21"/>
      <c r="T828" s="21"/>
      <c r="U828" s="154"/>
      <c r="V828" s="154"/>
      <c r="W828" s="154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154"/>
      <c r="R829" s="21"/>
      <c r="S829" s="21"/>
      <c r="T829" s="21"/>
      <c r="U829" s="154"/>
      <c r="V829" s="154"/>
      <c r="W829" s="154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154"/>
      <c r="R830" s="21"/>
      <c r="S830" s="21"/>
      <c r="T830" s="21"/>
      <c r="U830" s="154"/>
      <c r="V830" s="154"/>
      <c r="W830" s="154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154"/>
      <c r="R831" s="21"/>
      <c r="S831" s="21"/>
      <c r="T831" s="21"/>
      <c r="U831" s="154"/>
      <c r="V831" s="154"/>
      <c r="W831" s="154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154"/>
      <c r="R832" s="21"/>
      <c r="S832" s="21"/>
      <c r="T832" s="21"/>
      <c r="U832" s="154"/>
      <c r="V832" s="154"/>
      <c r="W832" s="154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154"/>
      <c r="R833" s="21"/>
      <c r="S833" s="21"/>
      <c r="T833" s="21"/>
      <c r="U833" s="154"/>
      <c r="V833" s="154"/>
      <c r="W833" s="154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154"/>
      <c r="R834" s="21"/>
      <c r="S834" s="21"/>
      <c r="T834" s="21"/>
      <c r="U834" s="154"/>
      <c r="V834" s="154"/>
      <c r="W834" s="154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154"/>
      <c r="R835" s="21"/>
      <c r="S835" s="21"/>
      <c r="T835" s="21"/>
      <c r="U835" s="154"/>
      <c r="V835" s="154"/>
      <c r="W835" s="154"/>
      <c r="X835" s="21"/>
      <c r="Y835" s="21"/>
      <c r="Z835" s="21"/>
      <c r="AA835" s="21"/>
      <c r="AB835" s="21"/>
      <c r="AC835" s="21"/>
      <c r="AD835" s="21"/>
    </row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9:Q29"/>
    <mergeCell ref="P30:Q30"/>
    <mergeCell ref="A50:Q50"/>
    <mergeCell ref="P51:Q51"/>
    <mergeCell ref="P71:Q71"/>
    <mergeCell ref="P91:Q91"/>
  </mergeCells>
  <printOptions headings="1" gridLines="1"/>
  <pageMargins left="0.70078740157480324" right="0.70078740157480324" top="0.75196850393700787" bottom="0.75196850393700787" header="0.29999999999999999" footer="0.29999999999999999"/>
  <pageSetup paperSize="58" scale="100" fitToWidth="1" fitToHeight="1" pageOrder="downThenOver" orientation="landscape" usePrinterDefaults="1" blackAndWhite="0" draft="0" cellComments="none" useFirstPageNumber="0" errors="displayed" horizontalDpi="600" verticalDpi="600" copies="1"/>
  <headerFooter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59" zoomScale="100" workbookViewId="0">
      <selection activeCell="B79" activeCellId="0" sqref="B79:O93"/>
    </sheetView>
  </sheetViews>
  <sheetFormatPr defaultRowHeight="13.5"/>
  <cols>
    <col customWidth="1" min="1" max="1" width="14.5546875"/>
    <col customWidth="1" min="2" max="2" width="12.44140625"/>
    <col customWidth="1" min="3" max="3" width="4.88671875"/>
    <col customWidth="1" min="4" max="4" width="12.44140625"/>
    <col customWidth="1" min="5" max="5" width="5.88671875"/>
    <col customWidth="1" min="6" max="6" width="11.6640625"/>
    <col customWidth="1" min="7" max="7" width="5.5546875"/>
    <col customWidth="1" min="8" max="8" width="11.44140625"/>
    <col customWidth="1" min="9" max="9" style="154" width="5.44140625"/>
    <col customWidth="1" min="10" max="10" width="11.33203125"/>
    <col customWidth="1" min="11" max="11" width="6.109375"/>
    <col customWidth="1" min="12" max="12" width="11.5546875"/>
    <col customWidth="1" min="13" max="13" width="5.88671875"/>
    <col customWidth="1" min="14" max="14" width="11.88671875"/>
    <col customWidth="1" min="15" max="15" width="5.44140625"/>
    <col customWidth="1" min="18" max="18" width="12.44140625"/>
    <col customWidth="1" min="21" max="22" width="6.33203125"/>
    <col customWidth="1" min="23" max="23" width="8.332031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49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s="21" customFormat="1" ht="14.25">
      <c r="A10" s="143"/>
      <c r="B10" s="214" t="s">
        <v>17</v>
      </c>
      <c r="C10" s="492"/>
      <c r="D10" s="214" t="s">
        <v>18</v>
      </c>
      <c r="E10" s="492"/>
      <c r="F10" s="214" t="s">
        <v>19</v>
      </c>
      <c r="G10" s="214"/>
      <c r="H10" s="214" t="s">
        <v>20</v>
      </c>
      <c r="I10" s="492"/>
      <c r="J10" s="493" t="s">
        <v>21</v>
      </c>
      <c r="K10" s="493"/>
      <c r="L10" s="214" t="s">
        <v>22</v>
      </c>
      <c r="M10" s="214"/>
      <c r="N10" s="214" t="s">
        <v>23</v>
      </c>
      <c r="O10" s="214"/>
      <c r="P10" s="208" t="s">
        <v>24</v>
      </c>
      <c r="Q10" s="209"/>
      <c r="R10" s="143">
        <v>176</v>
      </c>
      <c r="S10" s="143"/>
      <c r="T10" s="143"/>
      <c r="U10" s="286">
        <v>176</v>
      </c>
      <c r="V10" s="90"/>
      <c r="W10" s="62"/>
      <c r="X10" s="51"/>
      <c r="Y10" s="7"/>
      <c r="Z10" s="7"/>
      <c r="AA10" s="7"/>
      <c r="AB10" s="13"/>
      <c r="AC10" s="13"/>
      <c r="AD10" s="13"/>
    </row>
    <row r="11" s="21" customFormat="1" ht="14.25">
      <c r="A11" s="143"/>
      <c r="B11" s="457">
        <v>46111</v>
      </c>
      <c r="C11" s="457"/>
      <c r="D11" s="457">
        <v>46112</v>
      </c>
      <c r="E11" s="457"/>
      <c r="F11" s="457">
        <v>46113</v>
      </c>
      <c r="G11" s="457"/>
      <c r="H11" s="457">
        <v>46114</v>
      </c>
      <c r="I11" s="457"/>
      <c r="J11" s="457">
        <v>46115</v>
      </c>
      <c r="K11" s="457"/>
      <c r="L11" s="457">
        <v>46116</v>
      </c>
      <c r="M11" s="457"/>
      <c r="N11" s="457">
        <v>46117</v>
      </c>
      <c r="O11" s="459"/>
      <c r="P11" s="309" t="s">
        <v>25</v>
      </c>
      <c r="Q11" s="214" t="s">
        <v>26</v>
      </c>
      <c r="R11" s="249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203" t="s">
        <v>35</v>
      </c>
      <c r="B12" s="65"/>
      <c r="C12" s="65"/>
      <c r="D12" s="65"/>
      <c r="E12" s="65"/>
      <c r="F12" s="319" t="s">
        <v>32</v>
      </c>
      <c r="G12" s="319" t="s">
        <v>33</v>
      </c>
      <c r="H12" s="319" t="s">
        <v>32</v>
      </c>
      <c r="I12" s="319" t="s">
        <v>33</v>
      </c>
      <c r="J12" s="319" t="s">
        <v>32</v>
      </c>
      <c r="K12" s="319" t="s">
        <v>33</v>
      </c>
      <c r="L12" s="66"/>
      <c r="M12" s="66"/>
      <c r="N12" s="66"/>
      <c r="O12" s="66"/>
      <c r="P12" s="218">
        <f t="shared" ref="P12:P75" si="109">C12+E12+G12+I12+K12+M12+O12</f>
        <v>24</v>
      </c>
      <c r="Q12" s="62">
        <f>R10-P12</f>
        <v>152</v>
      </c>
      <c r="R12" s="219" t="str">
        <f t="shared" ref="R12:R75" si="110">A12</f>
        <v>Рычков</v>
      </c>
      <c r="S12" s="76" t="s">
        <v>10</v>
      </c>
      <c r="T12" s="77" t="s">
        <v>9</v>
      </c>
      <c r="U12" s="73">
        <f t="shared" ref="U12:U75" si="111">COUNTIF(T12,B12)+COUNTIF(T12,D12)+COUNTIF(T12,F12)+COUNTIF(T12,H12)+COUNTIF(T12,J12)+COUNTIF(T12,L12)+COUNTIF(T12,N12)</f>
        <v>0</v>
      </c>
      <c r="V12" s="62">
        <f t="shared" ref="V12:V75" si="112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s="21" customFormat="1" ht="14.4" hidden="1">
      <c r="A13" s="203" t="s">
        <v>66</v>
      </c>
      <c r="B13" s="66"/>
      <c r="C13" s="66"/>
      <c r="D13" s="66"/>
      <c r="E13" s="66"/>
      <c r="F13" s="319" t="s">
        <v>32</v>
      </c>
      <c r="G13" s="319" t="s">
        <v>33</v>
      </c>
      <c r="H13" s="319" t="s">
        <v>32</v>
      </c>
      <c r="I13" s="319" t="s">
        <v>33</v>
      </c>
      <c r="J13" s="319" t="s">
        <v>32</v>
      </c>
      <c r="K13" s="319" t="s">
        <v>33</v>
      </c>
      <c r="L13" s="66"/>
      <c r="M13" s="66"/>
      <c r="N13" s="67"/>
      <c r="O13" s="67"/>
      <c r="P13" s="218">
        <f t="shared" si="109"/>
        <v>24</v>
      </c>
      <c r="Q13" s="62">
        <f>R10-P13</f>
        <v>152</v>
      </c>
      <c r="R13" s="219" t="str">
        <f t="shared" si="110"/>
        <v>Карузина</v>
      </c>
      <c r="S13" s="76" t="s">
        <v>10</v>
      </c>
      <c r="T13" s="77" t="s">
        <v>9</v>
      </c>
      <c r="U13" s="73">
        <f t="shared" si="111"/>
        <v>0</v>
      </c>
      <c r="V13" s="62">
        <f t="shared" si="112"/>
        <v>0</v>
      </c>
      <c r="W13" s="62"/>
      <c r="X13" s="79" t="s">
        <v>49</v>
      </c>
      <c r="Y13" s="7"/>
      <c r="Z13" s="7"/>
      <c r="AA13" s="7"/>
      <c r="AB13" s="13"/>
      <c r="AC13" s="13"/>
      <c r="AD13" s="13"/>
    </row>
    <row r="14" s="21" customFormat="1" ht="14.25">
      <c r="A14" s="203" t="s">
        <v>39</v>
      </c>
      <c r="B14" s="65"/>
      <c r="C14" s="65"/>
      <c r="D14" s="65"/>
      <c r="E14" s="65"/>
      <c r="F14" s="319" t="s">
        <v>32</v>
      </c>
      <c r="G14" s="319" t="s">
        <v>33</v>
      </c>
      <c r="H14" s="319" t="s">
        <v>32</v>
      </c>
      <c r="I14" s="319" t="s">
        <v>33</v>
      </c>
      <c r="J14" s="319" t="s">
        <v>32</v>
      </c>
      <c r="K14" s="319" t="s">
        <v>33</v>
      </c>
      <c r="L14" s="66"/>
      <c r="M14" s="66"/>
      <c r="N14" s="66"/>
      <c r="O14" s="66"/>
      <c r="P14" s="218">
        <f t="shared" si="109"/>
        <v>24</v>
      </c>
      <c r="Q14" s="62">
        <f>R10-P14</f>
        <v>152</v>
      </c>
      <c r="R14" s="219" t="str">
        <f t="shared" si="110"/>
        <v>Игумнов</v>
      </c>
      <c r="S14" s="76" t="s">
        <v>10</v>
      </c>
      <c r="T14" s="77" t="s">
        <v>9</v>
      </c>
      <c r="U14" s="73">
        <f t="shared" si="111"/>
        <v>0</v>
      </c>
      <c r="V14" s="62">
        <f t="shared" si="112"/>
        <v>0</v>
      </c>
      <c r="W14" s="62"/>
      <c r="X14" s="79" t="s">
        <v>34</v>
      </c>
      <c r="Y14" s="7"/>
      <c r="Z14" s="7"/>
      <c r="AA14" s="7"/>
      <c r="AB14" s="13"/>
      <c r="AC14" s="13"/>
      <c r="AD14" s="13"/>
    </row>
    <row r="15" s="21" customFormat="1" ht="14.25">
      <c r="A15" s="203" t="s">
        <v>40</v>
      </c>
      <c r="B15" s="65"/>
      <c r="C15" s="65"/>
      <c r="D15" s="65"/>
      <c r="E15" s="65"/>
      <c r="F15" s="319" t="s">
        <v>32</v>
      </c>
      <c r="G15" s="319" t="s">
        <v>33</v>
      </c>
      <c r="H15" s="319" t="s">
        <v>32</v>
      </c>
      <c r="I15" s="319" t="s">
        <v>33</v>
      </c>
      <c r="J15" s="319" t="s">
        <v>32</v>
      </c>
      <c r="K15" s="319" t="s">
        <v>33</v>
      </c>
      <c r="L15" s="66"/>
      <c r="M15" s="66"/>
      <c r="N15" s="66"/>
      <c r="O15" s="66"/>
      <c r="P15" s="218">
        <f t="shared" si="109"/>
        <v>24</v>
      </c>
      <c r="Q15" s="62">
        <f>R10-P15</f>
        <v>152</v>
      </c>
      <c r="R15" s="219" t="str">
        <f t="shared" si="110"/>
        <v>Душин</v>
      </c>
      <c r="S15" s="76" t="s">
        <v>10</v>
      </c>
      <c r="T15" s="77" t="s">
        <v>9</v>
      </c>
      <c r="U15" s="73">
        <f t="shared" si="111"/>
        <v>0</v>
      </c>
      <c r="V15" s="62">
        <f t="shared" si="112"/>
        <v>0</v>
      </c>
      <c r="W15" s="62"/>
      <c r="X15" s="74" t="s">
        <v>38</v>
      </c>
      <c r="Y15" s="7"/>
      <c r="Z15" s="7"/>
      <c r="AA15" s="7"/>
      <c r="AB15" s="13"/>
      <c r="AC15" s="13"/>
      <c r="AD15" s="13"/>
    </row>
    <row r="16" s="21" customFormat="1" ht="14.25">
      <c r="A16" s="203" t="s">
        <v>31</v>
      </c>
      <c r="B16" s="319"/>
      <c r="C16" s="319"/>
      <c r="D16" s="198"/>
      <c r="E16" s="199"/>
      <c r="F16" s="319" t="s">
        <v>32</v>
      </c>
      <c r="G16" s="319" t="s">
        <v>33</v>
      </c>
      <c r="H16" s="319" t="s">
        <v>32</v>
      </c>
      <c r="I16" s="319" t="s">
        <v>33</v>
      </c>
      <c r="J16" s="319" t="s">
        <v>32</v>
      </c>
      <c r="K16" s="319" t="s">
        <v>33</v>
      </c>
      <c r="L16" s="66"/>
      <c r="M16" s="66"/>
      <c r="N16" s="66"/>
      <c r="O16" s="66"/>
      <c r="P16" s="218">
        <f t="shared" si="109"/>
        <v>24</v>
      </c>
      <c r="Q16" s="62">
        <f>R10-P16</f>
        <v>152</v>
      </c>
      <c r="R16" s="219" t="str">
        <f t="shared" si="110"/>
        <v>Нетронин</v>
      </c>
      <c r="S16" s="76" t="s">
        <v>58</v>
      </c>
      <c r="T16" s="77" t="s">
        <v>59</v>
      </c>
      <c r="U16" s="73"/>
      <c r="V16" s="62"/>
      <c r="W16" s="62"/>
      <c r="X16" s="74" t="s">
        <v>34</v>
      </c>
      <c r="Y16" s="7"/>
      <c r="Z16" s="7"/>
      <c r="AA16" s="7"/>
      <c r="AB16" s="13"/>
      <c r="AC16" s="13"/>
      <c r="AD16" s="13"/>
    </row>
    <row r="17" s="21" customFormat="1" ht="14.25">
      <c r="A17" s="203" t="s">
        <v>61</v>
      </c>
      <c r="B17" s="65"/>
      <c r="C17" s="65"/>
      <c r="D17" s="65"/>
      <c r="E17" s="65"/>
      <c r="F17" s="319" t="s">
        <v>32</v>
      </c>
      <c r="G17" s="319" t="s">
        <v>33</v>
      </c>
      <c r="H17" s="319" t="s">
        <v>32</v>
      </c>
      <c r="I17" s="319" t="s">
        <v>33</v>
      </c>
      <c r="J17" s="319" t="s">
        <v>32</v>
      </c>
      <c r="K17" s="319" t="s">
        <v>33</v>
      </c>
      <c r="L17" s="66"/>
      <c r="M17" s="66"/>
      <c r="N17" s="66"/>
      <c r="O17" s="66"/>
      <c r="P17" s="218">
        <f t="shared" si="109"/>
        <v>24</v>
      </c>
      <c r="Q17" s="62">
        <f>R10-P17</f>
        <v>152</v>
      </c>
      <c r="R17" s="219" t="str">
        <f t="shared" si="110"/>
        <v>Раимова</v>
      </c>
      <c r="S17" s="76" t="s">
        <v>10</v>
      </c>
      <c r="T17" s="77" t="s">
        <v>9</v>
      </c>
      <c r="U17" s="73"/>
      <c r="V17" s="62"/>
      <c r="W17" s="62"/>
      <c r="X17" s="74" t="s">
        <v>38</v>
      </c>
      <c r="Y17" s="7"/>
      <c r="Z17" s="7"/>
      <c r="AA17" s="7"/>
      <c r="AB17" s="13"/>
      <c r="AC17" s="13"/>
      <c r="AD17" s="13"/>
    </row>
    <row r="18" s="21" customFormat="1" ht="14.25">
      <c r="A18" s="203" t="s">
        <v>62</v>
      </c>
      <c r="B18" s="65"/>
      <c r="C18" s="65"/>
      <c r="D18" s="65"/>
      <c r="E18" s="65"/>
      <c r="F18" s="319" t="s">
        <v>32</v>
      </c>
      <c r="G18" s="319" t="s">
        <v>33</v>
      </c>
      <c r="H18" s="319" t="s">
        <v>32</v>
      </c>
      <c r="I18" s="319" t="s">
        <v>33</v>
      </c>
      <c r="J18" s="319" t="s">
        <v>32</v>
      </c>
      <c r="K18" s="321" t="s">
        <v>33</v>
      </c>
      <c r="L18" s="66"/>
      <c r="M18" s="66"/>
      <c r="N18" s="66"/>
      <c r="O18" s="66"/>
      <c r="P18" s="218">
        <f t="shared" si="109"/>
        <v>24</v>
      </c>
      <c r="Q18" s="62">
        <f>R10-P18</f>
        <v>152</v>
      </c>
      <c r="R18" s="219" t="str">
        <f t="shared" si="110"/>
        <v>Войтехович</v>
      </c>
      <c r="S18" s="76" t="s">
        <v>58</v>
      </c>
      <c r="T18" s="77" t="s">
        <v>59</v>
      </c>
      <c r="U18" s="73"/>
      <c r="V18" s="62"/>
      <c r="W18" s="62"/>
      <c r="X18" s="74" t="s">
        <v>34</v>
      </c>
      <c r="Y18" s="7"/>
      <c r="Z18" s="7"/>
      <c r="AA18" s="7"/>
      <c r="AB18" s="13"/>
      <c r="AC18" s="13"/>
      <c r="AD18" s="13"/>
    </row>
    <row r="19" s="21" customFormat="1" ht="14.25">
      <c r="A19" s="203" t="s">
        <v>66</v>
      </c>
      <c r="B19" s="65"/>
      <c r="C19" s="65"/>
      <c r="D19" s="65"/>
      <c r="E19" s="65"/>
      <c r="F19" s="319" t="s">
        <v>32</v>
      </c>
      <c r="G19" s="319" t="s">
        <v>33</v>
      </c>
      <c r="H19" s="319" t="s">
        <v>32</v>
      </c>
      <c r="I19" s="319" t="s">
        <v>33</v>
      </c>
      <c r="J19" s="319" t="s">
        <v>32</v>
      </c>
      <c r="K19" s="319" t="s">
        <v>33</v>
      </c>
      <c r="L19" s="66"/>
      <c r="M19" s="66"/>
      <c r="N19" s="66"/>
      <c r="O19" s="66"/>
      <c r="P19" s="218">
        <f t="shared" si="109"/>
        <v>24</v>
      </c>
      <c r="Q19" s="62">
        <f>R10-P19</f>
        <v>152</v>
      </c>
      <c r="R19" s="219" t="str">
        <f t="shared" si="110"/>
        <v>Карузина</v>
      </c>
      <c r="S19" s="76" t="s">
        <v>67</v>
      </c>
      <c r="T19" s="77" t="s">
        <v>68</v>
      </c>
      <c r="U19" s="73"/>
      <c r="V19" s="62"/>
      <c r="W19" s="62"/>
      <c r="X19" s="74" t="s">
        <v>38</v>
      </c>
      <c r="Y19" s="7"/>
      <c r="Z19" s="7"/>
      <c r="AA19" s="7"/>
      <c r="AB19" s="13"/>
      <c r="AC19" s="13"/>
      <c r="AD19" s="13"/>
    </row>
    <row r="20" s="21" customFormat="1" ht="14.25">
      <c r="A20" s="203" t="s">
        <v>63</v>
      </c>
      <c r="B20" s="65"/>
      <c r="C20" s="65"/>
      <c r="D20" s="65"/>
      <c r="E20" s="65"/>
      <c r="F20" s="321" t="s">
        <v>32</v>
      </c>
      <c r="G20" s="319" t="s">
        <v>33</v>
      </c>
      <c r="H20" s="321" t="s">
        <v>32</v>
      </c>
      <c r="I20" s="319" t="s">
        <v>33</v>
      </c>
      <c r="J20" s="321" t="s">
        <v>32</v>
      </c>
      <c r="K20" s="319" t="s">
        <v>33</v>
      </c>
      <c r="L20" s="66"/>
      <c r="M20" s="66"/>
      <c r="N20" s="66"/>
      <c r="O20" s="66"/>
      <c r="P20" s="218">
        <f t="shared" si="109"/>
        <v>24</v>
      </c>
      <c r="Q20" s="62">
        <f>R10-P20</f>
        <v>152</v>
      </c>
      <c r="R20" s="219" t="str">
        <f t="shared" si="110"/>
        <v>Васильев</v>
      </c>
      <c r="S20" s="76" t="s">
        <v>69</v>
      </c>
      <c r="T20" s="77" t="s">
        <v>70</v>
      </c>
      <c r="U20" s="73"/>
      <c r="V20" s="62"/>
      <c r="W20" s="62"/>
      <c r="X20" s="74" t="s">
        <v>38</v>
      </c>
      <c r="Y20" s="7"/>
      <c r="Z20" s="7"/>
      <c r="AA20" s="7"/>
      <c r="AB20" s="13"/>
      <c r="AC20" s="13"/>
      <c r="AD20" s="13"/>
    </row>
    <row r="21" s="21" customFormat="1" ht="14.25">
      <c r="A21" s="205" t="s">
        <v>43</v>
      </c>
      <c r="B21" s="67"/>
      <c r="C21" s="330"/>
      <c r="D21" s="77"/>
      <c r="E21" s="329"/>
      <c r="F21" s="77"/>
      <c r="G21" s="329">
        <v>11</v>
      </c>
      <c r="H21" s="67"/>
      <c r="I21" s="330"/>
      <c r="J21" s="465"/>
      <c r="K21" s="330"/>
      <c r="L21" s="77"/>
      <c r="M21" s="329">
        <v>11</v>
      </c>
      <c r="N21" s="72"/>
      <c r="O21" s="329">
        <v>11</v>
      </c>
      <c r="P21" s="285">
        <f t="shared" si="109"/>
        <v>33</v>
      </c>
      <c r="Q21" s="62">
        <f>R10-P21</f>
        <v>143</v>
      </c>
      <c r="R21" s="461" t="str">
        <f t="shared" si="110"/>
        <v>Дащенко</v>
      </c>
      <c r="S21" s="71" t="s">
        <v>12</v>
      </c>
      <c r="T21" s="72" t="s">
        <v>11</v>
      </c>
      <c r="U21" s="90">
        <v>1</v>
      </c>
      <c r="V21" s="62">
        <v>2</v>
      </c>
      <c r="W21" s="62"/>
      <c r="X21" s="80" t="s">
        <v>44</v>
      </c>
      <c r="Y21" s="7"/>
      <c r="Z21" s="7"/>
      <c r="AA21" s="7"/>
      <c r="AB21" s="13"/>
      <c r="AC21" s="13"/>
      <c r="AD21" s="13"/>
    </row>
    <row r="22" s="21" customFormat="1" ht="14.25">
      <c r="A22" s="205" t="s">
        <v>45</v>
      </c>
      <c r="B22" s="77"/>
      <c r="C22" s="329"/>
      <c r="D22" s="66"/>
      <c r="E22" s="66"/>
      <c r="F22" s="67"/>
      <c r="G22" s="330"/>
      <c r="H22" s="76"/>
      <c r="I22" s="324">
        <v>11</v>
      </c>
      <c r="J22" s="76"/>
      <c r="K22" s="324">
        <v>11</v>
      </c>
      <c r="L22" s="67"/>
      <c r="M22" s="330"/>
      <c r="N22" s="67"/>
      <c r="O22" s="330"/>
      <c r="P22" s="218">
        <f t="shared" si="109"/>
        <v>22</v>
      </c>
      <c r="Q22" s="62">
        <f>R10-P22</f>
        <v>154</v>
      </c>
      <c r="R22" s="219" t="str">
        <f t="shared" si="110"/>
        <v>Пузырь</v>
      </c>
      <c r="S22" s="76" t="s">
        <v>10</v>
      </c>
      <c r="T22" s="77" t="s">
        <v>9</v>
      </c>
      <c r="U22" s="73">
        <f t="shared" si="111"/>
        <v>0</v>
      </c>
      <c r="V22" s="62">
        <v>2</v>
      </c>
      <c r="W22" s="62"/>
      <c r="X22" s="74" t="s">
        <v>34</v>
      </c>
      <c r="Y22" s="7"/>
      <c r="Z22" s="7"/>
      <c r="AA22" s="7"/>
      <c r="AB22" s="13"/>
      <c r="AC22" s="13"/>
      <c r="AD22" s="13"/>
    </row>
    <row r="23" s="21" customFormat="1" ht="14.25">
      <c r="A23" s="205" t="s">
        <v>64</v>
      </c>
      <c r="B23" s="494"/>
      <c r="C23" s="495"/>
      <c r="D23" s="494"/>
      <c r="E23" s="494"/>
      <c r="F23" s="496"/>
      <c r="G23" s="497">
        <v>11</v>
      </c>
      <c r="H23" s="496"/>
      <c r="I23" s="497">
        <v>11</v>
      </c>
      <c r="J23" s="498"/>
      <c r="K23" s="497"/>
      <c r="L23" s="496"/>
      <c r="M23" s="497">
        <v>11</v>
      </c>
      <c r="N23" s="498"/>
      <c r="O23" s="497">
        <v>11</v>
      </c>
      <c r="P23" s="218">
        <f t="shared" si="109"/>
        <v>44</v>
      </c>
      <c r="Q23" s="62">
        <f>R10-P23</f>
        <v>132</v>
      </c>
      <c r="R23" s="219" t="str">
        <f t="shared" si="110"/>
        <v>Рожнева</v>
      </c>
      <c r="S23" s="71" t="s">
        <v>12</v>
      </c>
      <c r="T23" s="72" t="s">
        <v>11</v>
      </c>
      <c r="U23" s="73">
        <f t="shared" si="111"/>
        <v>0</v>
      </c>
      <c r="V23" s="62">
        <f t="shared" si="112"/>
        <v>0</v>
      </c>
      <c r="W23" s="62"/>
      <c r="X23" s="74" t="s">
        <v>34</v>
      </c>
      <c r="Y23" s="7"/>
      <c r="Z23" s="7"/>
      <c r="AA23" s="7"/>
      <c r="AB23" s="13"/>
      <c r="AC23" s="13"/>
      <c r="AD23" s="13"/>
    </row>
    <row r="24" s="21" customFormat="1" ht="14.25">
      <c r="A24" s="205" t="s">
        <v>47</v>
      </c>
      <c r="B24" s="76"/>
      <c r="C24" s="357"/>
      <c r="D24" s="76"/>
      <c r="E24" s="324"/>
      <c r="F24" s="325"/>
      <c r="G24" s="325"/>
      <c r="H24" s="67"/>
      <c r="I24" s="330"/>
      <c r="J24" s="76"/>
      <c r="K24" s="324">
        <v>11</v>
      </c>
      <c r="L24" s="76"/>
      <c r="M24" s="324">
        <v>11</v>
      </c>
      <c r="N24" s="76"/>
      <c r="O24" s="324">
        <v>11</v>
      </c>
      <c r="P24" s="218">
        <f t="shared" si="109"/>
        <v>33</v>
      </c>
      <c r="Q24" s="62">
        <f>R10-P24</f>
        <v>143</v>
      </c>
      <c r="R24" s="219" t="str">
        <f t="shared" si="110"/>
        <v>Торубара</v>
      </c>
      <c r="S24" s="76" t="s">
        <v>10</v>
      </c>
      <c r="T24" s="77" t="s">
        <v>9</v>
      </c>
      <c r="U24" s="73">
        <v>3</v>
      </c>
      <c r="V24" s="62">
        <f t="shared" si="112"/>
        <v>0</v>
      </c>
      <c r="W24" s="62"/>
      <c r="X24" s="74" t="s">
        <v>34</v>
      </c>
      <c r="Y24" s="7"/>
      <c r="Z24" s="7"/>
      <c r="AA24" s="7"/>
      <c r="AB24" s="13"/>
      <c r="AC24" s="13"/>
      <c r="AD24" s="13"/>
    </row>
    <row r="25" s="21" customFormat="1" ht="14.25">
      <c r="A25" s="205" t="s">
        <v>48</v>
      </c>
      <c r="B25" s="66"/>
      <c r="C25" s="66"/>
      <c r="D25" s="76"/>
      <c r="E25" s="324"/>
      <c r="F25" s="76"/>
      <c r="G25" s="324">
        <v>11</v>
      </c>
      <c r="H25" s="325"/>
      <c r="I25" s="325"/>
      <c r="J25" s="67"/>
      <c r="K25" s="330"/>
      <c r="L25" s="76"/>
      <c r="M25" s="324">
        <v>11</v>
      </c>
      <c r="N25" s="76"/>
      <c r="O25" s="324">
        <v>11</v>
      </c>
      <c r="P25" s="218">
        <f t="shared" si="109"/>
        <v>33</v>
      </c>
      <c r="Q25" s="62">
        <f>R10-P25</f>
        <v>143</v>
      </c>
      <c r="R25" s="219" t="str">
        <f t="shared" si="110"/>
        <v>Стрыгин</v>
      </c>
      <c r="S25" s="71" t="s">
        <v>8</v>
      </c>
      <c r="T25" s="72" t="s">
        <v>7</v>
      </c>
      <c r="U25" s="73">
        <v>2</v>
      </c>
      <c r="V25" s="62">
        <v>1</v>
      </c>
      <c r="W25" s="62"/>
      <c r="X25" s="74" t="s">
        <v>49</v>
      </c>
      <c r="Y25" s="7"/>
      <c r="Z25" s="7"/>
      <c r="AA25" s="7"/>
      <c r="AB25" s="13"/>
      <c r="AC25" s="13"/>
      <c r="AD25" s="13"/>
    </row>
    <row r="26" s="21" customFormat="1" ht="14.25">
      <c r="A26" s="205" t="s">
        <v>50</v>
      </c>
      <c r="B26" s="77"/>
      <c r="C26" s="329"/>
      <c r="D26" s="72"/>
      <c r="E26" s="329"/>
      <c r="F26" s="465"/>
      <c r="G26" s="330"/>
      <c r="H26" s="77"/>
      <c r="I26" s="329">
        <v>11</v>
      </c>
      <c r="J26" s="77"/>
      <c r="K26" s="329">
        <v>11</v>
      </c>
      <c r="L26" s="72"/>
      <c r="M26" s="329">
        <v>11</v>
      </c>
      <c r="N26" s="67"/>
      <c r="O26" s="330"/>
      <c r="P26" s="218">
        <f t="shared" si="109"/>
        <v>33</v>
      </c>
      <c r="Q26" s="62">
        <f>R10-P26</f>
        <v>143</v>
      </c>
      <c r="R26" s="219" t="str">
        <f t="shared" si="110"/>
        <v>Фрик</v>
      </c>
      <c r="S26" s="71" t="s">
        <v>12</v>
      </c>
      <c r="T26" s="72" t="s">
        <v>11</v>
      </c>
      <c r="U26" s="73">
        <f t="shared" si="111"/>
        <v>0</v>
      </c>
      <c r="V26" s="62">
        <v>2</v>
      </c>
      <c r="W26" s="62"/>
      <c r="X26" s="74" t="s">
        <v>44</v>
      </c>
      <c r="Y26" s="7"/>
      <c r="Z26" s="7"/>
      <c r="AA26" s="7"/>
      <c r="AB26" s="13"/>
      <c r="AC26" s="13"/>
      <c r="AD26" s="13"/>
    </row>
    <row r="27" s="21" customFormat="1" ht="14.25">
      <c r="A27" s="206" t="s">
        <v>51</v>
      </c>
      <c r="B27" s="66"/>
      <c r="C27" s="66"/>
      <c r="D27" s="66"/>
      <c r="E27" s="66"/>
      <c r="F27" s="76"/>
      <c r="G27" s="324">
        <v>11</v>
      </c>
      <c r="H27" s="76"/>
      <c r="I27" s="324">
        <v>11</v>
      </c>
      <c r="J27" s="67"/>
      <c r="K27" s="330"/>
      <c r="L27" s="325"/>
      <c r="M27" s="325"/>
      <c r="N27" s="72"/>
      <c r="O27" s="329">
        <v>11</v>
      </c>
      <c r="P27" s="218">
        <f t="shared" si="109"/>
        <v>33</v>
      </c>
      <c r="Q27" s="62">
        <f>R10-P27</f>
        <v>143</v>
      </c>
      <c r="R27" s="219" t="str">
        <f t="shared" si="110"/>
        <v>Истрашкин</v>
      </c>
      <c r="S27" s="71" t="s">
        <v>10</v>
      </c>
      <c r="T27" s="72" t="s">
        <v>9</v>
      </c>
      <c r="U27" s="73">
        <f t="shared" si="111"/>
        <v>0</v>
      </c>
      <c r="V27" s="62">
        <v>3</v>
      </c>
      <c r="W27" s="62"/>
      <c r="X27" s="74" t="s">
        <v>34</v>
      </c>
      <c r="Y27" s="7"/>
      <c r="Z27" s="7"/>
      <c r="AA27" s="7"/>
      <c r="AB27" s="13"/>
      <c r="AC27" s="13"/>
      <c r="AD27" s="13"/>
    </row>
    <row r="28" s="21" customFormat="1" ht="14.25">
      <c r="A28" s="207"/>
      <c r="B28" s="499">
        <v>46111</v>
      </c>
      <c r="C28" s="500"/>
      <c r="D28" s="499">
        <v>46112</v>
      </c>
      <c r="E28" s="499"/>
      <c r="F28" s="499">
        <v>46113</v>
      </c>
      <c r="G28" s="499"/>
      <c r="H28" s="499">
        <v>46114</v>
      </c>
      <c r="I28" s="499"/>
      <c r="J28" s="499">
        <v>46115</v>
      </c>
      <c r="K28" s="499"/>
      <c r="L28" s="499">
        <v>46116</v>
      </c>
      <c r="M28" s="499"/>
      <c r="N28" s="499">
        <v>46117</v>
      </c>
      <c r="O28" s="501"/>
      <c r="P28" s="218"/>
      <c r="Q28" s="254"/>
      <c r="R28" s="207"/>
      <c r="S28" s="138"/>
      <c r="T28" s="138"/>
      <c r="U28" s="60" t="s">
        <v>27</v>
      </c>
      <c r="V28" s="61" t="s">
        <v>28</v>
      </c>
      <c r="W28" s="62" t="s">
        <v>29</v>
      </c>
      <c r="X28" s="7"/>
      <c r="Y28" s="7"/>
      <c r="Z28" s="7"/>
      <c r="AA28" s="7"/>
      <c r="AB28" s="13"/>
      <c r="AC28" s="13"/>
      <c r="AD28" s="13"/>
    </row>
    <row r="29" ht="14.25">
      <c r="A29" s="162"/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4"/>
      <c r="R29" s="165"/>
      <c r="S29" s="165"/>
      <c r="T29" s="165"/>
      <c r="U29" s="100"/>
      <c r="V29" s="100"/>
      <c r="W29" s="100"/>
      <c r="X29" s="7"/>
      <c r="Y29" s="7"/>
      <c r="Z29" s="7"/>
      <c r="AA29" s="7"/>
      <c r="AB29" s="13"/>
      <c r="AC29" s="13"/>
      <c r="AD29" s="13"/>
    </row>
    <row r="30" ht="14.25">
      <c r="A30" s="165"/>
      <c r="B30" s="167" t="s">
        <v>17</v>
      </c>
      <c r="C30" s="167"/>
      <c r="D30" s="167" t="s">
        <v>18</v>
      </c>
      <c r="E30" s="167"/>
      <c r="F30" s="167" t="s">
        <v>19</v>
      </c>
      <c r="G30" s="167"/>
      <c r="H30" s="167" t="s">
        <v>20</v>
      </c>
      <c r="I30" s="167"/>
      <c r="J30" s="168" t="s">
        <v>21</v>
      </c>
      <c r="K30" s="168"/>
      <c r="L30" s="167" t="s">
        <v>22</v>
      </c>
      <c r="M30" s="167"/>
      <c r="N30" s="167" t="s">
        <v>23</v>
      </c>
      <c r="O30" s="167"/>
      <c r="P30" s="234" t="s">
        <v>24</v>
      </c>
      <c r="Q30" s="235"/>
      <c r="R30" s="165"/>
      <c r="S30" s="165"/>
      <c r="T30" s="165"/>
      <c r="U30" s="100"/>
      <c r="V30" s="100"/>
      <c r="W30" s="100"/>
      <c r="X30" s="51"/>
      <c r="Y30" s="7"/>
      <c r="Z30" s="7"/>
      <c r="AA30" s="7"/>
      <c r="AB30" s="13"/>
      <c r="AC30" s="13"/>
      <c r="AD30" s="13"/>
    </row>
    <row r="31" ht="14.25">
      <c r="A31" s="165"/>
      <c r="B31" s="210">
        <v>46118</v>
      </c>
      <c r="C31" s="210"/>
      <c r="D31" s="210">
        <v>46119</v>
      </c>
      <c r="E31" s="210"/>
      <c r="F31" s="210">
        <v>46120</v>
      </c>
      <c r="G31" s="210"/>
      <c r="H31" s="210">
        <v>46121</v>
      </c>
      <c r="I31" s="210"/>
      <c r="J31" s="210">
        <v>46122</v>
      </c>
      <c r="K31" s="210"/>
      <c r="L31" s="210">
        <v>46123</v>
      </c>
      <c r="M31" s="210"/>
      <c r="N31" s="210">
        <v>46124</v>
      </c>
      <c r="O31" s="212"/>
      <c r="P31" s="236" t="s">
        <v>25</v>
      </c>
      <c r="Q31" s="237" t="s">
        <v>26</v>
      </c>
      <c r="R31" s="238"/>
      <c r="S31" s="239"/>
      <c r="T31" s="239"/>
      <c r="U31" s="15" t="s">
        <v>27</v>
      </c>
      <c r="V31" s="106" t="s">
        <v>28</v>
      </c>
      <c r="W31" s="100" t="s">
        <v>29</v>
      </c>
      <c r="X31" s="63" t="s">
        <v>30</v>
      </c>
      <c r="Y31" s="7"/>
      <c r="Z31" s="7"/>
      <c r="AA31" s="7"/>
      <c r="AB31" s="13"/>
      <c r="AC31" s="13"/>
      <c r="AD31" s="13"/>
    </row>
    <row r="32" s="21" customFormat="1" ht="14.25">
      <c r="A32" s="203" t="s">
        <v>35</v>
      </c>
      <c r="B32" s="319" t="s">
        <v>32</v>
      </c>
      <c r="C32" s="319" t="s">
        <v>33</v>
      </c>
      <c r="D32" s="319" t="s">
        <v>32</v>
      </c>
      <c r="E32" s="319" t="s">
        <v>33</v>
      </c>
      <c r="F32" s="319" t="s">
        <v>32</v>
      </c>
      <c r="G32" s="319" t="s">
        <v>33</v>
      </c>
      <c r="H32" s="148"/>
      <c r="I32" s="148" t="s">
        <v>33</v>
      </c>
      <c r="J32" s="148"/>
      <c r="K32" s="148" t="s">
        <v>33</v>
      </c>
      <c r="L32" s="108"/>
      <c r="M32" s="108"/>
      <c r="N32" s="108"/>
      <c r="O32" s="108"/>
      <c r="P32" s="218">
        <f t="shared" si="109"/>
        <v>40</v>
      </c>
      <c r="Q32" s="62">
        <f t="shared" ref="Q32:Q95" si="113">Q12-P32</f>
        <v>112</v>
      </c>
      <c r="R32" s="219" t="str">
        <f t="shared" si="110"/>
        <v>Рычков</v>
      </c>
      <c r="S32" s="76" t="s">
        <v>10</v>
      </c>
      <c r="T32" s="77" t="s">
        <v>9</v>
      </c>
      <c r="U32" s="73">
        <f t="shared" si="111"/>
        <v>0</v>
      </c>
      <c r="V32" s="62">
        <f t="shared" si="112"/>
        <v>0</v>
      </c>
      <c r="W32" s="62"/>
      <c r="X32" s="74" t="s">
        <v>34</v>
      </c>
      <c r="Y32" s="7"/>
      <c r="Z32" s="7"/>
      <c r="AA32" s="7"/>
      <c r="AB32" s="13"/>
      <c r="AC32" s="13"/>
      <c r="AD32" s="13"/>
    </row>
    <row r="33" s="21" customFormat="1" ht="14.4" hidden="1">
      <c r="A33" s="203" t="s">
        <v>66</v>
      </c>
      <c r="B33" s="319" t="s">
        <v>32</v>
      </c>
      <c r="C33" s="319" t="s">
        <v>33</v>
      </c>
      <c r="D33" s="319" t="s">
        <v>32</v>
      </c>
      <c r="E33" s="319" t="s">
        <v>33</v>
      </c>
      <c r="F33" s="319" t="s">
        <v>32</v>
      </c>
      <c r="G33" s="319" t="s">
        <v>33</v>
      </c>
      <c r="H33" s="319" t="s">
        <v>32</v>
      </c>
      <c r="I33" s="319" t="s">
        <v>33</v>
      </c>
      <c r="J33" s="319" t="s">
        <v>32</v>
      </c>
      <c r="K33" s="319" t="s">
        <v>33</v>
      </c>
      <c r="L33" s="66"/>
      <c r="M33" s="66"/>
      <c r="N33" s="67"/>
      <c r="O33" s="67"/>
      <c r="P33" s="218">
        <f t="shared" si="109"/>
        <v>40</v>
      </c>
      <c r="Q33" s="62">
        <f t="shared" si="113"/>
        <v>112</v>
      </c>
      <c r="R33" s="219" t="str">
        <f t="shared" si="110"/>
        <v>Карузина</v>
      </c>
      <c r="S33" s="76" t="s">
        <v>10</v>
      </c>
      <c r="T33" s="77" t="s">
        <v>9</v>
      </c>
      <c r="U33" s="73">
        <f t="shared" si="111"/>
        <v>0</v>
      </c>
      <c r="V33" s="62">
        <f t="shared" si="112"/>
        <v>0</v>
      </c>
      <c r="W33" s="62"/>
      <c r="X33" s="79" t="s">
        <v>49</v>
      </c>
      <c r="Y33" s="7"/>
      <c r="Z33" s="7"/>
      <c r="AA33" s="7"/>
      <c r="AB33" s="13"/>
      <c r="AC33" s="13"/>
      <c r="AD33" s="13"/>
    </row>
    <row r="34" s="21" customFormat="1" ht="14.25">
      <c r="A34" s="203" t="s">
        <v>39</v>
      </c>
      <c r="B34" s="319" t="s">
        <v>32</v>
      </c>
      <c r="C34" s="319" t="s">
        <v>33</v>
      </c>
      <c r="D34" s="319" t="s">
        <v>32</v>
      </c>
      <c r="E34" s="319" t="s">
        <v>33</v>
      </c>
      <c r="F34" s="319" t="s">
        <v>32</v>
      </c>
      <c r="G34" s="319" t="s">
        <v>33</v>
      </c>
      <c r="H34" s="319" t="s">
        <v>32</v>
      </c>
      <c r="I34" s="319" t="s">
        <v>33</v>
      </c>
      <c r="J34" s="319" t="s">
        <v>32</v>
      </c>
      <c r="K34" s="319" t="s">
        <v>33</v>
      </c>
      <c r="L34" s="66"/>
      <c r="M34" s="66"/>
      <c r="N34" s="66"/>
      <c r="O34" s="66"/>
      <c r="P34" s="218">
        <f t="shared" si="109"/>
        <v>40</v>
      </c>
      <c r="Q34" s="62">
        <f t="shared" si="113"/>
        <v>112</v>
      </c>
      <c r="R34" s="219" t="str">
        <f t="shared" si="110"/>
        <v>Игумнов</v>
      </c>
      <c r="S34" s="76" t="s">
        <v>10</v>
      </c>
      <c r="T34" s="77" t="s">
        <v>9</v>
      </c>
      <c r="U34" s="73">
        <f t="shared" si="111"/>
        <v>0</v>
      </c>
      <c r="V34" s="62">
        <f t="shared" si="112"/>
        <v>0</v>
      </c>
      <c r="W34" s="62"/>
      <c r="X34" s="79" t="s">
        <v>34</v>
      </c>
      <c r="Y34" s="7"/>
      <c r="Z34" s="7"/>
      <c r="AA34" s="7"/>
      <c r="AB34" s="13"/>
      <c r="AC34" s="13"/>
      <c r="AD34" s="13"/>
    </row>
    <row r="35" s="21" customFormat="1" ht="14.25">
      <c r="A35" s="203" t="s">
        <v>40</v>
      </c>
      <c r="B35" s="319" t="s">
        <v>32</v>
      </c>
      <c r="C35" s="319" t="s">
        <v>33</v>
      </c>
      <c r="D35" s="319" t="s">
        <v>32</v>
      </c>
      <c r="E35" s="319" t="s">
        <v>33</v>
      </c>
      <c r="F35" s="319" t="s">
        <v>32</v>
      </c>
      <c r="G35" s="319" t="s">
        <v>33</v>
      </c>
      <c r="H35" s="319" t="s">
        <v>32</v>
      </c>
      <c r="I35" s="319" t="s">
        <v>33</v>
      </c>
      <c r="J35" s="319" t="s">
        <v>32</v>
      </c>
      <c r="K35" s="319" t="s">
        <v>33</v>
      </c>
      <c r="L35" s="66"/>
      <c r="M35" s="66"/>
      <c r="N35" s="66"/>
      <c r="O35" s="66"/>
      <c r="P35" s="218">
        <f t="shared" si="109"/>
        <v>40</v>
      </c>
      <c r="Q35" s="62">
        <f t="shared" si="113"/>
        <v>112</v>
      </c>
      <c r="R35" s="219" t="str">
        <f t="shared" si="110"/>
        <v>Душин</v>
      </c>
      <c r="S35" s="76" t="s">
        <v>10</v>
      </c>
      <c r="T35" s="77" t="s">
        <v>9</v>
      </c>
      <c r="U35" s="73">
        <f t="shared" si="111"/>
        <v>0</v>
      </c>
      <c r="V35" s="62">
        <f t="shared" si="112"/>
        <v>0</v>
      </c>
      <c r="W35" s="62"/>
      <c r="X35" s="74" t="s">
        <v>38</v>
      </c>
      <c r="Y35" s="7"/>
      <c r="Z35" s="7"/>
      <c r="AA35" s="7"/>
      <c r="AB35" s="13"/>
      <c r="AC35" s="13"/>
      <c r="AD35" s="13"/>
    </row>
    <row r="36" s="21" customFormat="1" ht="14.25">
      <c r="A36" s="203" t="s">
        <v>31</v>
      </c>
      <c r="B36" s="319" t="s">
        <v>32</v>
      </c>
      <c r="C36" s="319" t="s">
        <v>33</v>
      </c>
      <c r="D36" s="319" t="s">
        <v>32</v>
      </c>
      <c r="E36" s="319" t="s">
        <v>33</v>
      </c>
      <c r="F36" s="319" t="s">
        <v>32</v>
      </c>
      <c r="G36" s="319" t="s">
        <v>33</v>
      </c>
      <c r="H36" s="319" t="s">
        <v>32</v>
      </c>
      <c r="I36" s="319" t="s">
        <v>33</v>
      </c>
      <c r="J36" s="319" t="s">
        <v>32</v>
      </c>
      <c r="K36" s="319" t="s">
        <v>33</v>
      </c>
      <c r="L36" s="66"/>
      <c r="M36" s="66"/>
      <c r="N36" s="66"/>
      <c r="O36" s="66"/>
      <c r="P36" s="218">
        <f t="shared" si="109"/>
        <v>40</v>
      </c>
      <c r="Q36" s="62">
        <f t="shared" si="113"/>
        <v>112</v>
      </c>
      <c r="R36" s="219" t="str">
        <f t="shared" si="110"/>
        <v>Нетронин</v>
      </c>
      <c r="S36" s="76" t="s">
        <v>58</v>
      </c>
      <c r="T36" s="77" t="s">
        <v>59</v>
      </c>
      <c r="U36" s="73"/>
      <c r="V36" s="62"/>
      <c r="W36" s="62"/>
      <c r="X36" s="74" t="s">
        <v>34</v>
      </c>
      <c r="Y36" s="7"/>
      <c r="Z36" s="7"/>
      <c r="AA36" s="7"/>
      <c r="AB36" s="13"/>
      <c r="AC36" s="13"/>
      <c r="AD36" s="13"/>
    </row>
    <row r="37" s="21" customFormat="1" ht="14.25">
      <c r="A37" s="203" t="s">
        <v>61</v>
      </c>
      <c r="B37" s="319" t="s">
        <v>32</v>
      </c>
      <c r="C37" s="319" t="s">
        <v>33</v>
      </c>
      <c r="D37" s="321" t="s">
        <v>32</v>
      </c>
      <c r="E37" s="319" t="s">
        <v>33</v>
      </c>
      <c r="F37" s="321" t="s">
        <v>32</v>
      </c>
      <c r="G37" s="319" t="s">
        <v>33</v>
      </c>
      <c r="H37" s="321" t="s">
        <v>32</v>
      </c>
      <c r="I37" s="319" t="s">
        <v>33</v>
      </c>
      <c r="J37" s="321" t="s">
        <v>32</v>
      </c>
      <c r="K37" s="319" t="s">
        <v>33</v>
      </c>
      <c r="L37" s="66"/>
      <c r="M37" s="66"/>
      <c r="N37" s="66"/>
      <c r="O37" s="66"/>
      <c r="P37" s="218">
        <f t="shared" si="109"/>
        <v>40</v>
      </c>
      <c r="Q37" s="62">
        <f t="shared" si="113"/>
        <v>112</v>
      </c>
      <c r="R37" s="219" t="str">
        <f t="shared" si="110"/>
        <v>Раимова</v>
      </c>
      <c r="S37" s="76" t="s">
        <v>10</v>
      </c>
      <c r="T37" s="77" t="s">
        <v>9</v>
      </c>
      <c r="U37" s="73"/>
      <c r="V37" s="62"/>
      <c r="W37" s="62"/>
      <c r="X37" s="74" t="s">
        <v>38</v>
      </c>
      <c r="Y37" s="7"/>
      <c r="Z37" s="7"/>
      <c r="AA37" s="7"/>
      <c r="AB37" s="13"/>
      <c r="AC37" s="13"/>
      <c r="AD37" s="13"/>
    </row>
    <row r="38" s="21" customFormat="1" ht="14.25">
      <c r="A38" s="203" t="s">
        <v>62</v>
      </c>
      <c r="B38" s="319" t="s">
        <v>32</v>
      </c>
      <c r="C38" s="319" t="s">
        <v>33</v>
      </c>
      <c r="D38" s="319" t="s">
        <v>32</v>
      </c>
      <c r="E38" s="319" t="s">
        <v>33</v>
      </c>
      <c r="F38" s="319" t="s">
        <v>32</v>
      </c>
      <c r="G38" s="319" t="s">
        <v>33</v>
      </c>
      <c r="H38" s="319" t="s">
        <v>32</v>
      </c>
      <c r="I38" s="319" t="s">
        <v>33</v>
      </c>
      <c r="J38" s="319" t="s">
        <v>32</v>
      </c>
      <c r="K38" s="319" t="s">
        <v>33</v>
      </c>
      <c r="L38" s="502"/>
      <c r="M38" s="503"/>
      <c r="N38" s="66"/>
      <c r="O38" s="66"/>
      <c r="P38" s="504">
        <f t="shared" si="109"/>
        <v>40</v>
      </c>
      <c r="Q38" s="62">
        <f t="shared" si="113"/>
        <v>112</v>
      </c>
      <c r="R38" s="113" t="str">
        <f t="shared" si="110"/>
        <v>Войтехович</v>
      </c>
      <c r="S38" s="76" t="s">
        <v>10</v>
      </c>
      <c r="T38" s="77" t="s">
        <v>9</v>
      </c>
      <c r="U38" s="227"/>
      <c r="V38" s="62"/>
      <c r="W38" s="62"/>
      <c r="X38" s="74" t="s">
        <v>34</v>
      </c>
      <c r="Y38" s="7"/>
      <c r="Z38" s="7"/>
      <c r="AA38" s="7"/>
      <c r="AB38" s="13"/>
      <c r="AC38" s="13"/>
      <c r="AD38" s="13"/>
    </row>
    <row r="39" s="21" customFormat="1" ht="14.25">
      <c r="A39" s="203" t="s">
        <v>66</v>
      </c>
      <c r="B39" s="319" t="s">
        <v>32</v>
      </c>
      <c r="C39" s="319" t="s">
        <v>33</v>
      </c>
      <c r="D39" s="319" t="s">
        <v>32</v>
      </c>
      <c r="E39" s="319" t="s">
        <v>33</v>
      </c>
      <c r="F39" s="319" t="s">
        <v>32</v>
      </c>
      <c r="G39" s="319" t="s">
        <v>33</v>
      </c>
      <c r="H39" s="319" t="s">
        <v>32</v>
      </c>
      <c r="I39" s="319" t="s">
        <v>33</v>
      </c>
      <c r="J39" s="319" t="s">
        <v>32</v>
      </c>
      <c r="K39" s="319" t="s">
        <v>33</v>
      </c>
      <c r="L39" s="502"/>
      <c r="M39" s="503"/>
      <c r="N39" s="66"/>
      <c r="O39" s="66"/>
      <c r="P39" s="504">
        <f t="shared" si="109"/>
        <v>40</v>
      </c>
      <c r="Q39" s="62">
        <f t="shared" si="113"/>
        <v>112</v>
      </c>
      <c r="R39" s="113" t="str">
        <f t="shared" si="110"/>
        <v>Карузина</v>
      </c>
      <c r="S39" s="76" t="s">
        <v>58</v>
      </c>
      <c r="T39" s="77" t="s">
        <v>59</v>
      </c>
      <c r="U39" s="227"/>
      <c r="V39" s="62"/>
      <c r="W39" s="62"/>
      <c r="X39" s="74" t="s">
        <v>38</v>
      </c>
      <c r="Y39" s="7"/>
      <c r="Z39" s="7"/>
      <c r="AA39" s="7"/>
      <c r="AB39" s="13"/>
      <c r="AC39" s="13"/>
      <c r="AD39" s="13"/>
    </row>
    <row r="40" s="21" customFormat="1" ht="14.25">
      <c r="A40" s="203" t="s">
        <v>63</v>
      </c>
      <c r="B40" s="319" t="s">
        <v>32</v>
      </c>
      <c r="C40" s="321" t="s">
        <v>33</v>
      </c>
      <c r="D40" s="319" t="s">
        <v>32</v>
      </c>
      <c r="E40" s="321" t="s">
        <v>33</v>
      </c>
      <c r="F40" s="319" t="s">
        <v>32</v>
      </c>
      <c r="G40" s="321" t="s">
        <v>33</v>
      </c>
      <c r="H40" s="319" t="s">
        <v>32</v>
      </c>
      <c r="I40" s="321" t="s">
        <v>33</v>
      </c>
      <c r="J40" s="319" t="s">
        <v>32</v>
      </c>
      <c r="K40" s="321" t="s">
        <v>33</v>
      </c>
      <c r="L40" s="502"/>
      <c r="M40" s="503"/>
      <c r="N40" s="66"/>
      <c r="O40" s="66"/>
      <c r="P40" s="504">
        <f t="shared" si="109"/>
        <v>40</v>
      </c>
      <c r="Q40" s="62">
        <f t="shared" si="113"/>
        <v>112</v>
      </c>
      <c r="R40" s="113" t="str">
        <f t="shared" si="110"/>
        <v>Васильев</v>
      </c>
      <c r="S40" s="76" t="s">
        <v>67</v>
      </c>
      <c r="T40" s="77" t="s">
        <v>68</v>
      </c>
      <c r="U40" s="227"/>
      <c r="V40" s="62"/>
      <c r="W40" s="62"/>
      <c r="X40" s="74" t="s">
        <v>38</v>
      </c>
      <c r="Y40" s="7"/>
      <c r="Z40" s="7"/>
      <c r="AA40" s="7"/>
      <c r="AB40" s="13"/>
      <c r="AC40" s="13"/>
      <c r="AD40" s="13"/>
    </row>
    <row r="41" s="21" customFormat="1" ht="14.25">
      <c r="A41" s="205" t="s">
        <v>43</v>
      </c>
      <c r="B41" s="72"/>
      <c r="C41" s="329">
        <v>11</v>
      </c>
      <c r="D41" s="505"/>
      <c r="E41" s="506"/>
      <c r="F41" s="76"/>
      <c r="G41" s="324">
        <v>11</v>
      </c>
      <c r="H41" s="76"/>
      <c r="I41" s="324">
        <v>11</v>
      </c>
      <c r="J41" s="67"/>
      <c r="K41" s="330"/>
      <c r="L41" s="507"/>
      <c r="M41" s="508"/>
      <c r="N41" s="76"/>
      <c r="O41" s="324">
        <v>11</v>
      </c>
      <c r="P41" s="285">
        <f t="shared" si="109"/>
        <v>44</v>
      </c>
      <c r="Q41" s="62">
        <f t="shared" si="113"/>
        <v>99</v>
      </c>
      <c r="R41" s="461" t="str">
        <f t="shared" si="110"/>
        <v>Дащенко</v>
      </c>
      <c r="S41" s="71" t="s">
        <v>12</v>
      </c>
      <c r="T41" s="72" t="s">
        <v>11</v>
      </c>
      <c r="U41" s="90">
        <f t="shared" si="111"/>
        <v>0</v>
      </c>
      <c r="V41" s="62">
        <v>2</v>
      </c>
      <c r="W41" s="62"/>
      <c r="X41" s="80" t="s">
        <v>44</v>
      </c>
      <c r="Y41" s="7"/>
      <c r="Z41" s="7"/>
      <c r="AA41" s="7"/>
      <c r="AB41" s="13"/>
      <c r="AC41" s="13"/>
      <c r="AD41" s="13"/>
    </row>
    <row r="42" s="21" customFormat="1" ht="14.25">
      <c r="A42" s="205" t="s">
        <v>45</v>
      </c>
      <c r="B42" s="76"/>
      <c r="C42" s="324">
        <v>11</v>
      </c>
      <c r="D42" s="76"/>
      <c r="E42" s="324">
        <v>11</v>
      </c>
      <c r="F42" s="323"/>
      <c r="G42" s="323"/>
      <c r="H42" s="465"/>
      <c r="I42" s="330"/>
      <c r="J42" s="77"/>
      <c r="K42" s="329">
        <v>11</v>
      </c>
      <c r="L42" s="77"/>
      <c r="M42" s="329">
        <v>11</v>
      </c>
      <c r="N42" s="72"/>
      <c r="O42" s="329">
        <v>11</v>
      </c>
      <c r="P42" s="218">
        <f t="shared" si="109"/>
        <v>55</v>
      </c>
      <c r="Q42" s="62">
        <f t="shared" si="113"/>
        <v>99</v>
      </c>
      <c r="R42" s="219" t="str">
        <f t="shared" si="110"/>
        <v>Пузырь</v>
      </c>
      <c r="S42" s="76" t="s">
        <v>10</v>
      </c>
      <c r="T42" s="77" t="s">
        <v>9</v>
      </c>
      <c r="U42" s="73">
        <v>3</v>
      </c>
      <c r="V42" s="62">
        <v>2</v>
      </c>
      <c r="W42" s="62"/>
      <c r="X42" s="74" t="s">
        <v>34</v>
      </c>
      <c r="Y42" s="7"/>
      <c r="Z42" s="7"/>
      <c r="AA42" s="7"/>
      <c r="AB42" s="13"/>
      <c r="AC42" s="13"/>
      <c r="AD42" s="13"/>
    </row>
    <row r="43" s="21" customFormat="1" ht="14.25">
      <c r="A43" s="205" t="s">
        <v>64</v>
      </c>
      <c r="B43" s="67"/>
      <c r="C43" s="330"/>
      <c r="D43" s="67"/>
      <c r="E43" s="330"/>
      <c r="F43" s="77"/>
      <c r="G43" s="329">
        <v>11</v>
      </c>
      <c r="H43" s="77"/>
      <c r="I43" s="329">
        <v>11</v>
      </c>
      <c r="J43" s="77"/>
      <c r="K43" s="329">
        <v>11</v>
      </c>
      <c r="L43" s="67"/>
      <c r="M43" s="330"/>
      <c r="N43" s="67"/>
      <c r="O43" s="330"/>
      <c r="P43" s="218">
        <f t="shared" si="109"/>
        <v>33</v>
      </c>
      <c r="Q43" s="62">
        <f t="shared" si="113"/>
        <v>99</v>
      </c>
      <c r="R43" s="219" t="str">
        <f t="shared" si="110"/>
        <v>Рожнева</v>
      </c>
      <c r="S43" s="71" t="s">
        <v>12</v>
      </c>
      <c r="T43" s="72" t="s">
        <v>11</v>
      </c>
      <c r="U43" s="73">
        <f t="shared" si="111"/>
        <v>0</v>
      </c>
      <c r="V43" s="62">
        <f t="shared" si="112"/>
        <v>0</v>
      </c>
      <c r="W43" s="62"/>
      <c r="X43" s="74" t="s">
        <v>34</v>
      </c>
      <c r="Y43" s="7"/>
      <c r="Z43" s="7"/>
      <c r="AA43" s="7"/>
      <c r="AB43" s="13"/>
      <c r="AC43" s="13"/>
      <c r="AD43" s="13"/>
    </row>
    <row r="44" s="21" customFormat="1" ht="14.25">
      <c r="A44" s="205" t="s">
        <v>47</v>
      </c>
      <c r="B44" s="67"/>
      <c r="C44" s="400"/>
      <c r="D44" s="67"/>
      <c r="E44" s="330"/>
      <c r="F44" s="67"/>
      <c r="G44" s="330"/>
      <c r="H44" s="77"/>
      <c r="I44" s="329">
        <v>11</v>
      </c>
      <c r="J44" s="72"/>
      <c r="K44" s="329">
        <v>11</v>
      </c>
      <c r="L44" s="67"/>
      <c r="M44" s="330"/>
      <c r="N44" s="465"/>
      <c r="O44" s="330"/>
      <c r="P44" s="218">
        <f t="shared" si="109"/>
        <v>22</v>
      </c>
      <c r="Q44" s="62">
        <f t="shared" si="113"/>
        <v>121</v>
      </c>
      <c r="R44" s="219" t="str">
        <f t="shared" si="110"/>
        <v>Торубара</v>
      </c>
      <c r="S44" s="76" t="s">
        <v>10</v>
      </c>
      <c r="T44" s="77" t="s">
        <v>9</v>
      </c>
      <c r="U44" s="73">
        <v>2</v>
      </c>
      <c r="V44" s="62">
        <v>2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s="21" customFormat="1" ht="14.25">
      <c r="A45" s="205" t="s">
        <v>48</v>
      </c>
      <c r="B45" s="76"/>
      <c r="C45" s="324">
        <v>11</v>
      </c>
      <c r="D45" s="323"/>
      <c r="E45" s="323"/>
      <c r="F45" s="77"/>
      <c r="G45" s="329">
        <v>11</v>
      </c>
      <c r="H45" s="72"/>
      <c r="I45" s="329">
        <v>11</v>
      </c>
      <c r="J45" s="67"/>
      <c r="K45" s="330"/>
      <c r="L45" s="323"/>
      <c r="M45" s="323"/>
      <c r="N45" s="173"/>
      <c r="O45" s="324">
        <v>11</v>
      </c>
      <c r="P45" s="218">
        <f t="shared" si="109"/>
        <v>44</v>
      </c>
      <c r="Q45" s="62">
        <f t="shared" si="113"/>
        <v>99</v>
      </c>
      <c r="R45" s="219" t="str">
        <f t="shared" si="110"/>
        <v>Стрыгин</v>
      </c>
      <c r="S45" s="71" t="s">
        <v>8</v>
      </c>
      <c r="T45" s="72" t="s">
        <v>7</v>
      </c>
      <c r="U45" s="73">
        <v>1</v>
      </c>
      <c r="V45" s="62">
        <v>2</v>
      </c>
      <c r="W45" s="62"/>
      <c r="X45" s="74" t="s">
        <v>49</v>
      </c>
      <c r="Y45" s="7"/>
      <c r="Z45" s="7"/>
      <c r="AA45" s="7"/>
      <c r="AB45" s="13"/>
      <c r="AC45" s="13"/>
      <c r="AD45" s="13"/>
    </row>
    <row r="46" s="21" customFormat="1" ht="14.25">
      <c r="A46" s="205" t="s">
        <v>50</v>
      </c>
      <c r="B46" s="323"/>
      <c r="C46" s="323"/>
      <c r="D46" s="76"/>
      <c r="E46" s="324">
        <v>11</v>
      </c>
      <c r="F46" s="76"/>
      <c r="G46" s="324">
        <v>11</v>
      </c>
      <c r="H46" s="76"/>
      <c r="I46" s="324">
        <v>11</v>
      </c>
      <c r="J46" s="67"/>
      <c r="K46" s="330"/>
      <c r="L46" s="72"/>
      <c r="M46" s="329">
        <v>11</v>
      </c>
      <c r="N46" s="465"/>
      <c r="O46" s="330"/>
      <c r="P46" s="218">
        <f t="shared" si="109"/>
        <v>44</v>
      </c>
      <c r="Q46" s="62">
        <f t="shared" si="113"/>
        <v>99</v>
      </c>
      <c r="R46" s="219" t="str">
        <f t="shared" si="110"/>
        <v>Фрик</v>
      </c>
      <c r="S46" s="71" t="s">
        <v>12</v>
      </c>
      <c r="T46" s="72" t="s">
        <v>11</v>
      </c>
      <c r="U46" s="73">
        <v>2</v>
      </c>
      <c r="V46" s="62">
        <v>2</v>
      </c>
      <c r="W46" s="62"/>
      <c r="X46" s="74" t="s">
        <v>44</v>
      </c>
      <c r="Y46" s="7"/>
      <c r="Z46" s="7"/>
      <c r="AA46" s="7"/>
      <c r="AB46" s="13"/>
      <c r="AC46" s="13"/>
      <c r="AD46" s="13"/>
    </row>
    <row r="47" s="21" customFormat="1" ht="14.25">
      <c r="A47" s="206" t="s">
        <v>51</v>
      </c>
      <c r="B47" s="72"/>
      <c r="C47" s="469">
        <v>11</v>
      </c>
      <c r="D47" s="72"/>
      <c r="E47" s="329">
        <v>11</v>
      </c>
      <c r="F47" s="323"/>
      <c r="G47" s="323"/>
      <c r="H47" s="67"/>
      <c r="I47" s="330"/>
      <c r="J47" s="76"/>
      <c r="K47" s="324">
        <v>11</v>
      </c>
      <c r="L47" s="76"/>
      <c r="M47" s="324">
        <v>11</v>
      </c>
      <c r="N47" s="465"/>
      <c r="O47" s="330"/>
      <c r="P47" s="218">
        <f t="shared" si="109"/>
        <v>44</v>
      </c>
      <c r="Q47" s="62">
        <f t="shared" si="113"/>
        <v>99</v>
      </c>
      <c r="R47" s="219" t="str">
        <f t="shared" si="110"/>
        <v>Истрашкин</v>
      </c>
      <c r="S47" s="71" t="s">
        <v>10</v>
      </c>
      <c r="T47" s="72" t="s">
        <v>9</v>
      </c>
      <c r="U47" s="73">
        <v>2</v>
      </c>
      <c r="V47" s="62">
        <v>1</v>
      </c>
      <c r="W47" s="62"/>
      <c r="X47" s="74" t="s">
        <v>34</v>
      </c>
      <c r="Y47" s="7"/>
      <c r="Z47" s="7"/>
      <c r="AA47" s="7"/>
      <c r="AB47" s="13"/>
      <c r="AC47" s="13"/>
      <c r="AD47" s="13"/>
    </row>
    <row r="48" ht="14.25">
      <c r="A48" s="245"/>
      <c r="B48" s="499">
        <v>46118</v>
      </c>
      <c r="C48" s="499"/>
      <c r="D48" s="499">
        <v>46119</v>
      </c>
      <c r="E48" s="499"/>
      <c r="F48" s="499">
        <v>46120</v>
      </c>
      <c r="G48" s="499"/>
      <c r="H48" s="499">
        <v>46121</v>
      </c>
      <c r="I48" s="499"/>
      <c r="J48" s="499">
        <v>46122</v>
      </c>
      <c r="K48" s="499"/>
      <c r="L48" s="499">
        <v>46123</v>
      </c>
      <c r="M48" s="499"/>
      <c r="N48" s="499">
        <v>46124</v>
      </c>
      <c r="O48" s="157"/>
      <c r="P48" s="246"/>
      <c r="Q48" s="247"/>
      <c r="R48" s="245"/>
      <c r="S48" s="178"/>
      <c r="T48" s="178"/>
      <c r="U48" s="100"/>
      <c r="V48" s="100"/>
      <c r="W48" s="100"/>
      <c r="X48" s="7"/>
      <c r="Y48" s="7"/>
      <c r="Z48" s="7"/>
      <c r="AA48" s="7"/>
      <c r="AB48" s="13"/>
      <c r="AC48" s="13"/>
      <c r="AD48" s="13"/>
    </row>
    <row r="49" ht="14.25">
      <c r="A49" s="162"/>
      <c r="B49" s="163"/>
      <c r="C49" s="163"/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4"/>
      <c r="R49" s="165"/>
      <c r="S49" s="165"/>
      <c r="T49" s="165"/>
      <c r="U49" s="100"/>
      <c r="V49" s="100"/>
      <c r="W49" s="100"/>
      <c r="X49" s="51"/>
      <c r="Y49" s="7"/>
      <c r="Z49" s="7"/>
      <c r="AA49" s="7"/>
      <c r="AB49" s="13"/>
      <c r="AC49" s="13"/>
      <c r="AD49" s="13"/>
    </row>
    <row r="50" ht="14.25">
      <c r="A50" s="143"/>
      <c r="B50" s="43" t="s">
        <v>17</v>
      </c>
      <c r="C50" s="142"/>
      <c r="D50" s="43" t="s">
        <v>18</v>
      </c>
      <c r="E50" s="142"/>
      <c r="F50" s="43" t="s">
        <v>19</v>
      </c>
      <c r="G50" s="43"/>
      <c r="H50" s="43" t="s">
        <v>20</v>
      </c>
      <c r="I50" s="142"/>
      <c r="J50" s="43" t="s">
        <v>21</v>
      </c>
      <c r="K50" s="43"/>
      <c r="L50" s="43" t="s">
        <v>22</v>
      </c>
      <c r="M50" s="43"/>
      <c r="N50" s="43" t="s">
        <v>23</v>
      </c>
      <c r="O50" s="214"/>
      <c r="P50" s="208" t="s">
        <v>24</v>
      </c>
      <c r="Q50" s="209"/>
      <c r="R50" s="143"/>
      <c r="S50" s="143"/>
      <c r="T50" s="143"/>
      <c r="U50" s="62"/>
      <c r="V50" s="62"/>
      <c r="W50" s="62"/>
      <c r="X50" s="63"/>
      <c r="Y50" s="7"/>
      <c r="Z50" s="7"/>
      <c r="AA50" s="7"/>
      <c r="AB50" s="13"/>
      <c r="AC50" s="13"/>
      <c r="AD50" s="13"/>
    </row>
    <row r="51" ht="14.25">
      <c r="A51" s="143"/>
      <c r="B51" s="210">
        <v>46125</v>
      </c>
      <c r="C51" s="210"/>
      <c r="D51" s="210">
        <v>46126</v>
      </c>
      <c r="E51" s="210"/>
      <c r="F51" s="210">
        <v>46127</v>
      </c>
      <c r="G51" s="210"/>
      <c r="H51" s="210">
        <v>46128</v>
      </c>
      <c r="I51" s="210"/>
      <c r="J51" s="210">
        <v>46129</v>
      </c>
      <c r="K51" s="210"/>
      <c r="L51" s="210">
        <v>46130</v>
      </c>
      <c r="M51" s="210"/>
      <c r="N51" s="210">
        <v>46131</v>
      </c>
      <c r="O51" s="459"/>
      <c r="P51" s="213" t="s">
        <v>25</v>
      </c>
      <c r="Q51" s="214" t="s">
        <v>26</v>
      </c>
      <c r="R51" s="249"/>
      <c r="S51" s="147"/>
      <c r="T51" s="147"/>
      <c r="U51" s="60" t="s">
        <v>27</v>
      </c>
      <c r="V51" s="61" t="s">
        <v>28</v>
      </c>
      <c r="W51" s="62" t="s">
        <v>29</v>
      </c>
      <c r="X51" s="63" t="s">
        <v>30</v>
      </c>
      <c r="Y51" s="7"/>
      <c r="Z51" s="7"/>
      <c r="AA51" s="7"/>
      <c r="AB51" s="13"/>
      <c r="AC51" s="13"/>
      <c r="AD51" s="13"/>
    </row>
    <row r="52" s="21" customFormat="1" ht="14.25">
      <c r="A52" s="203" t="s">
        <v>35</v>
      </c>
      <c r="B52" s="148"/>
      <c r="C52" s="148" t="s">
        <v>33</v>
      </c>
      <c r="D52" s="148"/>
      <c r="E52" s="148" t="s">
        <v>33</v>
      </c>
      <c r="F52" s="148"/>
      <c r="G52" s="148" t="s">
        <v>33</v>
      </c>
      <c r="H52" s="319" t="s">
        <v>32</v>
      </c>
      <c r="I52" s="319" t="s">
        <v>33</v>
      </c>
      <c r="J52" s="319" t="s">
        <v>32</v>
      </c>
      <c r="K52" s="319" t="s">
        <v>33</v>
      </c>
      <c r="L52" s="66"/>
      <c r="M52" s="66"/>
      <c r="N52" s="66"/>
      <c r="O52" s="66"/>
      <c r="P52" s="218">
        <f t="shared" si="109"/>
        <v>40</v>
      </c>
      <c r="Q52" s="62">
        <f t="shared" si="113"/>
        <v>72</v>
      </c>
      <c r="R52" s="219" t="str">
        <f t="shared" si="110"/>
        <v>Рычков</v>
      </c>
      <c r="S52" s="76" t="s">
        <v>10</v>
      </c>
      <c r="T52" s="77" t="s">
        <v>9</v>
      </c>
      <c r="U52" s="73">
        <f t="shared" si="111"/>
        <v>0</v>
      </c>
      <c r="V52" s="62">
        <f t="shared" si="112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s="21" customFormat="1" ht="14.4" hidden="1">
      <c r="A53" s="203" t="s">
        <v>66</v>
      </c>
      <c r="B53" s="319" t="s">
        <v>32</v>
      </c>
      <c r="C53" s="319" t="s">
        <v>33</v>
      </c>
      <c r="D53" s="319" t="s">
        <v>32</v>
      </c>
      <c r="E53" s="319" t="s">
        <v>33</v>
      </c>
      <c r="F53" s="319" t="s">
        <v>32</v>
      </c>
      <c r="G53" s="319" t="s">
        <v>33</v>
      </c>
      <c r="H53" s="319" t="s">
        <v>32</v>
      </c>
      <c r="I53" s="319" t="s">
        <v>33</v>
      </c>
      <c r="J53" s="319" t="s">
        <v>32</v>
      </c>
      <c r="K53" s="319" t="s">
        <v>33</v>
      </c>
      <c r="L53" s="66"/>
      <c r="M53" s="66"/>
      <c r="N53" s="67"/>
      <c r="O53" s="67"/>
      <c r="P53" s="218">
        <f t="shared" si="109"/>
        <v>40</v>
      </c>
      <c r="Q53" s="62">
        <f t="shared" si="113"/>
        <v>72</v>
      </c>
      <c r="R53" s="219" t="str">
        <f t="shared" si="110"/>
        <v>Карузина</v>
      </c>
      <c r="S53" s="76" t="s">
        <v>10</v>
      </c>
      <c r="T53" s="77" t="s">
        <v>9</v>
      </c>
      <c r="U53" s="73">
        <f t="shared" si="111"/>
        <v>0</v>
      </c>
      <c r="V53" s="62">
        <f t="shared" si="112"/>
        <v>0</v>
      </c>
      <c r="W53" s="62"/>
      <c r="X53" s="79" t="s">
        <v>49</v>
      </c>
      <c r="Y53" s="7"/>
      <c r="Z53" s="7"/>
      <c r="AA53" s="7"/>
      <c r="AB53" s="13"/>
      <c r="AC53" s="13"/>
      <c r="AD53" s="13"/>
    </row>
    <row r="54" s="21" customFormat="1" ht="14.25">
      <c r="A54" s="203" t="s">
        <v>39</v>
      </c>
      <c r="B54" s="319" t="s">
        <v>32</v>
      </c>
      <c r="C54" s="319" t="s">
        <v>33</v>
      </c>
      <c r="D54" s="319" t="s">
        <v>32</v>
      </c>
      <c r="E54" s="319" t="s">
        <v>33</v>
      </c>
      <c r="F54" s="319" t="s">
        <v>32</v>
      </c>
      <c r="G54" s="319" t="s">
        <v>33</v>
      </c>
      <c r="H54" s="319" t="s">
        <v>32</v>
      </c>
      <c r="I54" s="319" t="s">
        <v>33</v>
      </c>
      <c r="J54" s="319" t="s">
        <v>32</v>
      </c>
      <c r="K54" s="319" t="s">
        <v>33</v>
      </c>
      <c r="L54" s="66"/>
      <c r="M54" s="66"/>
      <c r="N54" s="66"/>
      <c r="O54" s="66"/>
      <c r="P54" s="218">
        <f t="shared" si="109"/>
        <v>40</v>
      </c>
      <c r="Q54" s="62">
        <f t="shared" si="113"/>
        <v>72</v>
      </c>
      <c r="R54" s="219" t="str">
        <f t="shared" si="110"/>
        <v>Игумнов</v>
      </c>
      <c r="S54" s="76" t="s">
        <v>10</v>
      </c>
      <c r="T54" s="77" t="s">
        <v>9</v>
      </c>
      <c r="U54" s="73">
        <f t="shared" si="111"/>
        <v>0</v>
      </c>
      <c r="V54" s="62">
        <f t="shared" si="112"/>
        <v>0</v>
      </c>
      <c r="W54" s="62"/>
      <c r="X54" s="79" t="s">
        <v>34</v>
      </c>
      <c r="Y54" s="7"/>
      <c r="Z54" s="7"/>
      <c r="AA54" s="7"/>
      <c r="AB54" s="13"/>
      <c r="AC54" s="13"/>
      <c r="AD54" s="13"/>
    </row>
    <row r="55" s="21" customFormat="1" ht="14.25">
      <c r="A55" s="203" t="s">
        <v>40</v>
      </c>
      <c r="B55" s="319" t="s">
        <v>32</v>
      </c>
      <c r="C55" s="319" t="s">
        <v>33</v>
      </c>
      <c r="D55" s="319" t="s">
        <v>32</v>
      </c>
      <c r="E55" s="319" t="s">
        <v>33</v>
      </c>
      <c r="F55" s="319" t="s">
        <v>32</v>
      </c>
      <c r="G55" s="319" t="s">
        <v>33</v>
      </c>
      <c r="H55" s="319" t="s">
        <v>32</v>
      </c>
      <c r="I55" s="319" t="s">
        <v>33</v>
      </c>
      <c r="J55" s="319" t="s">
        <v>32</v>
      </c>
      <c r="K55" s="319" t="s">
        <v>33</v>
      </c>
      <c r="L55" s="66"/>
      <c r="M55" s="66"/>
      <c r="N55" s="66"/>
      <c r="O55" s="66"/>
      <c r="P55" s="218">
        <f t="shared" si="109"/>
        <v>40</v>
      </c>
      <c r="Q55" s="62">
        <f t="shared" si="113"/>
        <v>72</v>
      </c>
      <c r="R55" s="219" t="str">
        <f t="shared" si="110"/>
        <v>Душин</v>
      </c>
      <c r="S55" s="76" t="s">
        <v>10</v>
      </c>
      <c r="T55" s="77" t="s">
        <v>9</v>
      </c>
      <c r="U55" s="73">
        <f t="shared" si="111"/>
        <v>0</v>
      </c>
      <c r="V55" s="62">
        <f t="shared" si="112"/>
        <v>0</v>
      </c>
      <c r="W55" s="62"/>
      <c r="X55" s="74" t="s">
        <v>38</v>
      </c>
      <c r="Y55" s="7"/>
      <c r="Z55" s="7"/>
      <c r="AA55" s="7"/>
      <c r="AB55" s="13"/>
      <c r="AC55" s="13"/>
      <c r="AD55" s="13"/>
    </row>
    <row r="56" s="21" customFormat="1" ht="14.25">
      <c r="A56" s="203" t="s">
        <v>31</v>
      </c>
      <c r="B56" s="319" t="s">
        <v>32</v>
      </c>
      <c r="C56" s="319" t="s">
        <v>33</v>
      </c>
      <c r="D56" s="319" t="s">
        <v>32</v>
      </c>
      <c r="E56" s="319" t="s">
        <v>33</v>
      </c>
      <c r="F56" s="319" t="s">
        <v>32</v>
      </c>
      <c r="G56" s="319" t="s">
        <v>33</v>
      </c>
      <c r="H56" s="319" t="s">
        <v>32</v>
      </c>
      <c r="I56" s="319" t="s">
        <v>33</v>
      </c>
      <c r="J56" s="319" t="s">
        <v>32</v>
      </c>
      <c r="K56" s="319" t="s">
        <v>33</v>
      </c>
      <c r="L56" s="66"/>
      <c r="M56" s="66"/>
      <c r="N56" s="66"/>
      <c r="O56" s="66"/>
      <c r="P56" s="218">
        <f t="shared" si="109"/>
        <v>40</v>
      </c>
      <c r="Q56" s="62">
        <f t="shared" si="113"/>
        <v>72</v>
      </c>
      <c r="R56" s="219" t="str">
        <f t="shared" si="110"/>
        <v>Нетронин</v>
      </c>
      <c r="S56" s="76" t="s">
        <v>58</v>
      </c>
      <c r="T56" s="77" t="s">
        <v>59</v>
      </c>
      <c r="U56" s="73"/>
      <c r="V56" s="62"/>
      <c r="W56" s="62"/>
      <c r="X56" s="74" t="s">
        <v>34</v>
      </c>
      <c r="Y56" s="7"/>
      <c r="Z56" s="7"/>
      <c r="AA56" s="7"/>
      <c r="AB56" s="13"/>
      <c r="AC56" s="13"/>
      <c r="AD56" s="13"/>
    </row>
    <row r="57" s="21" customFormat="1" ht="14.25">
      <c r="A57" s="203" t="s">
        <v>61</v>
      </c>
      <c r="B57" s="319" t="s">
        <v>32</v>
      </c>
      <c r="C57" s="319" t="s">
        <v>33</v>
      </c>
      <c r="D57" s="319" t="s">
        <v>32</v>
      </c>
      <c r="E57" s="319" t="s">
        <v>33</v>
      </c>
      <c r="F57" s="319" t="s">
        <v>32</v>
      </c>
      <c r="G57" s="319" t="s">
        <v>33</v>
      </c>
      <c r="H57" s="446" t="s">
        <v>32</v>
      </c>
      <c r="I57" s="446" t="s">
        <v>33</v>
      </c>
      <c r="J57" s="446" t="s">
        <v>32</v>
      </c>
      <c r="K57" s="446" t="s">
        <v>33</v>
      </c>
      <c r="L57" s="509"/>
      <c r="M57" s="509"/>
      <c r="N57" s="509"/>
      <c r="O57" s="509"/>
      <c r="P57" s="218">
        <f t="shared" si="109"/>
        <v>40</v>
      </c>
      <c r="Q57" s="62">
        <f t="shared" si="113"/>
        <v>72</v>
      </c>
      <c r="R57" s="219" t="str">
        <f t="shared" si="110"/>
        <v>Раимова</v>
      </c>
      <c r="S57" s="76" t="s">
        <v>10</v>
      </c>
      <c r="T57" s="77" t="s">
        <v>9</v>
      </c>
      <c r="U57" s="73"/>
      <c r="V57" s="62"/>
      <c r="W57" s="62"/>
      <c r="X57" s="74" t="s">
        <v>38</v>
      </c>
      <c r="Y57" s="7"/>
      <c r="Z57" s="7"/>
      <c r="AA57" s="7"/>
      <c r="AB57" s="13"/>
      <c r="AC57" s="13"/>
      <c r="AD57" s="13"/>
    </row>
    <row r="58" s="21" customFormat="1" ht="14.25">
      <c r="A58" s="203" t="s">
        <v>62</v>
      </c>
      <c r="B58" s="319" t="s">
        <v>32</v>
      </c>
      <c r="C58" s="321" t="s">
        <v>33</v>
      </c>
      <c r="D58" s="319" t="s">
        <v>32</v>
      </c>
      <c r="E58" s="321" t="s">
        <v>33</v>
      </c>
      <c r="F58" s="319" t="s">
        <v>32</v>
      </c>
      <c r="G58" s="319" t="s">
        <v>33</v>
      </c>
      <c r="H58" s="319" t="s">
        <v>32</v>
      </c>
      <c r="I58" s="319" t="s">
        <v>33</v>
      </c>
      <c r="J58" s="319" t="s">
        <v>32</v>
      </c>
      <c r="K58" s="319" t="s">
        <v>33</v>
      </c>
      <c r="L58" s="273"/>
      <c r="M58" s="273"/>
      <c r="N58" s="273"/>
      <c r="O58" s="273"/>
      <c r="P58" s="218">
        <f t="shared" si="109"/>
        <v>40</v>
      </c>
      <c r="Q58" s="62">
        <f t="shared" si="113"/>
        <v>72</v>
      </c>
      <c r="R58" s="113" t="str">
        <f t="shared" si="110"/>
        <v>Войтехович</v>
      </c>
      <c r="S58" s="76" t="s">
        <v>10</v>
      </c>
      <c r="T58" s="77" t="s">
        <v>9</v>
      </c>
      <c r="U58" s="227"/>
      <c r="V58" s="62"/>
      <c r="W58" s="62"/>
      <c r="X58" s="74" t="s">
        <v>34</v>
      </c>
      <c r="Y58" s="7"/>
      <c r="Z58" s="7"/>
      <c r="AA58" s="7"/>
      <c r="AB58" s="13"/>
      <c r="AC58" s="13"/>
      <c r="AD58" s="13"/>
    </row>
    <row r="59" s="21" customFormat="1" ht="14.25">
      <c r="A59" s="203" t="s">
        <v>66</v>
      </c>
      <c r="B59" s="319" t="s">
        <v>32</v>
      </c>
      <c r="C59" s="319" t="s">
        <v>33</v>
      </c>
      <c r="D59" s="319" t="s">
        <v>32</v>
      </c>
      <c r="E59" s="319" t="s">
        <v>33</v>
      </c>
      <c r="F59" s="319" t="s">
        <v>32</v>
      </c>
      <c r="G59" s="319" t="s">
        <v>33</v>
      </c>
      <c r="H59" s="319" t="s">
        <v>32</v>
      </c>
      <c r="I59" s="319" t="s">
        <v>33</v>
      </c>
      <c r="J59" s="319" t="s">
        <v>32</v>
      </c>
      <c r="K59" s="319" t="s">
        <v>33</v>
      </c>
      <c r="L59" s="273"/>
      <c r="M59" s="273"/>
      <c r="N59" s="273"/>
      <c r="O59" s="273"/>
      <c r="P59" s="218">
        <f t="shared" si="109"/>
        <v>40</v>
      </c>
      <c r="Q59" s="62">
        <f t="shared" si="113"/>
        <v>72</v>
      </c>
      <c r="R59" s="113" t="str">
        <f t="shared" si="110"/>
        <v>Карузина</v>
      </c>
      <c r="S59" s="76" t="s">
        <v>58</v>
      </c>
      <c r="T59" s="77" t="s">
        <v>59</v>
      </c>
      <c r="U59" s="227"/>
      <c r="V59" s="62"/>
      <c r="W59" s="62"/>
      <c r="X59" s="74" t="s">
        <v>38</v>
      </c>
      <c r="Y59" s="7"/>
      <c r="Z59" s="7"/>
      <c r="AA59" s="7"/>
      <c r="AB59" s="13"/>
      <c r="AC59" s="13"/>
      <c r="AD59" s="13"/>
    </row>
    <row r="60" s="21" customFormat="1" ht="14.25">
      <c r="A60" s="203" t="s">
        <v>63</v>
      </c>
      <c r="B60" s="319" t="s">
        <v>32</v>
      </c>
      <c r="C60" s="319" t="s">
        <v>33</v>
      </c>
      <c r="D60" s="319" t="s">
        <v>32</v>
      </c>
      <c r="E60" s="319" t="s">
        <v>33</v>
      </c>
      <c r="F60" s="319" t="s">
        <v>32</v>
      </c>
      <c r="G60" s="321" t="s">
        <v>33</v>
      </c>
      <c r="H60" s="319" t="s">
        <v>32</v>
      </c>
      <c r="I60" s="319" t="s">
        <v>33</v>
      </c>
      <c r="J60" s="319" t="s">
        <v>32</v>
      </c>
      <c r="K60" s="319" t="s">
        <v>33</v>
      </c>
      <c r="L60" s="273"/>
      <c r="M60" s="273"/>
      <c r="N60" s="273"/>
      <c r="O60" s="273"/>
      <c r="P60" s="218">
        <f t="shared" si="109"/>
        <v>40</v>
      </c>
      <c r="Q60" s="62">
        <f t="shared" si="113"/>
        <v>72</v>
      </c>
      <c r="R60" s="113" t="str">
        <f t="shared" si="110"/>
        <v>Васильев</v>
      </c>
      <c r="S60" s="76" t="s">
        <v>67</v>
      </c>
      <c r="T60" s="77" t="s">
        <v>68</v>
      </c>
      <c r="U60" s="227"/>
      <c r="V60" s="62"/>
      <c r="W60" s="62"/>
      <c r="X60" s="74" t="s">
        <v>38</v>
      </c>
      <c r="Y60" s="7"/>
      <c r="Z60" s="7"/>
      <c r="AA60" s="7"/>
      <c r="AB60" s="13"/>
      <c r="AC60" s="13"/>
      <c r="AD60" s="13"/>
    </row>
    <row r="61" s="21" customFormat="1" ht="14.25">
      <c r="A61" s="205" t="s">
        <v>43</v>
      </c>
      <c r="B61" s="67"/>
      <c r="C61" s="330"/>
      <c r="D61" s="261"/>
      <c r="E61" s="330"/>
      <c r="F61" s="251" t="s">
        <v>71</v>
      </c>
      <c r="G61" s="329">
        <v>8</v>
      </c>
      <c r="H61" s="510"/>
      <c r="I61" s="511" t="s">
        <v>33</v>
      </c>
      <c r="J61" s="511"/>
      <c r="K61" s="511" t="s">
        <v>33</v>
      </c>
      <c r="L61" s="512"/>
      <c r="M61" s="512"/>
      <c r="N61" s="512"/>
      <c r="O61" s="512"/>
      <c r="P61" s="253">
        <f t="shared" si="109"/>
        <v>24</v>
      </c>
      <c r="Q61" s="62">
        <f t="shared" si="113"/>
        <v>75</v>
      </c>
      <c r="R61" s="461" t="str">
        <f t="shared" si="110"/>
        <v>Дащенко</v>
      </c>
      <c r="S61" s="71" t="s">
        <v>12</v>
      </c>
      <c r="T61" s="72" t="s">
        <v>11</v>
      </c>
      <c r="U61" s="90">
        <v>3</v>
      </c>
      <c r="V61" s="62">
        <f t="shared" si="112"/>
        <v>0</v>
      </c>
      <c r="W61" s="62"/>
      <c r="X61" s="80" t="s">
        <v>44</v>
      </c>
      <c r="Y61" s="7"/>
      <c r="Z61" s="7"/>
      <c r="AA61" s="7"/>
      <c r="AB61" s="13"/>
      <c r="AC61" s="13"/>
      <c r="AD61" s="13"/>
    </row>
    <row r="62" s="21" customFormat="1" ht="14.25">
      <c r="A62" s="205" t="s">
        <v>45</v>
      </c>
      <c r="B62" s="108"/>
      <c r="C62" s="108" t="s">
        <v>33</v>
      </c>
      <c r="D62" s="108"/>
      <c r="E62" s="108" t="s">
        <v>33</v>
      </c>
      <c r="F62" s="108"/>
      <c r="G62" s="108" t="s">
        <v>33</v>
      </c>
      <c r="H62" s="108"/>
      <c r="I62" s="108" t="s">
        <v>33</v>
      </c>
      <c r="J62" s="109"/>
      <c r="K62" s="109" t="s">
        <v>33</v>
      </c>
      <c r="L62" s="108"/>
      <c r="M62" s="108"/>
      <c r="N62" s="108"/>
      <c r="O62" s="108"/>
      <c r="P62" s="218">
        <f t="shared" si="109"/>
        <v>40</v>
      </c>
      <c r="Q62" s="62">
        <f t="shared" si="113"/>
        <v>59</v>
      </c>
      <c r="R62" s="219" t="str">
        <f t="shared" si="110"/>
        <v>Пузырь</v>
      </c>
      <c r="S62" s="76" t="s">
        <v>10</v>
      </c>
      <c r="T62" s="77" t="s">
        <v>9</v>
      </c>
      <c r="U62" s="73">
        <f t="shared" si="111"/>
        <v>0</v>
      </c>
      <c r="V62" s="62">
        <f t="shared" si="112"/>
        <v>0</v>
      </c>
      <c r="W62" s="62"/>
      <c r="X62" s="74" t="s">
        <v>34</v>
      </c>
      <c r="Y62" s="7"/>
      <c r="Z62" s="7"/>
      <c r="AA62" s="7"/>
      <c r="AB62" s="13"/>
      <c r="AC62" s="13"/>
      <c r="AD62" s="13"/>
    </row>
    <row r="63" s="21" customFormat="1" ht="14.25">
      <c r="A63" s="205" t="s">
        <v>64</v>
      </c>
      <c r="B63" s="77"/>
      <c r="C63" s="329">
        <v>11</v>
      </c>
      <c r="D63" s="77"/>
      <c r="E63" s="329">
        <v>11</v>
      </c>
      <c r="F63" s="67"/>
      <c r="G63" s="330"/>
      <c r="H63" s="67"/>
      <c r="I63" s="330"/>
      <c r="J63" s="76"/>
      <c r="K63" s="324">
        <v>11</v>
      </c>
      <c r="L63" s="76"/>
      <c r="M63" s="324">
        <v>11</v>
      </c>
      <c r="N63" s="173"/>
      <c r="O63" s="324">
        <v>11</v>
      </c>
      <c r="P63" s="218">
        <f t="shared" si="109"/>
        <v>55</v>
      </c>
      <c r="Q63" s="62">
        <f t="shared" si="113"/>
        <v>44</v>
      </c>
      <c r="R63" s="219" t="str">
        <f t="shared" si="110"/>
        <v>Рожнева</v>
      </c>
      <c r="S63" s="71" t="s">
        <v>12</v>
      </c>
      <c r="T63" s="72" t="s">
        <v>11</v>
      </c>
      <c r="U63" s="73">
        <v>3</v>
      </c>
      <c r="V63" s="62">
        <v>2</v>
      </c>
      <c r="W63" s="62"/>
      <c r="X63" s="74" t="s">
        <v>34</v>
      </c>
      <c r="Y63" s="7"/>
      <c r="Z63" s="7"/>
      <c r="AA63" s="7"/>
      <c r="AB63" s="13"/>
      <c r="AC63" s="13"/>
      <c r="AD63" s="13"/>
    </row>
    <row r="64" s="21" customFormat="1" ht="14.25">
      <c r="A64" s="205" t="s">
        <v>47</v>
      </c>
      <c r="B64" s="67"/>
      <c r="C64" s="400"/>
      <c r="D64" s="76"/>
      <c r="E64" s="324">
        <v>11</v>
      </c>
      <c r="F64" s="76"/>
      <c r="G64" s="324">
        <v>11</v>
      </c>
      <c r="H64" s="67"/>
      <c r="I64" s="330"/>
      <c r="J64" s="67"/>
      <c r="K64" s="330"/>
      <c r="L64" s="76"/>
      <c r="M64" s="324">
        <v>11</v>
      </c>
      <c r="N64" s="76"/>
      <c r="O64" s="324">
        <v>11</v>
      </c>
      <c r="P64" s="218">
        <f t="shared" si="109"/>
        <v>44</v>
      </c>
      <c r="Q64" s="62">
        <f t="shared" si="113"/>
        <v>77</v>
      </c>
      <c r="R64" s="219" t="str">
        <f t="shared" si="110"/>
        <v>Торубара</v>
      </c>
      <c r="S64" s="76" t="s">
        <v>10</v>
      </c>
      <c r="T64" s="77" t="s">
        <v>9</v>
      </c>
      <c r="U64" s="73">
        <v>1</v>
      </c>
      <c r="V64" s="62">
        <v>2</v>
      </c>
      <c r="W64" s="62"/>
      <c r="X64" s="74" t="s">
        <v>34</v>
      </c>
      <c r="Y64" s="7"/>
      <c r="Z64" s="7"/>
      <c r="AA64" s="7"/>
      <c r="AB64" s="13"/>
      <c r="AC64" s="13"/>
      <c r="AD64" s="13"/>
    </row>
    <row r="65" s="21" customFormat="1" ht="14.25">
      <c r="A65" s="205" t="s">
        <v>48</v>
      </c>
      <c r="B65" s="76"/>
      <c r="C65" s="324">
        <v>11</v>
      </c>
      <c r="D65" s="465"/>
      <c r="E65" s="330"/>
      <c r="F65" s="66"/>
      <c r="G65" s="66"/>
      <c r="H65" s="76"/>
      <c r="I65" s="324">
        <v>11</v>
      </c>
      <c r="J65" s="76"/>
      <c r="K65" s="324">
        <v>11</v>
      </c>
      <c r="L65" s="67"/>
      <c r="M65" s="330"/>
      <c r="N65" s="66"/>
      <c r="O65" s="66"/>
      <c r="P65" s="218">
        <f t="shared" si="109"/>
        <v>33</v>
      </c>
      <c r="Q65" s="62">
        <f t="shared" si="113"/>
        <v>66</v>
      </c>
      <c r="R65" s="219" t="str">
        <f t="shared" si="110"/>
        <v>Стрыгин</v>
      </c>
      <c r="S65" s="71" t="s">
        <v>8</v>
      </c>
      <c r="T65" s="72" t="s">
        <v>7</v>
      </c>
      <c r="U65" s="73">
        <v>2</v>
      </c>
      <c r="V65" s="62">
        <v>2</v>
      </c>
      <c r="W65" s="62"/>
      <c r="X65" s="74" t="s">
        <v>49</v>
      </c>
      <c r="Y65" s="7"/>
      <c r="Z65" s="7"/>
      <c r="AA65" s="7"/>
      <c r="AB65" s="13"/>
      <c r="AC65" s="13"/>
      <c r="AD65" s="13"/>
    </row>
    <row r="66" s="21" customFormat="1" ht="14.25">
      <c r="A66" s="205" t="s">
        <v>50</v>
      </c>
      <c r="B66" s="76"/>
      <c r="C66" s="324">
        <v>11</v>
      </c>
      <c r="D66" s="76"/>
      <c r="E66" s="324">
        <v>11</v>
      </c>
      <c r="F66" s="67"/>
      <c r="G66" s="330"/>
      <c r="H66" s="465"/>
      <c r="I66" s="330"/>
      <c r="J66" s="77"/>
      <c r="K66" s="329">
        <v>11</v>
      </c>
      <c r="L66" s="77"/>
      <c r="M66" s="329">
        <v>11</v>
      </c>
      <c r="N66" s="67"/>
      <c r="O66" s="330"/>
      <c r="P66" s="218">
        <f t="shared" si="109"/>
        <v>44</v>
      </c>
      <c r="Q66" s="62">
        <f t="shared" si="113"/>
        <v>55</v>
      </c>
      <c r="R66" s="219" t="str">
        <f t="shared" si="110"/>
        <v>Фрик</v>
      </c>
      <c r="S66" s="71" t="s">
        <v>12</v>
      </c>
      <c r="T66" s="72" t="s">
        <v>11</v>
      </c>
      <c r="U66" s="73">
        <v>2</v>
      </c>
      <c r="V66" s="62">
        <v>1</v>
      </c>
      <c r="W66" s="62"/>
      <c r="X66" s="74" t="s">
        <v>44</v>
      </c>
      <c r="Y66" s="7"/>
      <c r="Z66" s="7"/>
      <c r="AA66" s="7"/>
      <c r="AB66" s="13"/>
      <c r="AC66" s="13"/>
      <c r="AD66" s="13"/>
    </row>
    <row r="67" s="21" customFormat="1" ht="14.25">
      <c r="A67" s="206" t="s">
        <v>51</v>
      </c>
      <c r="B67" s="67"/>
      <c r="C67" s="400"/>
      <c r="D67" s="77"/>
      <c r="E67" s="329">
        <v>11</v>
      </c>
      <c r="F67" s="72"/>
      <c r="G67" s="329">
        <v>11</v>
      </c>
      <c r="H67" s="77"/>
      <c r="I67" s="329">
        <v>11</v>
      </c>
      <c r="J67" s="465"/>
      <c r="K67" s="330"/>
      <c r="L67" s="67"/>
      <c r="M67" s="330"/>
      <c r="N67" s="72"/>
      <c r="O67" s="329">
        <v>11</v>
      </c>
      <c r="P67" s="218">
        <f t="shared" si="109"/>
        <v>44</v>
      </c>
      <c r="Q67" s="62">
        <f t="shared" si="113"/>
        <v>55</v>
      </c>
      <c r="R67" s="219" t="str">
        <f t="shared" si="110"/>
        <v>Истрашкин</v>
      </c>
      <c r="S67" s="71" t="s">
        <v>10</v>
      </c>
      <c r="T67" s="72" t="s">
        <v>9</v>
      </c>
      <c r="U67" s="73">
        <v>2</v>
      </c>
      <c r="V67" s="62">
        <v>2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 ht="14.25">
      <c r="A68" s="207"/>
      <c r="B68" s="210">
        <v>46125</v>
      </c>
      <c r="C68" s="210"/>
      <c r="D68" s="210">
        <v>46126</v>
      </c>
      <c r="E68" s="210"/>
      <c r="F68" s="210">
        <v>46127</v>
      </c>
      <c r="G68" s="210"/>
      <c r="H68" s="210">
        <v>46128</v>
      </c>
      <c r="I68" s="210"/>
      <c r="J68" s="210">
        <v>46129</v>
      </c>
      <c r="K68" s="210"/>
      <c r="L68" s="210">
        <v>46130</v>
      </c>
      <c r="M68" s="210"/>
      <c r="N68" s="210">
        <v>46131</v>
      </c>
      <c r="O68" s="212"/>
      <c r="P68" s="253"/>
      <c r="Q68" s="254"/>
      <c r="R68" s="207"/>
      <c r="S68" s="138"/>
      <c r="T68" s="138"/>
      <c r="U68" s="60" t="s">
        <v>27</v>
      </c>
      <c r="V68" s="61" t="s">
        <v>28</v>
      </c>
      <c r="W68" s="62" t="s">
        <v>29</v>
      </c>
      <c r="X68" s="7"/>
      <c r="Y68" s="7"/>
      <c r="Z68" s="7"/>
      <c r="AA68" s="7"/>
      <c r="AB68" s="13"/>
      <c r="AC68" s="13"/>
      <c r="AD68" s="13"/>
    </row>
    <row r="69" ht="14.25">
      <c r="A69" s="165"/>
      <c r="B69" s="178"/>
      <c r="C69" s="178"/>
      <c r="D69" s="178"/>
      <c r="E69" s="178"/>
      <c r="F69" s="178"/>
      <c r="G69" s="178"/>
      <c r="H69" s="178"/>
      <c r="I69" s="178"/>
      <c r="J69" s="178"/>
      <c r="K69" s="178"/>
      <c r="L69" s="178"/>
      <c r="M69" s="178"/>
      <c r="N69" s="178"/>
      <c r="O69" s="178"/>
      <c r="P69" s="165"/>
      <c r="Q69" s="165"/>
      <c r="R69" s="193"/>
      <c r="S69" s="127"/>
      <c r="T69" s="127"/>
      <c r="U69" s="127"/>
      <c r="V69" s="127"/>
      <c r="W69" s="128"/>
      <c r="X69" s="7"/>
      <c r="Y69" s="7"/>
      <c r="Z69" s="7"/>
      <c r="AA69" s="7"/>
      <c r="AB69" s="13"/>
      <c r="AC69" s="13"/>
      <c r="AD69" s="13"/>
    </row>
    <row r="70" ht="14.25">
      <c r="A70" s="143"/>
      <c r="B70" s="43" t="s">
        <v>17</v>
      </c>
      <c r="C70" s="142"/>
      <c r="D70" s="43" t="s">
        <v>18</v>
      </c>
      <c r="E70" s="142"/>
      <c r="F70" s="43" t="s">
        <v>19</v>
      </c>
      <c r="G70" s="43"/>
      <c r="H70" s="43" t="s">
        <v>20</v>
      </c>
      <c r="I70" s="142"/>
      <c r="J70" s="45" t="s">
        <v>21</v>
      </c>
      <c r="K70" s="45"/>
      <c r="L70" s="43" t="s">
        <v>22</v>
      </c>
      <c r="M70" s="43"/>
      <c r="N70" s="43" t="s">
        <v>23</v>
      </c>
      <c r="O70" s="214"/>
      <c r="P70" s="208" t="s">
        <v>24</v>
      </c>
      <c r="Q70" s="209"/>
      <c r="R70" s="143"/>
      <c r="S70" s="143"/>
      <c r="T70" s="143"/>
      <c r="U70" s="62"/>
      <c r="V70" s="62"/>
      <c r="W70" s="62"/>
      <c r="X70" s="51"/>
      <c r="Y70" s="7"/>
      <c r="Z70" s="7"/>
      <c r="AA70" s="7"/>
      <c r="AB70" s="13"/>
      <c r="AC70" s="13"/>
      <c r="AD70" s="13"/>
    </row>
    <row r="71" ht="14.25">
      <c r="A71" s="143"/>
      <c r="B71" s="210">
        <v>46132</v>
      </c>
      <c r="C71" s="210"/>
      <c r="D71" s="210">
        <v>46133</v>
      </c>
      <c r="E71" s="210"/>
      <c r="F71" s="210">
        <v>46134</v>
      </c>
      <c r="G71" s="210"/>
      <c r="H71" s="210">
        <v>46135</v>
      </c>
      <c r="I71" s="210"/>
      <c r="J71" s="210">
        <v>46136</v>
      </c>
      <c r="K71" s="210"/>
      <c r="L71" s="210">
        <v>46137</v>
      </c>
      <c r="M71" s="210"/>
      <c r="N71" s="210">
        <v>46138</v>
      </c>
      <c r="O71" s="459"/>
      <c r="P71" s="213" t="s">
        <v>25</v>
      </c>
      <c r="Q71" s="214" t="s">
        <v>26</v>
      </c>
      <c r="R71" s="249"/>
      <c r="S71" s="147"/>
      <c r="T71" s="147"/>
      <c r="U71" s="60" t="s">
        <v>27</v>
      </c>
      <c r="V71" s="61" t="s">
        <v>28</v>
      </c>
      <c r="W71" s="62" t="s">
        <v>29</v>
      </c>
      <c r="X71" s="63" t="s">
        <v>30</v>
      </c>
      <c r="Y71" s="7"/>
      <c r="Z71" s="7"/>
      <c r="AA71" s="7"/>
      <c r="AB71" s="13"/>
      <c r="AC71" s="13"/>
      <c r="AD71" s="13"/>
    </row>
    <row r="72" s="21" customFormat="1" ht="14.25">
      <c r="A72" s="203" t="s">
        <v>35</v>
      </c>
      <c r="B72" s="319" t="s">
        <v>32</v>
      </c>
      <c r="C72" s="319" t="s">
        <v>33</v>
      </c>
      <c r="D72" s="319" t="s">
        <v>32</v>
      </c>
      <c r="E72" s="319" t="s">
        <v>33</v>
      </c>
      <c r="F72" s="319" t="s">
        <v>32</v>
      </c>
      <c r="G72" s="319" t="s">
        <v>33</v>
      </c>
      <c r="H72" s="319" t="s">
        <v>32</v>
      </c>
      <c r="I72" s="319" t="s">
        <v>33</v>
      </c>
      <c r="J72" s="319" t="s">
        <v>32</v>
      </c>
      <c r="K72" s="319" t="s">
        <v>72</v>
      </c>
      <c r="L72" s="66"/>
      <c r="M72" s="66"/>
      <c r="N72" s="66"/>
      <c r="O72" s="66"/>
      <c r="P72" s="218">
        <f t="shared" si="109"/>
        <v>40.5</v>
      </c>
      <c r="Q72" s="62">
        <f t="shared" si="113"/>
        <v>31.5</v>
      </c>
      <c r="R72" s="219" t="str">
        <f t="shared" si="110"/>
        <v>Рычков</v>
      </c>
      <c r="S72" s="76" t="s">
        <v>10</v>
      </c>
      <c r="T72" s="77" t="s">
        <v>9</v>
      </c>
      <c r="U72" s="73">
        <f t="shared" si="111"/>
        <v>0</v>
      </c>
      <c r="V72" s="62">
        <f t="shared" si="112"/>
        <v>0</v>
      </c>
      <c r="W72" s="62"/>
      <c r="X72" s="74" t="s">
        <v>34</v>
      </c>
      <c r="Y72" s="7"/>
      <c r="Z72" s="7"/>
      <c r="AA72" s="7"/>
      <c r="AB72" s="13"/>
      <c r="AC72" s="13"/>
      <c r="AD72" s="13"/>
    </row>
    <row r="73" s="21" customFormat="1" ht="14.4" hidden="1">
      <c r="A73" s="203" t="s">
        <v>66</v>
      </c>
      <c r="B73" s="319" t="s">
        <v>32</v>
      </c>
      <c r="C73" s="319" t="s">
        <v>33</v>
      </c>
      <c r="D73" s="319" t="s">
        <v>32</v>
      </c>
      <c r="E73" s="319" t="s">
        <v>33</v>
      </c>
      <c r="F73" s="319" t="s">
        <v>32</v>
      </c>
      <c r="G73" s="319" t="s">
        <v>33</v>
      </c>
      <c r="H73" s="319" t="s">
        <v>32</v>
      </c>
      <c r="I73" s="319" t="s">
        <v>33</v>
      </c>
      <c r="J73" s="319" t="s">
        <v>32</v>
      </c>
      <c r="K73" s="319" t="s">
        <v>33</v>
      </c>
      <c r="L73" s="66"/>
      <c r="M73" s="66"/>
      <c r="N73" s="67"/>
      <c r="O73" s="67"/>
      <c r="P73" s="218">
        <f t="shared" si="109"/>
        <v>40</v>
      </c>
      <c r="Q73" s="62">
        <f t="shared" si="113"/>
        <v>32</v>
      </c>
      <c r="R73" s="219" t="str">
        <f t="shared" si="110"/>
        <v>Карузина</v>
      </c>
      <c r="S73" s="76" t="s">
        <v>10</v>
      </c>
      <c r="T73" s="77" t="s">
        <v>9</v>
      </c>
      <c r="U73" s="73">
        <f t="shared" si="111"/>
        <v>0</v>
      </c>
      <c r="V73" s="62">
        <f t="shared" si="112"/>
        <v>0</v>
      </c>
      <c r="W73" s="62"/>
      <c r="X73" s="79" t="s">
        <v>49</v>
      </c>
      <c r="Y73" s="7"/>
      <c r="Z73" s="7"/>
      <c r="AA73" s="7"/>
      <c r="AB73" s="13"/>
      <c r="AC73" s="13"/>
      <c r="AD73" s="13"/>
    </row>
    <row r="74" s="21" customFormat="1" ht="14.25">
      <c r="A74" s="203" t="s">
        <v>39</v>
      </c>
      <c r="B74" s="319" t="s">
        <v>32</v>
      </c>
      <c r="C74" s="319" t="s">
        <v>33</v>
      </c>
      <c r="D74" s="319" t="s">
        <v>32</v>
      </c>
      <c r="E74" s="319" t="s">
        <v>33</v>
      </c>
      <c r="F74" s="319" t="s">
        <v>32</v>
      </c>
      <c r="G74" s="319" t="s">
        <v>33</v>
      </c>
      <c r="H74" s="319" t="s">
        <v>32</v>
      </c>
      <c r="I74" s="319" t="s">
        <v>33</v>
      </c>
      <c r="J74" s="319" t="s">
        <v>32</v>
      </c>
      <c r="K74" s="319" t="s">
        <v>33</v>
      </c>
      <c r="L74" s="66"/>
      <c r="M74" s="66"/>
      <c r="N74" s="66"/>
      <c r="O74" s="66"/>
      <c r="P74" s="218">
        <f t="shared" si="109"/>
        <v>40</v>
      </c>
      <c r="Q74" s="62">
        <f t="shared" si="113"/>
        <v>32</v>
      </c>
      <c r="R74" s="219" t="str">
        <f t="shared" si="110"/>
        <v>Игумнов</v>
      </c>
      <c r="S74" s="76" t="s">
        <v>10</v>
      </c>
      <c r="T74" s="77" t="s">
        <v>9</v>
      </c>
      <c r="U74" s="73">
        <f t="shared" si="111"/>
        <v>0</v>
      </c>
      <c r="V74" s="62">
        <f t="shared" si="112"/>
        <v>0</v>
      </c>
      <c r="W74" s="62"/>
      <c r="X74" s="79" t="s">
        <v>34</v>
      </c>
      <c r="Y74" s="7"/>
      <c r="Z74" s="7"/>
      <c r="AA74" s="7"/>
      <c r="AB74" s="13"/>
      <c r="AC74" s="13"/>
      <c r="AD74" s="13"/>
    </row>
    <row r="75" s="21" customFormat="1" ht="14.25">
      <c r="A75" s="203" t="s">
        <v>40</v>
      </c>
      <c r="B75" s="148"/>
      <c r="C75" s="148" t="s">
        <v>33</v>
      </c>
      <c r="D75" s="148"/>
      <c r="E75" s="148" t="s">
        <v>33</v>
      </c>
      <c r="F75" s="148"/>
      <c r="G75" s="148" t="s">
        <v>33</v>
      </c>
      <c r="H75" s="148"/>
      <c r="I75" s="148" t="s">
        <v>33</v>
      </c>
      <c r="J75" s="148"/>
      <c r="K75" s="148" t="s">
        <v>33</v>
      </c>
      <c r="L75" s="108"/>
      <c r="M75" s="108"/>
      <c r="N75" s="108"/>
      <c r="O75" s="108"/>
      <c r="P75" s="218">
        <f t="shared" si="109"/>
        <v>40</v>
      </c>
      <c r="Q75" s="62">
        <f t="shared" si="113"/>
        <v>32</v>
      </c>
      <c r="R75" s="219" t="str">
        <f t="shared" si="110"/>
        <v>Душин</v>
      </c>
      <c r="S75" s="76" t="s">
        <v>10</v>
      </c>
      <c r="T75" s="77" t="s">
        <v>9</v>
      </c>
      <c r="U75" s="73">
        <f t="shared" si="111"/>
        <v>0</v>
      </c>
      <c r="V75" s="62">
        <f t="shared" si="112"/>
        <v>0</v>
      </c>
      <c r="W75" s="62"/>
      <c r="X75" s="74" t="s">
        <v>38</v>
      </c>
      <c r="Y75" s="7"/>
      <c r="Z75" s="7"/>
      <c r="AA75" s="7"/>
      <c r="AB75" s="13"/>
      <c r="AC75" s="13"/>
      <c r="AD75" s="13"/>
    </row>
    <row r="76" s="21" customFormat="1" ht="14.25">
      <c r="A76" s="203" t="s">
        <v>31</v>
      </c>
      <c r="B76" s="319" t="s">
        <v>32</v>
      </c>
      <c r="C76" s="319" t="s">
        <v>33</v>
      </c>
      <c r="D76" s="319" t="s">
        <v>32</v>
      </c>
      <c r="E76" s="319" t="s">
        <v>33</v>
      </c>
      <c r="F76" s="319" t="s">
        <v>32</v>
      </c>
      <c r="G76" s="319" t="s">
        <v>33</v>
      </c>
      <c r="H76" s="319" t="s">
        <v>32</v>
      </c>
      <c r="I76" s="319" t="s">
        <v>33</v>
      </c>
      <c r="J76" s="319" t="s">
        <v>32</v>
      </c>
      <c r="K76" s="319" t="s">
        <v>33</v>
      </c>
      <c r="L76" s="66"/>
      <c r="M76" s="66"/>
      <c r="N76" s="66"/>
      <c r="O76" s="66"/>
      <c r="P76" s="218">
        <f t="shared" ref="P76:P107" si="114">C76+E76+G76+I76+K76+M76+O76</f>
        <v>40</v>
      </c>
      <c r="Q76" s="62">
        <f t="shared" si="113"/>
        <v>32</v>
      </c>
      <c r="R76" s="219" t="str">
        <f t="shared" ref="R76:R107" si="115">A76</f>
        <v>Нетронин</v>
      </c>
      <c r="S76" s="76" t="s">
        <v>58</v>
      </c>
      <c r="T76" s="77" t="s">
        <v>59</v>
      </c>
      <c r="U76" s="73"/>
      <c r="V76" s="62"/>
      <c r="W76" s="62"/>
      <c r="X76" s="74" t="s">
        <v>34</v>
      </c>
      <c r="Y76" s="7"/>
      <c r="Z76" s="7"/>
      <c r="AA76" s="7"/>
      <c r="AB76" s="13"/>
      <c r="AC76" s="13"/>
      <c r="AD76" s="13"/>
    </row>
    <row r="77" s="21" customFormat="1" ht="14.25">
      <c r="A77" s="203" t="s">
        <v>61</v>
      </c>
      <c r="B77" s="446" t="s">
        <v>32</v>
      </c>
      <c r="C77" s="446" t="s">
        <v>33</v>
      </c>
      <c r="D77" s="446" t="s">
        <v>32</v>
      </c>
      <c r="E77" s="446" t="s">
        <v>33</v>
      </c>
      <c r="F77" s="446" t="s">
        <v>32</v>
      </c>
      <c r="G77" s="446" t="s">
        <v>33</v>
      </c>
      <c r="H77" s="446" t="s">
        <v>32</v>
      </c>
      <c r="I77" s="446" t="s">
        <v>33</v>
      </c>
      <c r="J77" s="446" t="s">
        <v>32</v>
      </c>
      <c r="K77" s="446" t="s">
        <v>33</v>
      </c>
      <c r="L77" s="509"/>
      <c r="M77" s="509"/>
      <c r="N77" s="509"/>
      <c r="O77" s="509"/>
      <c r="P77" s="218">
        <f t="shared" si="114"/>
        <v>40</v>
      </c>
      <c r="Q77" s="62">
        <f t="shared" si="113"/>
        <v>32</v>
      </c>
      <c r="R77" s="219" t="str">
        <f t="shared" si="115"/>
        <v>Раимова</v>
      </c>
      <c r="S77" s="76" t="s">
        <v>10</v>
      </c>
      <c r="T77" s="77" t="s">
        <v>9</v>
      </c>
      <c r="U77" s="73"/>
      <c r="V77" s="62"/>
      <c r="W77" s="62"/>
      <c r="X77" s="74" t="s">
        <v>38</v>
      </c>
      <c r="Y77" s="7"/>
      <c r="Z77" s="7"/>
      <c r="AA77" s="7"/>
      <c r="AB77" s="13"/>
      <c r="AC77" s="13"/>
      <c r="AD77" s="13"/>
    </row>
    <row r="78" s="21" customFormat="1" ht="14.25">
      <c r="A78" s="203" t="s">
        <v>62</v>
      </c>
      <c r="B78" s="446" t="s">
        <v>32</v>
      </c>
      <c r="C78" s="446" t="s">
        <v>33</v>
      </c>
      <c r="D78" s="446" t="s">
        <v>32</v>
      </c>
      <c r="E78" s="446" t="s">
        <v>33</v>
      </c>
      <c r="F78" s="446" t="s">
        <v>32</v>
      </c>
      <c r="G78" s="446" t="s">
        <v>33</v>
      </c>
      <c r="H78" s="446" t="s">
        <v>32</v>
      </c>
      <c r="I78" s="446" t="s">
        <v>33</v>
      </c>
      <c r="J78" s="446" t="s">
        <v>32</v>
      </c>
      <c r="K78" s="446" t="s">
        <v>33</v>
      </c>
      <c r="L78" s="273"/>
      <c r="M78" s="273"/>
      <c r="N78" s="273"/>
      <c r="O78" s="273"/>
      <c r="P78" s="218">
        <f t="shared" si="114"/>
        <v>40</v>
      </c>
      <c r="Q78" s="62">
        <f t="shared" si="113"/>
        <v>32</v>
      </c>
      <c r="R78" s="113" t="str">
        <f t="shared" si="115"/>
        <v>Войтехович</v>
      </c>
      <c r="S78" s="76" t="s">
        <v>10</v>
      </c>
      <c r="T78" s="77" t="s">
        <v>9</v>
      </c>
      <c r="U78" s="227"/>
      <c r="V78" s="62"/>
      <c r="W78" s="62"/>
      <c r="X78" s="74" t="s">
        <v>34</v>
      </c>
      <c r="Y78" s="7"/>
      <c r="Z78" s="7"/>
      <c r="AA78" s="7"/>
      <c r="AB78" s="13"/>
      <c r="AC78" s="13"/>
      <c r="AD78" s="13"/>
    </row>
    <row r="79" s="21" customFormat="1" ht="14.25">
      <c r="A79" s="203" t="s">
        <v>66</v>
      </c>
      <c r="B79" s="319" t="s">
        <v>32</v>
      </c>
      <c r="C79" s="319" t="s">
        <v>33</v>
      </c>
      <c r="D79" s="319" t="s">
        <v>32</v>
      </c>
      <c r="E79" s="319" t="s">
        <v>33</v>
      </c>
      <c r="F79" s="319" t="s">
        <v>32</v>
      </c>
      <c r="G79" s="319" t="s">
        <v>33</v>
      </c>
      <c r="H79" s="319" t="s">
        <v>32</v>
      </c>
      <c r="I79" s="319" t="s">
        <v>33</v>
      </c>
      <c r="J79" s="148"/>
      <c r="K79" s="148" t="s">
        <v>33</v>
      </c>
      <c r="L79" s="148"/>
      <c r="M79" s="148"/>
      <c r="N79" s="148"/>
      <c r="O79" s="148"/>
      <c r="P79" s="218">
        <f t="shared" si="114"/>
        <v>40</v>
      </c>
      <c r="Q79" s="62">
        <f t="shared" si="113"/>
        <v>32</v>
      </c>
      <c r="R79" s="113" t="str">
        <f t="shared" si="115"/>
        <v>Карузина</v>
      </c>
      <c r="S79" s="76" t="s">
        <v>58</v>
      </c>
      <c r="T79" s="77" t="s">
        <v>59</v>
      </c>
      <c r="U79" s="227"/>
      <c r="V79" s="62"/>
      <c r="W79" s="62"/>
      <c r="X79" s="74" t="s">
        <v>38</v>
      </c>
      <c r="Y79" s="7"/>
      <c r="Z79" s="7"/>
      <c r="AA79" s="7"/>
      <c r="AB79" s="13"/>
      <c r="AC79" s="13"/>
      <c r="AD79" s="13"/>
    </row>
    <row r="80" s="21" customFormat="1" ht="14.25">
      <c r="A80" s="203" t="s">
        <v>63</v>
      </c>
      <c r="B80" s="319" t="s">
        <v>32</v>
      </c>
      <c r="C80" s="319" t="s">
        <v>33</v>
      </c>
      <c r="D80" s="319" t="s">
        <v>32</v>
      </c>
      <c r="E80" s="319" t="s">
        <v>33</v>
      </c>
      <c r="F80" s="319" t="s">
        <v>32</v>
      </c>
      <c r="G80" s="319" t="s">
        <v>33</v>
      </c>
      <c r="H80" s="319" t="s">
        <v>32</v>
      </c>
      <c r="I80" s="319" t="s">
        <v>33</v>
      </c>
      <c r="J80" s="319" t="s">
        <v>32</v>
      </c>
      <c r="K80" s="319" t="s">
        <v>33</v>
      </c>
      <c r="L80" s="273"/>
      <c r="M80" s="273"/>
      <c r="N80" s="273"/>
      <c r="O80" s="273"/>
      <c r="P80" s="218">
        <f t="shared" si="114"/>
        <v>40</v>
      </c>
      <c r="Q80" s="62">
        <f t="shared" si="113"/>
        <v>32</v>
      </c>
      <c r="R80" s="113" t="str">
        <f t="shared" si="115"/>
        <v>Васильев</v>
      </c>
      <c r="S80" s="76" t="s">
        <v>67</v>
      </c>
      <c r="T80" s="77" t="s">
        <v>68</v>
      </c>
      <c r="U80" s="227"/>
      <c r="V80" s="62"/>
      <c r="W80" s="62"/>
      <c r="X80" s="74" t="s">
        <v>38</v>
      </c>
      <c r="Y80" s="7"/>
      <c r="Z80" s="7"/>
      <c r="AA80" s="7"/>
      <c r="AB80" s="13"/>
      <c r="AC80" s="13"/>
      <c r="AD80" s="13"/>
    </row>
    <row r="81" s="21" customFormat="1" ht="14.25">
      <c r="A81" s="361" t="s">
        <v>43</v>
      </c>
      <c r="B81" s="513"/>
      <c r="C81" s="513" t="s">
        <v>33</v>
      </c>
      <c r="D81" s="514"/>
      <c r="E81" s="514" t="s">
        <v>33</v>
      </c>
      <c r="F81" s="515"/>
      <c r="G81" s="516">
        <v>8</v>
      </c>
      <c r="H81" s="511"/>
      <c r="I81" s="511" t="s">
        <v>33</v>
      </c>
      <c r="J81" s="511"/>
      <c r="K81" s="511" t="s">
        <v>33</v>
      </c>
      <c r="L81" s="512"/>
      <c r="M81" s="512"/>
      <c r="N81" s="512"/>
      <c r="O81" s="512"/>
      <c r="P81" s="253">
        <f t="shared" si="114"/>
        <v>40</v>
      </c>
      <c r="Q81" s="62">
        <f t="shared" si="113"/>
        <v>35</v>
      </c>
      <c r="R81" s="461" t="str">
        <f t="shared" si="115"/>
        <v>Дащенко</v>
      </c>
      <c r="S81" s="71" t="s">
        <v>12</v>
      </c>
      <c r="T81" s="72" t="s">
        <v>11</v>
      </c>
      <c r="U81" s="90">
        <f t="shared" ref="U76:U95" si="116">COUNTIF(T81,B81)+COUNTIF(T81,D81)+COUNTIF(T81,F81)+COUNTIF(T81,H81)+COUNTIF(T81,J81)+COUNTIF(T81,L81)+COUNTIF(T81,N81)</f>
        <v>0</v>
      </c>
      <c r="V81" s="62">
        <f t="shared" ref="V76:V95" si="117">COUNTIF(S81,B81)+COUNTIF(S81,D81)+COUNTIF(S81,F81)+COUNTIF(S81,H81)+COUNTIF(S81,J81)+COUNTIF(S81,L81)+COUNTIF(S81,N81)</f>
        <v>0</v>
      </c>
      <c r="W81" s="62"/>
      <c r="X81" s="80" t="s">
        <v>44</v>
      </c>
      <c r="Y81" s="7"/>
      <c r="Z81" s="7"/>
      <c r="AA81" s="7"/>
      <c r="AB81" s="13"/>
      <c r="AC81" s="13"/>
      <c r="AD81" s="13"/>
    </row>
    <row r="82" s="21" customFormat="1" ht="14.25">
      <c r="A82" s="205" t="s">
        <v>45</v>
      </c>
      <c r="B82" s="76"/>
      <c r="C82" s="324">
        <v>11</v>
      </c>
      <c r="D82" s="76"/>
      <c r="E82" s="324">
        <v>11</v>
      </c>
      <c r="F82" s="465"/>
      <c r="G82" s="330"/>
      <c r="H82" s="465"/>
      <c r="I82" s="330"/>
      <c r="J82" s="77"/>
      <c r="K82" s="329">
        <v>11</v>
      </c>
      <c r="L82" s="72"/>
      <c r="M82" s="329">
        <v>11</v>
      </c>
      <c r="N82" s="67"/>
      <c r="O82" s="330"/>
      <c r="P82" s="218">
        <f t="shared" si="114"/>
        <v>44</v>
      </c>
      <c r="Q82" s="62">
        <f t="shared" si="113"/>
        <v>15</v>
      </c>
      <c r="R82" s="219" t="str">
        <f t="shared" si="115"/>
        <v>Пузырь</v>
      </c>
      <c r="S82" s="76" t="s">
        <v>10</v>
      </c>
      <c r="T82" s="77" t="s">
        <v>9</v>
      </c>
      <c r="U82" s="73">
        <v>3</v>
      </c>
      <c r="V82" s="62">
        <v>2</v>
      </c>
      <c r="W82" s="62"/>
      <c r="X82" s="74" t="s">
        <v>34</v>
      </c>
      <c r="Y82" s="7"/>
      <c r="Z82" s="7"/>
      <c r="AA82" s="7"/>
      <c r="AB82" s="13"/>
      <c r="AC82" s="13"/>
      <c r="AD82" s="13"/>
    </row>
    <row r="83" s="21" customFormat="1" ht="14.25">
      <c r="A83" s="205" t="s">
        <v>64</v>
      </c>
      <c r="B83" s="67"/>
      <c r="C83" s="330"/>
      <c r="D83" s="67"/>
      <c r="E83" s="67"/>
      <c r="F83" s="261"/>
      <c r="G83" s="330"/>
      <c r="H83" s="77"/>
      <c r="I83" s="329">
        <v>11</v>
      </c>
      <c r="J83" s="72"/>
      <c r="K83" s="329">
        <v>11</v>
      </c>
      <c r="L83" s="67"/>
      <c r="M83" s="330"/>
      <c r="N83" s="67"/>
      <c r="O83" s="330"/>
      <c r="P83" s="218">
        <f t="shared" si="114"/>
        <v>22</v>
      </c>
      <c r="Q83" s="62">
        <f t="shared" si="113"/>
        <v>22</v>
      </c>
      <c r="R83" s="219" t="str">
        <f t="shared" si="115"/>
        <v>Рожнева</v>
      </c>
      <c r="S83" s="71" t="s">
        <v>12</v>
      </c>
      <c r="T83" s="72" t="s">
        <v>11</v>
      </c>
      <c r="U83" s="73">
        <v>2</v>
      </c>
      <c r="V83" s="62">
        <v>1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s="21" customFormat="1" ht="14.25">
      <c r="A84" s="205" t="s">
        <v>47</v>
      </c>
      <c r="B84" s="465"/>
      <c r="C84" s="400"/>
      <c r="D84" s="77"/>
      <c r="E84" s="329">
        <v>11</v>
      </c>
      <c r="F84" s="72"/>
      <c r="G84" s="329">
        <v>11</v>
      </c>
      <c r="H84" s="465"/>
      <c r="I84" s="330"/>
      <c r="J84" s="67"/>
      <c r="K84" s="330"/>
      <c r="L84" s="77"/>
      <c r="M84" s="329">
        <v>11</v>
      </c>
      <c r="N84" s="72"/>
      <c r="O84" s="329">
        <v>11</v>
      </c>
      <c r="P84" s="218">
        <f t="shared" si="114"/>
        <v>44</v>
      </c>
      <c r="Q84" s="62">
        <f t="shared" si="113"/>
        <v>33</v>
      </c>
      <c r="R84" s="219" t="str">
        <f t="shared" si="115"/>
        <v>Торубара</v>
      </c>
      <c r="S84" s="76" t="s">
        <v>10</v>
      </c>
      <c r="T84" s="77" t="s">
        <v>9</v>
      </c>
      <c r="U84" s="73">
        <v>1</v>
      </c>
      <c r="V84" s="62">
        <v>2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s="21" customFormat="1" ht="14.25">
      <c r="A85" s="205" t="s">
        <v>48</v>
      </c>
      <c r="B85" s="77"/>
      <c r="C85" s="329">
        <v>11</v>
      </c>
      <c r="D85" s="72"/>
      <c r="E85" s="329">
        <v>11</v>
      </c>
      <c r="F85" s="67"/>
      <c r="G85" s="330"/>
      <c r="H85" s="67"/>
      <c r="I85" s="330"/>
      <c r="J85" s="76"/>
      <c r="K85" s="324">
        <v>11</v>
      </c>
      <c r="L85" s="76"/>
      <c r="M85" s="324">
        <v>11</v>
      </c>
      <c r="N85" s="66"/>
      <c r="O85" s="66"/>
      <c r="P85" s="218">
        <f t="shared" si="114"/>
        <v>44</v>
      </c>
      <c r="Q85" s="62">
        <f t="shared" si="113"/>
        <v>22</v>
      </c>
      <c r="R85" s="219" t="str">
        <f t="shared" si="115"/>
        <v>Стрыгин</v>
      </c>
      <c r="S85" s="71" t="s">
        <v>8</v>
      </c>
      <c r="T85" s="72" t="s">
        <v>7</v>
      </c>
      <c r="U85" s="73">
        <v>3</v>
      </c>
      <c r="V85" s="62">
        <f t="shared" si="117"/>
        <v>0</v>
      </c>
      <c r="W85" s="62"/>
      <c r="X85" s="74" t="s">
        <v>49</v>
      </c>
      <c r="Y85" s="7"/>
      <c r="Z85" s="7"/>
      <c r="AA85" s="7"/>
      <c r="AB85" s="13"/>
      <c r="AC85" s="13"/>
      <c r="AD85" s="13"/>
    </row>
    <row r="86" s="21" customFormat="1" ht="14.25">
      <c r="A86" s="205" t="s">
        <v>50</v>
      </c>
      <c r="B86" s="67"/>
      <c r="C86" s="330"/>
      <c r="D86" s="67"/>
      <c r="E86" s="330"/>
      <c r="F86" s="72"/>
      <c r="G86" s="329">
        <v>11</v>
      </c>
      <c r="H86" s="72"/>
      <c r="I86" s="329">
        <v>11</v>
      </c>
      <c r="J86" s="465"/>
      <c r="K86" s="330"/>
      <c r="L86" s="465"/>
      <c r="M86" s="330"/>
      <c r="N86" s="77"/>
      <c r="O86" s="329">
        <v>11</v>
      </c>
      <c r="P86" s="218">
        <f t="shared" si="114"/>
        <v>33</v>
      </c>
      <c r="Q86" s="62">
        <f t="shared" si="113"/>
        <v>22</v>
      </c>
      <c r="R86" s="219" t="str">
        <f t="shared" si="115"/>
        <v>Фрик</v>
      </c>
      <c r="S86" s="71" t="s">
        <v>12</v>
      </c>
      <c r="T86" s="72" t="s">
        <v>11</v>
      </c>
      <c r="U86" s="73">
        <v>2</v>
      </c>
      <c r="V86" s="62">
        <v>1</v>
      </c>
      <c r="W86" s="62"/>
      <c r="X86" s="74" t="s">
        <v>44</v>
      </c>
      <c r="Y86" s="7"/>
      <c r="Z86" s="7"/>
      <c r="AA86" s="7"/>
      <c r="AB86" s="13"/>
      <c r="AC86" s="13"/>
      <c r="AD86" s="13"/>
    </row>
    <row r="87" s="21" customFormat="1" ht="14.25">
      <c r="A87" s="206" t="s">
        <v>51</v>
      </c>
      <c r="B87" s="67"/>
      <c r="C87" s="400"/>
      <c r="D87" s="67"/>
      <c r="E87" s="330"/>
      <c r="F87" s="76"/>
      <c r="G87" s="324">
        <v>11</v>
      </c>
      <c r="H87" s="76"/>
      <c r="I87" s="324">
        <v>11</v>
      </c>
      <c r="J87" s="465"/>
      <c r="K87" s="330"/>
      <c r="L87" s="465"/>
      <c r="M87" s="330"/>
      <c r="N87" s="76"/>
      <c r="O87" s="324">
        <v>11</v>
      </c>
      <c r="P87" s="218">
        <f t="shared" si="114"/>
        <v>33</v>
      </c>
      <c r="Q87" s="62">
        <f t="shared" si="113"/>
        <v>22</v>
      </c>
      <c r="R87" s="219" t="str">
        <f t="shared" si="115"/>
        <v>Истрашкин</v>
      </c>
      <c r="S87" s="71" t="s">
        <v>10</v>
      </c>
      <c r="T87" s="72" t="s">
        <v>9</v>
      </c>
      <c r="U87" s="73">
        <v>2</v>
      </c>
      <c r="V87" s="62">
        <v>2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 ht="14.25">
      <c r="A88" s="207"/>
      <c r="B88" s="210">
        <v>46132</v>
      </c>
      <c r="C88" s="210"/>
      <c r="D88" s="210">
        <v>46133</v>
      </c>
      <c r="E88" s="210"/>
      <c r="F88" s="210">
        <v>46134</v>
      </c>
      <c r="G88" s="210"/>
      <c r="H88" s="210">
        <v>46135</v>
      </c>
      <c r="I88" s="210"/>
      <c r="J88" s="210">
        <v>46136</v>
      </c>
      <c r="K88" s="210"/>
      <c r="L88" s="210">
        <v>46137</v>
      </c>
      <c r="M88" s="210"/>
      <c r="N88" s="210">
        <v>46138</v>
      </c>
      <c r="O88" s="517"/>
      <c r="P88" s="218"/>
      <c r="Q88" s="254"/>
      <c r="R88" s="207"/>
      <c r="S88" s="138"/>
      <c r="T88" s="138"/>
      <c r="U88" s="60" t="s">
        <v>27</v>
      </c>
      <c r="V88" s="61" t="s">
        <v>28</v>
      </c>
      <c r="W88" s="62" t="s">
        <v>29</v>
      </c>
      <c r="X88" s="7"/>
      <c r="Y88" s="7"/>
      <c r="Z88" s="7"/>
      <c r="AA88" s="7"/>
      <c r="AB88" s="13"/>
      <c r="AC88" s="13"/>
      <c r="AD88" s="13"/>
    </row>
    <row r="89" ht="14.25">
      <c r="A89" s="139"/>
      <c r="B89" s="140"/>
      <c r="C89" s="140"/>
      <c r="D89" s="140"/>
      <c r="E89" s="140"/>
      <c r="F89" s="140"/>
      <c r="G89" s="140"/>
      <c r="H89" s="140"/>
      <c r="I89" s="518"/>
      <c r="J89" s="140"/>
      <c r="K89" s="140"/>
      <c r="L89" s="140"/>
      <c r="M89" s="140"/>
      <c r="N89" s="140"/>
      <c r="O89" s="140"/>
      <c r="P89" s="139"/>
      <c r="Q89" s="127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 ht="14.25">
      <c r="A90" s="143"/>
      <c r="B90" s="454" t="s">
        <v>17</v>
      </c>
      <c r="C90" s="455"/>
      <c r="D90" s="454" t="s">
        <v>18</v>
      </c>
      <c r="E90" s="455"/>
      <c r="F90" s="454" t="s">
        <v>19</v>
      </c>
      <c r="G90" s="454"/>
      <c r="H90" s="454" t="s">
        <v>20</v>
      </c>
      <c r="I90" s="455"/>
      <c r="J90" s="456" t="s">
        <v>21</v>
      </c>
      <c r="K90" s="456"/>
      <c r="L90" s="454" t="s">
        <v>22</v>
      </c>
      <c r="M90" s="454"/>
      <c r="N90" s="454" t="s">
        <v>23</v>
      </c>
      <c r="O90" s="454"/>
      <c r="P90" s="208" t="s">
        <v>24</v>
      </c>
      <c r="Q90" s="209"/>
      <c r="R90" s="143"/>
      <c r="S90" s="143"/>
      <c r="T90" s="143"/>
      <c r="U90" s="62"/>
      <c r="V90" s="62"/>
      <c r="W90" s="62"/>
      <c r="X90" s="51"/>
      <c r="Y90" s="7"/>
      <c r="Z90" s="7"/>
      <c r="AA90" s="7"/>
      <c r="AB90" s="13"/>
      <c r="AC90" s="13"/>
      <c r="AD90" s="13"/>
    </row>
    <row r="91" ht="14.25">
      <c r="A91" s="248"/>
      <c r="B91" s="457">
        <v>46139</v>
      </c>
      <c r="C91" s="457"/>
      <c r="D91" s="457">
        <v>46140</v>
      </c>
      <c r="E91" s="457"/>
      <c r="F91" s="457">
        <v>46141</v>
      </c>
      <c r="G91" s="457"/>
      <c r="H91" s="457">
        <v>46142</v>
      </c>
      <c r="I91" s="457"/>
      <c r="J91" s="458">
        <v>46143</v>
      </c>
      <c r="K91" s="458"/>
      <c r="L91" s="458">
        <v>46144</v>
      </c>
      <c r="M91" s="458"/>
      <c r="N91" s="457">
        <v>46145</v>
      </c>
      <c r="O91" s="459"/>
      <c r="P91" s="309" t="s">
        <v>25</v>
      </c>
      <c r="Q91" s="214" t="s">
        <v>26</v>
      </c>
      <c r="R91" s="249"/>
      <c r="S91" s="147"/>
      <c r="T91" s="147"/>
      <c r="U91" s="60" t="s">
        <v>27</v>
      </c>
      <c r="V91" s="61" t="s">
        <v>28</v>
      </c>
      <c r="W91" s="62" t="s">
        <v>29</v>
      </c>
      <c r="X91" s="63" t="s">
        <v>30</v>
      </c>
      <c r="Y91" s="7"/>
      <c r="Z91" s="7"/>
      <c r="AA91" s="7"/>
      <c r="AB91" s="13"/>
      <c r="AC91" s="13"/>
      <c r="AD91" s="13"/>
    </row>
    <row r="92" s="21" customFormat="1" ht="14.25">
      <c r="A92" s="203" t="s">
        <v>35</v>
      </c>
      <c r="B92" s="319" t="s">
        <v>32</v>
      </c>
      <c r="C92" s="319" t="s">
        <v>33</v>
      </c>
      <c r="D92" s="319" t="s">
        <v>32</v>
      </c>
      <c r="E92" s="319" t="s">
        <v>33</v>
      </c>
      <c r="F92" s="319" t="s">
        <v>32</v>
      </c>
      <c r="G92" s="319" t="s">
        <v>33</v>
      </c>
      <c r="H92" s="319" t="s">
        <v>32</v>
      </c>
      <c r="I92" s="319" t="s">
        <v>33</v>
      </c>
      <c r="J92" s="460"/>
      <c r="K92" s="460"/>
      <c r="L92" s="66"/>
      <c r="M92" s="66"/>
      <c r="N92" s="66"/>
      <c r="O92" s="66"/>
      <c r="P92" s="218">
        <f t="shared" si="114"/>
        <v>32</v>
      </c>
      <c r="Q92" s="62">
        <f t="shared" si="113"/>
        <v>-0.5</v>
      </c>
      <c r="R92" s="219" t="str">
        <f t="shared" si="115"/>
        <v>Рычков</v>
      </c>
      <c r="S92" s="76" t="s">
        <v>10</v>
      </c>
      <c r="T92" s="77" t="s">
        <v>9</v>
      </c>
      <c r="U92" s="73">
        <f t="shared" si="116"/>
        <v>0</v>
      </c>
      <c r="V92" s="62">
        <f t="shared" si="117"/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s="21" customFormat="1" ht="14.4" hidden="1">
      <c r="A93" s="203" t="s">
        <v>66</v>
      </c>
      <c r="B93" s="319" t="s">
        <v>32</v>
      </c>
      <c r="C93" s="319" t="s">
        <v>33</v>
      </c>
      <c r="D93" s="319" t="s">
        <v>32</v>
      </c>
      <c r="E93" s="319" t="s">
        <v>33</v>
      </c>
      <c r="F93" s="319" t="s">
        <v>32</v>
      </c>
      <c r="G93" s="319" t="s">
        <v>33</v>
      </c>
      <c r="H93" s="319" t="s">
        <v>32</v>
      </c>
      <c r="I93" s="319" t="s">
        <v>33</v>
      </c>
      <c r="J93" s="460"/>
      <c r="K93" s="460"/>
      <c r="L93" s="66"/>
      <c r="M93" s="66"/>
      <c r="N93" s="67"/>
      <c r="O93" s="67"/>
      <c r="P93" s="218">
        <f t="shared" si="114"/>
        <v>32</v>
      </c>
      <c r="Q93" s="62">
        <f t="shared" si="113"/>
        <v>0</v>
      </c>
      <c r="R93" s="219" t="str">
        <f t="shared" si="115"/>
        <v>Карузина</v>
      </c>
      <c r="S93" s="76" t="s">
        <v>10</v>
      </c>
      <c r="T93" s="77" t="s">
        <v>9</v>
      </c>
      <c r="U93" s="73">
        <f t="shared" si="116"/>
        <v>0</v>
      </c>
      <c r="V93" s="62">
        <f t="shared" si="117"/>
        <v>0</v>
      </c>
      <c r="W93" s="62"/>
      <c r="X93" s="79" t="s">
        <v>49</v>
      </c>
      <c r="Y93" s="7"/>
      <c r="Z93" s="7"/>
      <c r="AA93" s="7"/>
      <c r="AB93" s="13"/>
      <c r="AC93" s="13"/>
      <c r="AD93" s="13"/>
    </row>
    <row r="94" s="21" customFormat="1" ht="14.25">
      <c r="A94" s="203" t="s">
        <v>39</v>
      </c>
      <c r="B94" s="319" t="s">
        <v>32</v>
      </c>
      <c r="C94" s="319" t="s">
        <v>33</v>
      </c>
      <c r="D94" s="319" t="s">
        <v>32</v>
      </c>
      <c r="E94" s="319" t="s">
        <v>33</v>
      </c>
      <c r="F94" s="319" t="s">
        <v>32</v>
      </c>
      <c r="G94" s="319" t="s">
        <v>33</v>
      </c>
      <c r="H94" s="319" t="s">
        <v>32</v>
      </c>
      <c r="I94" s="319" t="s">
        <v>33</v>
      </c>
      <c r="J94" s="460"/>
      <c r="K94" s="460"/>
      <c r="L94" s="66"/>
      <c r="M94" s="66"/>
      <c r="N94" s="66"/>
      <c r="O94" s="66"/>
      <c r="P94" s="218">
        <f t="shared" si="114"/>
        <v>32</v>
      </c>
      <c r="Q94" s="62">
        <f t="shared" si="113"/>
        <v>0</v>
      </c>
      <c r="R94" s="219" t="str">
        <f t="shared" si="115"/>
        <v>Игумнов</v>
      </c>
      <c r="S94" s="76" t="s">
        <v>10</v>
      </c>
      <c r="T94" s="77" t="s">
        <v>9</v>
      </c>
      <c r="U94" s="73">
        <f t="shared" si="116"/>
        <v>0</v>
      </c>
      <c r="V94" s="62">
        <f t="shared" si="117"/>
        <v>0</v>
      </c>
      <c r="W94" s="62"/>
      <c r="X94" s="79" t="s">
        <v>34</v>
      </c>
      <c r="Y94" s="7"/>
      <c r="Z94" s="7"/>
      <c r="AA94" s="7"/>
      <c r="AB94" s="13"/>
      <c r="AC94" s="13"/>
      <c r="AD94" s="13"/>
    </row>
    <row r="95" s="21" customFormat="1" ht="14.25">
      <c r="A95" s="203" t="s">
        <v>40</v>
      </c>
      <c r="B95" s="319" t="s">
        <v>32</v>
      </c>
      <c r="C95" s="319" t="s">
        <v>33</v>
      </c>
      <c r="D95" s="319" t="s">
        <v>32</v>
      </c>
      <c r="E95" s="319" t="s">
        <v>33</v>
      </c>
      <c r="F95" s="319" t="s">
        <v>32</v>
      </c>
      <c r="G95" s="319" t="s">
        <v>33</v>
      </c>
      <c r="H95" s="319" t="s">
        <v>32</v>
      </c>
      <c r="I95" s="319" t="s">
        <v>33</v>
      </c>
      <c r="J95" s="460"/>
      <c r="K95" s="460"/>
      <c r="L95" s="66"/>
      <c r="M95" s="66"/>
      <c r="N95" s="66"/>
      <c r="O95" s="66"/>
      <c r="P95" s="218">
        <f t="shared" si="114"/>
        <v>32</v>
      </c>
      <c r="Q95" s="62">
        <f t="shared" si="113"/>
        <v>0</v>
      </c>
      <c r="R95" s="219" t="str">
        <f t="shared" si="115"/>
        <v>Душин</v>
      </c>
      <c r="S95" s="76" t="s">
        <v>10</v>
      </c>
      <c r="T95" s="77" t="s">
        <v>9</v>
      </c>
      <c r="U95" s="73">
        <f t="shared" si="116"/>
        <v>0</v>
      </c>
      <c r="V95" s="62">
        <f t="shared" si="117"/>
        <v>0</v>
      </c>
      <c r="W95" s="62"/>
      <c r="X95" s="74" t="s">
        <v>38</v>
      </c>
      <c r="Y95" s="7"/>
      <c r="Z95" s="7"/>
      <c r="AA95" s="7"/>
      <c r="AB95" s="13"/>
      <c r="AC95" s="13"/>
      <c r="AD95" s="13"/>
    </row>
    <row r="96" s="21" customFormat="1" ht="14.25">
      <c r="A96" s="203" t="s">
        <v>31</v>
      </c>
      <c r="B96" s="319" t="s">
        <v>32</v>
      </c>
      <c r="C96" s="319" t="s">
        <v>33</v>
      </c>
      <c r="D96" s="319" t="s">
        <v>32</v>
      </c>
      <c r="E96" s="319" t="s">
        <v>33</v>
      </c>
      <c r="F96" s="319" t="s">
        <v>32</v>
      </c>
      <c r="G96" s="319" t="s">
        <v>33</v>
      </c>
      <c r="H96" s="319" t="s">
        <v>32</v>
      </c>
      <c r="I96" s="319" t="s">
        <v>33</v>
      </c>
      <c r="J96" s="460"/>
      <c r="K96" s="460"/>
      <c r="L96" s="66"/>
      <c r="M96" s="66"/>
      <c r="N96" s="66"/>
      <c r="O96" s="66"/>
      <c r="P96" s="218">
        <f t="shared" si="114"/>
        <v>32</v>
      </c>
      <c r="Q96" s="62">
        <f t="shared" ref="Q96:Q99" si="118">Q76-P96</f>
        <v>0</v>
      </c>
      <c r="R96" s="219" t="str">
        <f t="shared" si="115"/>
        <v>Нетронин</v>
      </c>
      <c r="S96" s="76" t="s">
        <v>58</v>
      </c>
      <c r="T96" s="77" t="s">
        <v>59</v>
      </c>
      <c r="U96" s="73"/>
      <c r="V96" s="62"/>
      <c r="W96" s="62"/>
      <c r="X96" s="74" t="s">
        <v>34</v>
      </c>
      <c r="Y96" s="7"/>
      <c r="Z96" s="7"/>
      <c r="AA96" s="7"/>
      <c r="AB96" s="13"/>
      <c r="AC96" s="13"/>
      <c r="AD96" s="13"/>
    </row>
    <row r="97" s="21" customFormat="1" ht="14.25">
      <c r="A97" s="203" t="s">
        <v>61</v>
      </c>
      <c r="B97" s="446" t="s">
        <v>32</v>
      </c>
      <c r="C97" s="446" t="s">
        <v>33</v>
      </c>
      <c r="D97" s="446" t="s">
        <v>32</v>
      </c>
      <c r="E97" s="446" t="s">
        <v>33</v>
      </c>
      <c r="F97" s="446" t="s">
        <v>32</v>
      </c>
      <c r="G97" s="446" t="s">
        <v>33</v>
      </c>
      <c r="H97" s="319" t="s">
        <v>32</v>
      </c>
      <c r="I97" s="319" t="s">
        <v>33</v>
      </c>
      <c r="J97" s="460"/>
      <c r="K97" s="460"/>
      <c r="L97" s="509"/>
      <c r="M97" s="509"/>
      <c r="N97" s="509"/>
      <c r="O97" s="509"/>
      <c r="P97" s="218">
        <f t="shared" si="114"/>
        <v>32</v>
      </c>
      <c r="Q97" s="62">
        <f t="shared" si="118"/>
        <v>0</v>
      </c>
      <c r="R97" s="219" t="str">
        <f t="shared" si="115"/>
        <v>Раимова</v>
      </c>
      <c r="S97" s="76" t="s">
        <v>10</v>
      </c>
      <c r="T97" s="77" t="s">
        <v>9</v>
      </c>
      <c r="U97" s="73"/>
      <c r="V97" s="62"/>
      <c r="W97" s="62"/>
      <c r="X97" s="74" t="s">
        <v>38</v>
      </c>
      <c r="Y97" s="7"/>
      <c r="Z97" s="7"/>
      <c r="AA97" s="7"/>
      <c r="AB97" s="13"/>
      <c r="AC97" s="13"/>
      <c r="AD97" s="13"/>
    </row>
    <row r="98" s="21" customFormat="1" ht="14.25">
      <c r="A98" s="203" t="s">
        <v>62</v>
      </c>
      <c r="B98" s="446" t="s">
        <v>32</v>
      </c>
      <c r="C98" s="446" t="s">
        <v>33</v>
      </c>
      <c r="D98" s="446" t="s">
        <v>32</v>
      </c>
      <c r="E98" s="446" t="s">
        <v>33</v>
      </c>
      <c r="F98" s="446" t="s">
        <v>32</v>
      </c>
      <c r="G98" s="446" t="s">
        <v>33</v>
      </c>
      <c r="H98" s="319" t="s">
        <v>32</v>
      </c>
      <c r="I98" s="321" t="s">
        <v>33</v>
      </c>
      <c r="J98" s="460"/>
      <c r="K98" s="460"/>
      <c r="L98" s="519"/>
      <c r="M98" s="273"/>
      <c r="N98" s="273"/>
      <c r="O98" s="273"/>
      <c r="P98" s="218">
        <f t="shared" si="114"/>
        <v>32</v>
      </c>
      <c r="Q98" s="62">
        <f t="shared" si="118"/>
        <v>0</v>
      </c>
      <c r="R98" s="113" t="str">
        <f t="shared" si="115"/>
        <v>Войтехович</v>
      </c>
      <c r="S98" s="76" t="s">
        <v>10</v>
      </c>
      <c r="T98" s="77" t="s">
        <v>9</v>
      </c>
      <c r="U98" s="227"/>
      <c r="V98" s="62"/>
      <c r="W98" s="62"/>
      <c r="X98" s="74" t="s">
        <v>34</v>
      </c>
      <c r="Y98" s="7"/>
      <c r="Z98" s="7"/>
      <c r="AA98" s="7"/>
      <c r="AB98" s="13"/>
      <c r="AC98" s="13"/>
      <c r="AD98" s="13"/>
    </row>
    <row r="99" s="21" customFormat="1" ht="14.25">
      <c r="A99" s="203" t="s">
        <v>66</v>
      </c>
      <c r="B99" s="148"/>
      <c r="C99" s="148" t="s">
        <v>33</v>
      </c>
      <c r="D99" s="148"/>
      <c r="E99" s="148" t="s">
        <v>33</v>
      </c>
      <c r="F99" s="148"/>
      <c r="G99" s="148" t="s">
        <v>33</v>
      </c>
      <c r="H99" s="148"/>
      <c r="I99" s="148" t="s">
        <v>33</v>
      </c>
      <c r="J99" s="460"/>
      <c r="K99" s="460"/>
      <c r="L99" s="519"/>
      <c r="M99" s="273"/>
      <c r="N99" s="273"/>
      <c r="O99" s="273"/>
      <c r="P99" s="218">
        <f t="shared" si="114"/>
        <v>32</v>
      </c>
      <c r="Q99" s="62">
        <f t="shared" si="118"/>
        <v>0</v>
      </c>
      <c r="R99" s="113" t="str">
        <f t="shared" si="115"/>
        <v>Карузина</v>
      </c>
      <c r="S99" s="76" t="s">
        <v>58</v>
      </c>
      <c r="T99" s="77" t="s">
        <v>59</v>
      </c>
      <c r="U99" s="227"/>
      <c r="V99" s="62"/>
      <c r="W99" s="62"/>
      <c r="X99" s="74" t="s">
        <v>38</v>
      </c>
      <c r="Y99" s="7"/>
      <c r="Z99" s="7"/>
      <c r="AA99" s="7"/>
      <c r="AB99" s="13"/>
      <c r="AC99" s="13"/>
      <c r="AD99" s="13"/>
    </row>
    <row r="100" s="21" customFormat="1" ht="14.25">
      <c r="A100" s="203" t="s">
        <v>63</v>
      </c>
      <c r="B100" s="446" t="s">
        <v>32</v>
      </c>
      <c r="C100" s="446" t="s">
        <v>33</v>
      </c>
      <c r="D100" s="446" t="s">
        <v>32</v>
      </c>
      <c r="E100" s="446" t="s">
        <v>33</v>
      </c>
      <c r="F100" s="446" t="s">
        <v>32</v>
      </c>
      <c r="G100" s="446" t="s">
        <v>33</v>
      </c>
      <c r="H100" s="321" t="s">
        <v>32</v>
      </c>
      <c r="I100" s="319" t="s">
        <v>33</v>
      </c>
      <c r="J100" s="460"/>
      <c r="K100" s="460"/>
      <c r="L100" s="519"/>
      <c r="M100" s="273"/>
      <c r="N100" s="273"/>
      <c r="O100" s="273"/>
      <c r="P100" s="218">
        <f>C100+E100+G100+I100+K100+M100+O100</f>
        <v>32</v>
      </c>
      <c r="Q100" s="62">
        <f t="shared" ref="Q100:Q107" si="119">Q80-P100</f>
        <v>0</v>
      </c>
      <c r="R100" s="113" t="str">
        <f>A100</f>
        <v>Васильев</v>
      </c>
      <c r="S100" s="76" t="s">
        <v>67</v>
      </c>
      <c r="T100" s="77" t="s">
        <v>68</v>
      </c>
      <c r="U100" s="227"/>
      <c r="V100" s="62"/>
      <c r="W100" s="62"/>
      <c r="X100" s="74" t="s">
        <v>38</v>
      </c>
      <c r="Y100" s="7"/>
      <c r="Z100" s="7"/>
      <c r="AA100" s="7"/>
      <c r="AB100" s="13"/>
      <c r="AC100" s="13"/>
      <c r="AD100" s="13"/>
    </row>
    <row r="101" s="21" customFormat="1" ht="14.25">
      <c r="A101" s="361" t="s">
        <v>43</v>
      </c>
      <c r="B101" s="520"/>
      <c r="C101" s="520" t="s">
        <v>33</v>
      </c>
      <c r="D101" s="512"/>
      <c r="E101" s="512" t="s">
        <v>33</v>
      </c>
      <c r="F101" s="521"/>
      <c r="G101" s="522">
        <v>8</v>
      </c>
      <c r="H101" s="76"/>
      <c r="I101" s="324">
        <v>11</v>
      </c>
      <c r="J101" s="76"/>
      <c r="K101" s="324"/>
      <c r="L101" s="523"/>
      <c r="M101" s="334"/>
      <c r="N101" s="334"/>
      <c r="O101" s="334"/>
      <c r="P101" s="253">
        <f t="shared" si="114"/>
        <v>35</v>
      </c>
      <c r="Q101" s="62">
        <f t="shared" si="119"/>
        <v>0</v>
      </c>
      <c r="R101" s="461" t="str">
        <f t="shared" si="115"/>
        <v>Дащенко</v>
      </c>
      <c r="S101" s="76" t="s">
        <v>12</v>
      </c>
      <c r="T101" s="524" t="s">
        <v>11</v>
      </c>
      <c r="U101" s="62">
        <f>0+U81+U61+U41+U21</f>
        <v>4</v>
      </c>
      <c r="V101" s="62">
        <f>1+V81+V61+V41+V21</f>
        <v>5</v>
      </c>
      <c r="W101" s="62"/>
      <c r="X101" s="80" t="s">
        <v>44</v>
      </c>
      <c r="Y101" s="7"/>
      <c r="Z101" s="7"/>
      <c r="AA101" s="7"/>
      <c r="AB101" s="13"/>
      <c r="AC101" s="13"/>
      <c r="AD101" s="13"/>
    </row>
    <row r="102" s="21" customFormat="1" ht="14.25">
      <c r="A102" s="205" t="s">
        <v>45</v>
      </c>
      <c r="B102" s="77"/>
      <c r="C102" s="329">
        <v>11</v>
      </c>
      <c r="D102" s="77"/>
      <c r="E102" s="329">
        <v>11</v>
      </c>
      <c r="F102" s="465"/>
      <c r="G102" s="330"/>
      <c r="H102" s="465"/>
      <c r="I102" s="330"/>
      <c r="J102" s="76"/>
      <c r="K102" s="324"/>
      <c r="L102" s="76"/>
      <c r="M102" s="324"/>
      <c r="N102" s="66"/>
      <c r="O102" s="66"/>
      <c r="P102" s="218">
        <f t="shared" si="114"/>
        <v>22</v>
      </c>
      <c r="Q102" s="62">
        <f t="shared" si="119"/>
        <v>-7</v>
      </c>
      <c r="R102" s="219" t="str">
        <f t="shared" si="115"/>
        <v>Пузырь</v>
      </c>
      <c r="S102" s="76" t="s">
        <v>10</v>
      </c>
      <c r="T102" s="524" t="s">
        <v>9</v>
      </c>
      <c r="U102" s="62">
        <f>2+U82+U62+U42+U22</f>
        <v>8</v>
      </c>
      <c r="V102" s="62">
        <f>0+V82+V62+V42+V22</f>
        <v>6</v>
      </c>
      <c r="W102" s="62"/>
      <c r="X102" s="74" t="s">
        <v>34</v>
      </c>
      <c r="Y102" s="7"/>
      <c r="Z102" s="7"/>
      <c r="AA102" s="7"/>
      <c r="AB102" s="13"/>
      <c r="AC102" s="13"/>
      <c r="AD102" s="13"/>
    </row>
    <row r="103" s="21" customFormat="1" ht="14.25">
      <c r="A103" s="205" t="s">
        <v>64</v>
      </c>
      <c r="B103" s="67"/>
      <c r="C103" s="330"/>
      <c r="D103" s="67"/>
      <c r="E103" s="330"/>
      <c r="F103" s="77"/>
      <c r="G103" s="329">
        <v>11</v>
      </c>
      <c r="H103" s="77"/>
      <c r="I103" s="329">
        <v>11</v>
      </c>
      <c r="J103" s="67"/>
      <c r="K103" s="330"/>
      <c r="L103" s="67"/>
      <c r="M103" s="330"/>
      <c r="N103" s="76"/>
      <c r="O103" s="324"/>
      <c r="P103" s="218">
        <f t="shared" si="114"/>
        <v>22</v>
      </c>
      <c r="Q103" s="62">
        <f t="shared" si="119"/>
        <v>0</v>
      </c>
      <c r="R103" s="219" t="str">
        <f t="shared" si="115"/>
        <v>Рожнева</v>
      </c>
      <c r="S103" s="76" t="s">
        <v>12</v>
      </c>
      <c r="T103" s="524" t="s">
        <v>11</v>
      </c>
      <c r="U103" s="62">
        <f>1+U83+U63+U43+U23</f>
        <v>6</v>
      </c>
      <c r="V103" s="62">
        <f>1+V83+V63+V43+V23</f>
        <v>4</v>
      </c>
      <c r="W103" s="62"/>
      <c r="X103" s="74" t="s">
        <v>34</v>
      </c>
      <c r="Y103" s="7"/>
      <c r="Z103" s="7"/>
      <c r="AA103" s="7"/>
      <c r="AB103" s="13"/>
      <c r="AC103" s="13"/>
      <c r="AD103" s="13"/>
    </row>
    <row r="104" s="21" customFormat="1" ht="14.25">
      <c r="A104" s="205" t="s">
        <v>47</v>
      </c>
      <c r="B104" s="67"/>
      <c r="C104" s="400"/>
      <c r="D104" s="465"/>
      <c r="E104" s="330"/>
      <c r="F104" s="76"/>
      <c r="G104" s="324">
        <v>11</v>
      </c>
      <c r="H104" s="76"/>
      <c r="I104" s="324">
        <v>11</v>
      </c>
      <c r="J104" s="67"/>
      <c r="K104" s="330"/>
      <c r="L104" s="67"/>
      <c r="M104" s="67"/>
      <c r="N104" s="77"/>
      <c r="O104" s="329"/>
      <c r="P104" s="218">
        <f t="shared" si="114"/>
        <v>22</v>
      </c>
      <c r="Q104" s="62">
        <f t="shared" si="119"/>
        <v>11</v>
      </c>
      <c r="R104" s="219" t="str">
        <f t="shared" si="115"/>
        <v>Торубара</v>
      </c>
      <c r="S104" s="76" t="s">
        <v>10</v>
      </c>
      <c r="T104" s="524" t="s">
        <v>9</v>
      </c>
      <c r="U104" s="62">
        <f t="shared" ref="U104:U105" si="120">2+U84+U64+U44+U24</f>
        <v>9</v>
      </c>
      <c r="V104" s="62">
        <f>0+V84+V64+V44+V24</f>
        <v>6</v>
      </c>
      <c r="W104" s="62"/>
      <c r="X104" s="74" t="s">
        <v>34</v>
      </c>
      <c r="Y104" s="7"/>
      <c r="Z104" s="7"/>
      <c r="AA104" s="7"/>
      <c r="AB104" s="13"/>
      <c r="AC104" s="13"/>
      <c r="AD104" s="13"/>
    </row>
    <row r="105" s="21" customFormat="1" ht="14.25">
      <c r="A105" s="205" t="s">
        <v>48</v>
      </c>
      <c r="B105" s="67"/>
      <c r="C105" s="67"/>
      <c r="D105" s="77"/>
      <c r="E105" s="329">
        <v>11</v>
      </c>
      <c r="F105" s="77"/>
      <c r="G105" s="329">
        <v>11</v>
      </c>
      <c r="H105" s="67"/>
      <c r="I105" s="330"/>
      <c r="J105" s="82"/>
      <c r="K105" s="82"/>
      <c r="L105" s="77"/>
      <c r="M105" s="329"/>
      <c r="N105" s="77"/>
      <c r="O105" s="329"/>
      <c r="P105" s="218">
        <f t="shared" si="114"/>
        <v>22</v>
      </c>
      <c r="Q105" s="62">
        <f t="shared" si="119"/>
        <v>0</v>
      </c>
      <c r="R105" s="219" t="str">
        <f t="shared" si="115"/>
        <v>Стрыгин</v>
      </c>
      <c r="S105" s="76" t="s">
        <v>8</v>
      </c>
      <c r="T105" s="524" t="s">
        <v>7</v>
      </c>
      <c r="U105" s="62">
        <f t="shared" si="120"/>
        <v>10</v>
      </c>
      <c r="V105" s="62">
        <f t="shared" ref="V105:V106" si="121">2+V85+V65+V45+V25</f>
        <v>7</v>
      </c>
      <c r="W105" s="62"/>
      <c r="X105" s="74" t="s">
        <v>49</v>
      </c>
      <c r="Y105" s="7"/>
      <c r="Z105" s="7"/>
      <c r="AA105" s="7"/>
      <c r="AB105" s="13"/>
      <c r="AC105" s="13"/>
      <c r="AD105" s="13"/>
    </row>
    <row r="106" s="21" customFormat="1" ht="14.25">
      <c r="A106" s="205" t="s">
        <v>50</v>
      </c>
      <c r="B106" s="67"/>
      <c r="C106" s="330"/>
      <c r="D106" s="76"/>
      <c r="E106" s="324">
        <v>11</v>
      </c>
      <c r="F106" s="76"/>
      <c r="G106" s="324">
        <v>11</v>
      </c>
      <c r="H106" s="66"/>
      <c r="I106" s="66"/>
      <c r="J106" s="66"/>
      <c r="K106" s="66"/>
      <c r="L106" s="76"/>
      <c r="M106" s="324"/>
      <c r="N106" s="76"/>
      <c r="O106" s="324"/>
      <c r="P106" s="218">
        <f t="shared" si="114"/>
        <v>22</v>
      </c>
      <c r="Q106" s="62">
        <f t="shared" si="119"/>
        <v>0</v>
      </c>
      <c r="R106" s="219" t="str">
        <f t="shared" si="115"/>
        <v>Фрик</v>
      </c>
      <c r="S106" s="76" t="s">
        <v>12</v>
      </c>
      <c r="T106" s="524" t="s">
        <v>11</v>
      </c>
      <c r="U106" s="62">
        <f>0+U86+U66+U46+U26</f>
        <v>6</v>
      </c>
      <c r="V106" s="62">
        <f t="shared" si="121"/>
        <v>8</v>
      </c>
      <c r="W106" s="62"/>
      <c r="X106" s="74" t="s">
        <v>44</v>
      </c>
      <c r="Y106" s="7"/>
      <c r="Z106" s="7"/>
      <c r="AA106" s="7"/>
      <c r="AB106" s="13"/>
      <c r="AC106" s="13"/>
      <c r="AD106" s="13"/>
    </row>
    <row r="107" ht="14.25">
      <c r="A107" s="206" t="s">
        <v>51</v>
      </c>
      <c r="B107" s="76"/>
      <c r="C107" s="324">
        <v>11</v>
      </c>
      <c r="D107" s="466"/>
      <c r="E107" s="467"/>
      <c r="F107" s="67"/>
      <c r="G107" s="330"/>
      <c r="H107" s="72"/>
      <c r="I107" s="329">
        <v>11</v>
      </c>
      <c r="J107" s="77"/>
      <c r="K107" s="329"/>
      <c r="L107" s="77"/>
      <c r="M107" s="329"/>
      <c r="N107" s="466"/>
      <c r="O107" s="525"/>
      <c r="P107" s="285">
        <f t="shared" si="114"/>
        <v>22</v>
      </c>
      <c r="Q107" s="62">
        <f t="shared" si="119"/>
        <v>0</v>
      </c>
      <c r="R107" s="219" t="str">
        <f t="shared" si="115"/>
        <v>Истрашкин</v>
      </c>
      <c r="S107" s="76" t="s">
        <v>10</v>
      </c>
      <c r="T107" s="524" t="s">
        <v>9</v>
      </c>
      <c r="U107" s="62">
        <f>2+U87+U67+U47+U27</f>
        <v>8</v>
      </c>
      <c r="V107" s="62">
        <f>0+V87+V67+V47+V27</f>
        <v>8</v>
      </c>
      <c r="W107" s="62"/>
      <c r="X107" s="299" t="s">
        <v>34</v>
      </c>
      <c r="Y107" s="7"/>
      <c r="Z107" s="7"/>
      <c r="AA107" s="7"/>
      <c r="AB107" s="13"/>
      <c r="AC107" s="13"/>
      <c r="AD107" s="13"/>
    </row>
    <row r="108" ht="14.25">
      <c r="A108" s="284"/>
      <c r="B108" s="500">
        <v>46139</v>
      </c>
      <c r="C108" s="500"/>
      <c r="D108" s="526">
        <v>46140</v>
      </c>
      <c r="E108" s="526"/>
      <c r="F108" s="500">
        <v>46141</v>
      </c>
      <c r="G108" s="500"/>
      <c r="H108" s="500">
        <v>46142</v>
      </c>
      <c r="I108" s="500"/>
      <c r="J108" s="527">
        <v>46143</v>
      </c>
      <c r="K108" s="527"/>
      <c r="L108" s="527">
        <v>46144</v>
      </c>
      <c r="M108" s="527"/>
      <c r="N108" s="526">
        <v>46145</v>
      </c>
      <c r="O108" s="528"/>
      <c r="P108" s="285"/>
      <c r="Q108" s="254"/>
      <c r="R108" s="207"/>
      <c r="S108" s="138"/>
      <c r="T108" s="138"/>
      <c r="U108" s="60" t="s">
        <v>27</v>
      </c>
      <c r="V108" s="61" t="s">
        <v>28</v>
      </c>
      <c r="W108" s="286" t="s">
        <v>29</v>
      </c>
      <c r="X108" s="87"/>
      <c r="Y108" s="7"/>
      <c r="Z108" s="7"/>
      <c r="AA108" s="7"/>
      <c r="AB108" s="13"/>
      <c r="AC108" s="13"/>
      <c r="AD108" s="13"/>
    </row>
    <row r="109" ht="14.25">
      <c r="A109" s="139"/>
      <c r="B109" s="529"/>
      <c r="C109" s="529"/>
      <c r="D109" s="529"/>
      <c r="E109" s="529"/>
      <c r="F109" s="529"/>
      <c r="G109" s="529"/>
      <c r="H109" s="529"/>
      <c r="I109" s="530"/>
      <c r="J109" s="529"/>
      <c r="K109" s="529"/>
      <c r="L109" s="529"/>
      <c r="M109" s="529"/>
      <c r="N109" s="529"/>
      <c r="O109" s="529"/>
      <c r="P109" s="139"/>
      <c r="Q109" s="127"/>
      <c r="R109" s="139"/>
      <c r="S109" s="139"/>
      <c r="T109" s="139"/>
      <c r="U109" s="127"/>
      <c r="V109" s="127"/>
      <c r="W109" s="128"/>
      <c r="X109" s="87"/>
      <c r="Y109" s="7"/>
      <c r="Z109" s="7"/>
      <c r="AA109" s="7"/>
      <c r="AB109" s="13"/>
      <c r="AC109" s="13"/>
      <c r="AD109" s="13"/>
    </row>
    <row r="110" ht="14.25">
      <c r="A110" s="7"/>
      <c r="B110" s="7"/>
      <c r="C110" s="7"/>
      <c r="D110" s="7"/>
      <c r="E110" s="7"/>
      <c r="F110" s="7"/>
      <c r="G110" s="7"/>
      <c r="H110" s="7"/>
      <c r="I110" s="153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Y110" s="7"/>
      <c r="Z110" s="7"/>
      <c r="AA110" s="7"/>
      <c r="AB110" s="13"/>
      <c r="AC110" s="13"/>
      <c r="AD110" s="13"/>
    </row>
    <row r="111" ht="14.25">
      <c r="A111" s="7"/>
      <c r="B111" s="7"/>
      <c r="C111" s="7"/>
      <c r="D111" s="7"/>
      <c r="E111" s="7"/>
      <c r="F111" s="7"/>
      <c r="G111" s="7"/>
      <c r="H111" s="7"/>
      <c r="I111" s="153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25">
      <c r="A112" s="7"/>
      <c r="B112" s="7"/>
      <c r="C112" s="7"/>
      <c r="D112" s="7"/>
      <c r="E112" s="7"/>
      <c r="F112" s="7"/>
      <c r="G112" s="7"/>
      <c r="H112" s="7"/>
      <c r="I112" s="153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25">
      <c r="A113" s="7"/>
      <c r="B113" s="7"/>
      <c r="C113" s="7"/>
      <c r="D113" s="7"/>
      <c r="E113" s="7"/>
      <c r="F113" s="7"/>
      <c r="G113" s="7"/>
      <c r="H113" s="7"/>
      <c r="I113" s="153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25">
      <c r="A114" s="7"/>
      <c r="B114" s="7"/>
      <c r="C114" s="7"/>
      <c r="D114" s="7"/>
      <c r="E114" s="7"/>
      <c r="F114" s="7"/>
      <c r="G114" s="7"/>
      <c r="H114" s="7"/>
      <c r="I114" s="153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25">
      <c r="A115" s="7"/>
      <c r="B115" s="7"/>
      <c r="C115" s="7"/>
      <c r="D115" s="7"/>
      <c r="E115" s="7"/>
      <c r="F115" s="7"/>
      <c r="G115" s="7"/>
      <c r="H115" s="7"/>
      <c r="I115" s="153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25">
      <c r="A116" s="7"/>
      <c r="B116" s="7"/>
      <c r="C116" s="7"/>
      <c r="D116" s="7"/>
      <c r="E116" s="7"/>
      <c r="F116" s="7"/>
      <c r="G116" s="7"/>
      <c r="H116" s="7"/>
      <c r="I116" s="153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25">
      <c r="A117" s="7"/>
      <c r="B117" s="7"/>
      <c r="C117" s="7"/>
      <c r="D117" s="7"/>
      <c r="E117" s="7"/>
      <c r="F117" s="7"/>
      <c r="G117" s="7"/>
      <c r="H117" s="7"/>
      <c r="I117" s="153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25">
      <c r="A118" s="7"/>
      <c r="B118" s="7"/>
      <c r="C118" s="7"/>
      <c r="D118" s="7"/>
      <c r="E118" s="7"/>
      <c r="F118" s="7"/>
      <c r="G118" s="7"/>
      <c r="H118" s="7"/>
      <c r="I118" s="153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25">
      <c r="A119" s="7"/>
      <c r="B119" s="7"/>
      <c r="C119" s="7"/>
      <c r="D119" s="7"/>
      <c r="E119" s="7"/>
      <c r="F119" s="7"/>
      <c r="G119" s="7"/>
      <c r="H119" s="7"/>
      <c r="I119" s="153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25">
      <c r="A120" s="7"/>
      <c r="B120" s="7"/>
      <c r="C120" s="7"/>
      <c r="D120" s="7"/>
      <c r="E120" s="7"/>
      <c r="F120" s="7"/>
      <c r="G120" s="7"/>
      <c r="H120" s="7"/>
      <c r="I120" s="153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25">
      <c r="A121" s="7"/>
      <c r="B121" s="7"/>
      <c r="C121" s="7"/>
      <c r="D121" s="7"/>
      <c r="E121" s="7"/>
      <c r="F121" s="7"/>
      <c r="G121" s="7"/>
      <c r="H121" s="7"/>
      <c r="I121" s="153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25">
      <c r="A122" s="7"/>
      <c r="B122" s="7"/>
      <c r="C122" s="7"/>
      <c r="D122" s="7"/>
      <c r="E122" s="7"/>
      <c r="F122" s="7"/>
      <c r="G122" s="7"/>
      <c r="H122" s="7"/>
      <c r="I122" s="153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25">
      <c r="A123" s="7"/>
      <c r="B123" s="7"/>
      <c r="C123" s="7"/>
      <c r="D123" s="7"/>
      <c r="E123" s="7"/>
      <c r="F123" s="7"/>
      <c r="G123" s="7"/>
      <c r="H123" s="7"/>
      <c r="I123" s="153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25">
      <c r="A124" s="7"/>
      <c r="B124" s="7"/>
      <c r="C124" s="7"/>
      <c r="D124" s="7"/>
      <c r="E124" s="7"/>
      <c r="F124" s="7"/>
      <c r="G124" s="7"/>
      <c r="H124" s="7"/>
      <c r="I124" s="153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25">
      <c r="A125" s="7"/>
      <c r="B125" s="7"/>
      <c r="C125" s="7"/>
      <c r="D125" s="7"/>
      <c r="E125" s="7"/>
      <c r="F125" s="7"/>
      <c r="G125" s="7"/>
      <c r="H125" s="7"/>
      <c r="I125" s="153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25">
      <c r="A126" s="7"/>
      <c r="B126" s="7"/>
      <c r="C126" s="7"/>
      <c r="D126" s="7"/>
      <c r="E126" s="7"/>
      <c r="F126" s="7"/>
      <c r="G126" s="7"/>
      <c r="H126" s="7"/>
      <c r="I126" s="153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25">
      <c r="A127" s="7"/>
      <c r="B127" s="7"/>
      <c r="C127" s="7"/>
      <c r="D127" s="7"/>
      <c r="E127" s="7"/>
      <c r="F127" s="7"/>
      <c r="G127" s="7"/>
      <c r="H127" s="7"/>
      <c r="I127" s="153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25">
      <c r="A128" s="7"/>
      <c r="B128" s="7"/>
      <c r="C128" s="7"/>
      <c r="D128" s="7"/>
      <c r="E128" s="7"/>
      <c r="F128" s="7"/>
      <c r="G128" s="7"/>
      <c r="H128" s="7"/>
      <c r="I128" s="153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25">
      <c r="A129" s="7"/>
      <c r="B129" s="7"/>
      <c r="C129" s="7"/>
      <c r="D129" s="7"/>
      <c r="E129" s="7"/>
      <c r="F129" s="7"/>
      <c r="G129" s="7"/>
      <c r="H129" s="7"/>
      <c r="I129" s="153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25">
      <c r="A130" s="7"/>
      <c r="B130" s="7"/>
      <c r="C130" s="7"/>
      <c r="D130" s="7"/>
      <c r="E130" s="7"/>
      <c r="F130" s="7"/>
      <c r="G130" s="7"/>
      <c r="H130" s="7"/>
      <c r="I130" s="153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25">
      <c r="A131" s="7"/>
      <c r="B131" s="7"/>
      <c r="C131" s="7"/>
      <c r="D131" s="7"/>
      <c r="E131" s="7"/>
      <c r="F131" s="7"/>
      <c r="G131" s="7"/>
      <c r="H131" s="7"/>
      <c r="I131" s="153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25">
      <c r="A132" s="7"/>
      <c r="B132" s="7"/>
      <c r="C132" s="7"/>
      <c r="D132" s="7"/>
      <c r="E132" s="7"/>
      <c r="F132" s="7"/>
      <c r="G132" s="7"/>
      <c r="H132" s="7"/>
      <c r="I132" s="153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25">
      <c r="A133" s="7"/>
      <c r="B133" s="7"/>
      <c r="C133" s="7"/>
      <c r="D133" s="7"/>
      <c r="E133" s="7"/>
      <c r="F133" s="7"/>
      <c r="G133" s="7"/>
      <c r="H133" s="7"/>
      <c r="I133" s="153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25">
      <c r="A134" s="7"/>
      <c r="B134" s="7"/>
      <c r="C134" s="7"/>
      <c r="D134" s="7"/>
      <c r="E134" s="7"/>
      <c r="F134" s="7"/>
      <c r="G134" s="7"/>
      <c r="H134" s="7"/>
      <c r="I134" s="153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25">
      <c r="A135" s="7"/>
      <c r="B135" s="7"/>
      <c r="C135" s="7"/>
      <c r="D135" s="7"/>
      <c r="E135" s="7"/>
      <c r="F135" s="7"/>
      <c r="G135" s="7"/>
      <c r="H135" s="7"/>
      <c r="I135" s="153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25">
      <c r="A136" s="7"/>
      <c r="B136" s="7"/>
      <c r="C136" s="7"/>
      <c r="D136" s="7"/>
      <c r="E136" s="7"/>
      <c r="F136" s="7"/>
      <c r="G136" s="7"/>
      <c r="H136" s="7"/>
      <c r="I136" s="153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25">
      <c r="A137" s="7"/>
      <c r="B137" s="7"/>
      <c r="C137" s="7"/>
      <c r="D137" s="7"/>
      <c r="E137" s="7"/>
      <c r="F137" s="7"/>
      <c r="G137" s="7"/>
      <c r="H137" s="7"/>
      <c r="I137" s="153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153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153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153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153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153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153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153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153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153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153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153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153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153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153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153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153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153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153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153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153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153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153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153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153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153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153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153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153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153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153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153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153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153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153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153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153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153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153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153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153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153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153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153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153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153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153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153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153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153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153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153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153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153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153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153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153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153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153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153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153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153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153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153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153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153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153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153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153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153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153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153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153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153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153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153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153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153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153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153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153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153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153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153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153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153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153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153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153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153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153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153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153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153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153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153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153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153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153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153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153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153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153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153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153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153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153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153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153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153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153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153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153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153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153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153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153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153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153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153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153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153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153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153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153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153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153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153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153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153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153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153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153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153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153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153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153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153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153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153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153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153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153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153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153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153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153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153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153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153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153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153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153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153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153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153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153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153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153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153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153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153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153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153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153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153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153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153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153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153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153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153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153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153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153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153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153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153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153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153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153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153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153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153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153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153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153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153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153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153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153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153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153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153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153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153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153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153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153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153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153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153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153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153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153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153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153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153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153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153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153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153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153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153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153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153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153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153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153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153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153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153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153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153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153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153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153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153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153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153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153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153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153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153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153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153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153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153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153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153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153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153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153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153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153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153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153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153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153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153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153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153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153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153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153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153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153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153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153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153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153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153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153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153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153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153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153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153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153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153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153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153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153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153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153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153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153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153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153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153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153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153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153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153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153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153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153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153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153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153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153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153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153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153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153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153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153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153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153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153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153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153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153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153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153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153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153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153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153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153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153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153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153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153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153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153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153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153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153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153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153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153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153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153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153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153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153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153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153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153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153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153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153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153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153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153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153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153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153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153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153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153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153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153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153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153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153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153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153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153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153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153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153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153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153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153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153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153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153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153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153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153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153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153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153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153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153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153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153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153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153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153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153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153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153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153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153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153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153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153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153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153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153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153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153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153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153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153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153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153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153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153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153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153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153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153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153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153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153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153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153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153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153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153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153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153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153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153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153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153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153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153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153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153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153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153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153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153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153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153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153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153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153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153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153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153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153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153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153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153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153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153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153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153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153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153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153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153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153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153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153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153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153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153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153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153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153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153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153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153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153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153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153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153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153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153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153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153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153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153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153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153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153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153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153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153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153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153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153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153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153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153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7"/>
      <c r="B609" s="7"/>
      <c r="C609" s="7"/>
      <c r="D609" s="7"/>
      <c r="E609" s="7"/>
      <c r="F609" s="7"/>
      <c r="G609" s="7"/>
      <c r="H609" s="7"/>
      <c r="I609" s="153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7"/>
      <c r="B610" s="7"/>
      <c r="C610" s="7"/>
      <c r="D610" s="7"/>
      <c r="E610" s="7"/>
      <c r="F610" s="7"/>
      <c r="G610" s="7"/>
      <c r="H610" s="7"/>
      <c r="I610" s="153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7"/>
      <c r="B611" s="7"/>
      <c r="C611" s="7"/>
      <c r="D611" s="7"/>
      <c r="E611" s="7"/>
      <c r="F611" s="7"/>
      <c r="G611" s="7"/>
      <c r="H611" s="7"/>
      <c r="I611" s="153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7"/>
      <c r="B612" s="7"/>
      <c r="C612" s="7"/>
      <c r="D612" s="7"/>
      <c r="E612" s="7"/>
      <c r="F612" s="7"/>
      <c r="G612" s="7"/>
      <c r="H612" s="7"/>
      <c r="I612" s="153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7"/>
      <c r="B613" s="7"/>
      <c r="C613" s="7"/>
      <c r="D613" s="7"/>
      <c r="E613" s="7"/>
      <c r="F613" s="7"/>
      <c r="G613" s="7"/>
      <c r="H613" s="7"/>
      <c r="I613" s="153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7"/>
      <c r="B614" s="7"/>
      <c r="C614" s="7"/>
      <c r="D614" s="7"/>
      <c r="E614" s="7"/>
      <c r="F614" s="7"/>
      <c r="G614" s="7"/>
      <c r="H614" s="7"/>
      <c r="I614" s="153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7"/>
      <c r="B615" s="7"/>
      <c r="C615" s="7"/>
      <c r="D615" s="7"/>
      <c r="E615" s="7"/>
      <c r="F615" s="7"/>
      <c r="G615" s="7"/>
      <c r="H615" s="7"/>
      <c r="I615" s="153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7"/>
      <c r="B616" s="7"/>
      <c r="C616" s="7"/>
      <c r="D616" s="7"/>
      <c r="E616" s="7"/>
      <c r="F616" s="7"/>
      <c r="G616" s="7"/>
      <c r="H616" s="7"/>
      <c r="I616" s="153"/>
      <c r="J616" s="7"/>
      <c r="K616" s="7"/>
      <c r="L616" s="7"/>
      <c r="M616" s="7"/>
      <c r="N616" s="7"/>
      <c r="O616" s="7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7"/>
      <c r="B617" s="7"/>
      <c r="C617" s="7"/>
      <c r="D617" s="7"/>
      <c r="E617" s="7"/>
      <c r="F617" s="7"/>
      <c r="G617" s="7"/>
      <c r="H617" s="7"/>
      <c r="I617" s="153"/>
      <c r="J617" s="7"/>
      <c r="K617" s="7"/>
      <c r="L617" s="7"/>
      <c r="M617" s="7"/>
      <c r="N617" s="7"/>
      <c r="O617" s="7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7"/>
      <c r="B618" s="7"/>
      <c r="C618" s="7"/>
      <c r="D618" s="7"/>
      <c r="E618" s="7"/>
      <c r="F618" s="7"/>
      <c r="G618" s="7"/>
      <c r="H618" s="7"/>
      <c r="I618" s="153"/>
      <c r="J618" s="7"/>
      <c r="K618" s="7"/>
      <c r="L618" s="7"/>
      <c r="M618" s="7"/>
      <c r="N618" s="7"/>
      <c r="O618" s="7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7"/>
      <c r="B619" s="7"/>
      <c r="C619" s="7"/>
      <c r="D619" s="7"/>
      <c r="E619" s="7"/>
      <c r="F619" s="7"/>
      <c r="G619" s="7"/>
      <c r="H619" s="7"/>
      <c r="I619" s="153"/>
      <c r="J619" s="7"/>
      <c r="K619" s="7"/>
      <c r="L619" s="7"/>
      <c r="M619" s="7"/>
      <c r="N619" s="7"/>
      <c r="O619" s="7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7"/>
      <c r="B620" s="7"/>
      <c r="C620" s="7"/>
      <c r="D620" s="7"/>
      <c r="E620" s="7"/>
      <c r="F620" s="7"/>
      <c r="G620" s="7"/>
      <c r="H620" s="7"/>
      <c r="I620" s="153"/>
      <c r="J620" s="7"/>
      <c r="K620" s="7"/>
      <c r="L620" s="7"/>
      <c r="M620" s="7"/>
      <c r="N620" s="7"/>
      <c r="O620" s="7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7"/>
      <c r="B621" s="7"/>
      <c r="C621" s="7"/>
      <c r="D621" s="7"/>
      <c r="E621" s="7"/>
      <c r="F621" s="7"/>
      <c r="G621" s="7"/>
      <c r="H621" s="7"/>
      <c r="I621" s="153"/>
      <c r="J621" s="7"/>
      <c r="K621" s="7"/>
      <c r="L621" s="7"/>
      <c r="M621" s="7"/>
      <c r="N621" s="7"/>
      <c r="O621" s="7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7"/>
      <c r="B622" s="7"/>
      <c r="C622" s="7"/>
      <c r="D622" s="7"/>
      <c r="E622" s="7"/>
      <c r="F622" s="7"/>
      <c r="G622" s="7"/>
      <c r="H622" s="7"/>
      <c r="I622" s="153"/>
      <c r="J622" s="7"/>
      <c r="K622" s="7"/>
      <c r="L622" s="7"/>
      <c r="M622" s="7"/>
      <c r="N622" s="7"/>
      <c r="O622" s="7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7"/>
      <c r="B623" s="7"/>
      <c r="C623" s="7"/>
      <c r="D623" s="7"/>
      <c r="E623" s="7"/>
      <c r="F623" s="7"/>
      <c r="G623" s="7"/>
      <c r="H623" s="7"/>
      <c r="I623" s="153"/>
      <c r="J623" s="7"/>
      <c r="K623" s="7"/>
      <c r="L623" s="7"/>
      <c r="M623" s="7"/>
      <c r="N623" s="7"/>
      <c r="O623" s="7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7"/>
      <c r="B624" s="7"/>
      <c r="C624" s="7"/>
      <c r="D624" s="7"/>
      <c r="E624" s="7"/>
      <c r="F624" s="7"/>
      <c r="G624" s="7"/>
      <c r="H624" s="7"/>
      <c r="I624" s="153"/>
      <c r="J624" s="7"/>
      <c r="K624" s="7"/>
      <c r="L624" s="7"/>
      <c r="M624" s="7"/>
      <c r="N624" s="7"/>
      <c r="O624" s="7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7"/>
      <c r="B625" s="7"/>
      <c r="C625" s="7"/>
      <c r="D625" s="7"/>
      <c r="E625" s="7"/>
      <c r="F625" s="7"/>
      <c r="G625" s="7"/>
      <c r="H625" s="7"/>
      <c r="I625" s="153"/>
      <c r="J625" s="7"/>
      <c r="K625" s="7"/>
      <c r="L625" s="7"/>
      <c r="M625" s="7"/>
      <c r="N625" s="7"/>
      <c r="O625" s="7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7"/>
      <c r="B626" s="7"/>
      <c r="C626" s="7"/>
      <c r="D626" s="7"/>
      <c r="E626" s="7"/>
      <c r="F626" s="7"/>
      <c r="G626" s="7"/>
      <c r="H626" s="7"/>
      <c r="I626" s="153"/>
      <c r="J626" s="7"/>
      <c r="K626" s="7"/>
      <c r="L626" s="7"/>
      <c r="M626" s="7"/>
      <c r="N626" s="7"/>
      <c r="O626" s="7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7"/>
      <c r="B627" s="7"/>
      <c r="C627" s="7"/>
      <c r="D627" s="7"/>
      <c r="E627" s="7"/>
      <c r="F627" s="7"/>
      <c r="G627" s="7"/>
      <c r="H627" s="7"/>
      <c r="I627" s="153"/>
      <c r="J627" s="7"/>
      <c r="K627" s="7"/>
      <c r="L627" s="7"/>
      <c r="M627" s="7"/>
      <c r="N627" s="7"/>
      <c r="O627" s="7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7"/>
      <c r="B628" s="7"/>
      <c r="C628" s="7"/>
      <c r="D628" s="7"/>
      <c r="E628" s="7"/>
      <c r="F628" s="7"/>
      <c r="G628" s="7"/>
      <c r="H628" s="7"/>
      <c r="I628" s="153"/>
      <c r="J628" s="7"/>
      <c r="K628" s="7"/>
      <c r="L628" s="7"/>
      <c r="M628" s="7"/>
      <c r="N628" s="7"/>
      <c r="O628" s="7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7"/>
      <c r="B629" s="7"/>
      <c r="C629" s="7"/>
      <c r="D629" s="7"/>
      <c r="E629" s="7"/>
      <c r="F629" s="7"/>
      <c r="G629" s="7"/>
      <c r="H629" s="7"/>
      <c r="I629" s="153"/>
      <c r="J629" s="7"/>
      <c r="K629" s="7"/>
      <c r="L629" s="7"/>
      <c r="M629" s="7"/>
      <c r="N629" s="7"/>
      <c r="O629" s="7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7"/>
      <c r="B630" s="7"/>
      <c r="C630" s="7"/>
      <c r="D630" s="7"/>
      <c r="E630" s="7"/>
      <c r="F630" s="7"/>
      <c r="G630" s="7"/>
      <c r="H630" s="7"/>
      <c r="I630" s="153"/>
      <c r="J630" s="7"/>
      <c r="K630" s="7"/>
      <c r="L630" s="7"/>
      <c r="M630" s="7"/>
      <c r="N630" s="7"/>
      <c r="O630" s="7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7"/>
      <c r="B631" s="7"/>
      <c r="C631" s="7"/>
      <c r="D631" s="7"/>
      <c r="E631" s="7"/>
      <c r="F631" s="7"/>
      <c r="G631" s="7"/>
      <c r="H631" s="7"/>
      <c r="I631" s="153"/>
      <c r="J631" s="7"/>
      <c r="K631" s="7"/>
      <c r="L631" s="7"/>
      <c r="M631" s="7"/>
      <c r="N631" s="7"/>
      <c r="O631" s="7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7"/>
      <c r="B632" s="7"/>
      <c r="C632" s="7"/>
      <c r="D632" s="7"/>
      <c r="E632" s="7"/>
      <c r="F632" s="7"/>
      <c r="G632" s="7"/>
      <c r="H632" s="7"/>
      <c r="I632" s="153"/>
      <c r="J632" s="7"/>
      <c r="K632" s="7"/>
      <c r="L632" s="7"/>
      <c r="M632" s="7"/>
      <c r="N632" s="7"/>
      <c r="O632" s="7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7"/>
      <c r="B633" s="7"/>
      <c r="C633" s="7"/>
      <c r="D633" s="7"/>
      <c r="E633" s="7"/>
      <c r="F633" s="7"/>
      <c r="G633" s="7"/>
      <c r="H633" s="7"/>
      <c r="I633" s="153"/>
      <c r="J633" s="7"/>
      <c r="K633" s="7"/>
      <c r="L633" s="7"/>
      <c r="M633" s="7"/>
      <c r="N633" s="7"/>
      <c r="O633" s="7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7"/>
      <c r="B634" s="7"/>
      <c r="C634" s="7"/>
      <c r="D634" s="7"/>
      <c r="E634" s="7"/>
      <c r="F634" s="7"/>
      <c r="G634" s="7"/>
      <c r="H634" s="7"/>
      <c r="I634" s="153"/>
      <c r="J634" s="7"/>
      <c r="K634" s="7"/>
      <c r="L634" s="7"/>
      <c r="M634" s="7"/>
      <c r="N634" s="7"/>
      <c r="O634" s="7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7"/>
      <c r="B635" s="7"/>
      <c r="C635" s="7"/>
      <c r="D635" s="7"/>
      <c r="E635" s="7"/>
      <c r="F635" s="7"/>
      <c r="G635" s="7"/>
      <c r="H635" s="7"/>
      <c r="I635" s="153"/>
      <c r="J635" s="7"/>
      <c r="K635" s="7"/>
      <c r="L635" s="7"/>
      <c r="M635" s="7"/>
      <c r="N635" s="7"/>
      <c r="O635" s="7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7"/>
      <c r="B636" s="7"/>
      <c r="C636" s="7"/>
      <c r="D636" s="7"/>
      <c r="E636" s="7"/>
      <c r="F636" s="7"/>
      <c r="G636" s="7"/>
      <c r="H636" s="7"/>
      <c r="I636" s="153"/>
      <c r="J636" s="7"/>
      <c r="K636" s="7"/>
      <c r="L636" s="7"/>
      <c r="M636" s="7"/>
      <c r="N636" s="7"/>
      <c r="O636" s="7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7"/>
      <c r="B637" s="7"/>
      <c r="C637" s="7"/>
      <c r="D637" s="7"/>
      <c r="E637" s="7"/>
      <c r="F637" s="7"/>
      <c r="G637" s="7"/>
      <c r="H637" s="7"/>
      <c r="I637" s="153"/>
      <c r="J637" s="7"/>
      <c r="K637" s="7"/>
      <c r="L637" s="7"/>
      <c r="M637" s="7"/>
      <c r="N637" s="7"/>
      <c r="O637" s="7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7"/>
      <c r="B638" s="7"/>
      <c r="C638" s="7"/>
      <c r="D638" s="7"/>
      <c r="E638" s="7"/>
      <c r="F638" s="7"/>
      <c r="G638" s="7"/>
      <c r="H638" s="7"/>
      <c r="I638" s="153"/>
      <c r="J638" s="7"/>
      <c r="K638" s="7"/>
      <c r="L638" s="7"/>
      <c r="M638" s="7"/>
      <c r="N638" s="7"/>
      <c r="O638" s="7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7"/>
      <c r="B639" s="7"/>
      <c r="C639" s="7"/>
      <c r="D639" s="7"/>
      <c r="E639" s="7"/>
      <c r="F639" s="7"/>
      <c r="G639" s="7"/>
      <c r="H639" s="7"/>
      <c r="I639" s="153"/>
      <c r="J639" s="7"/>
      <c r="K639" s="7"/>
      <c r="L639" s="7"/>
      <c r="M639" s="7"/>
      <c r="N639" s="7"/>
      <c r="O639" s="7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7"/>
      <c r="B640" s="7"/>
      <c r="C640" s="7"/>
      <c r="D640" s="7"/>
      <c r="E640" s="7"/>
      <c r="F640" s="7"/>
      <c r="G640" s="7"/>
      <c r="H640" s="7"/>
      <c r="I640" s="153"/>
      <c r="J640" s="7"/>
      <c r="K640" s="7"/>
      <c r="L640" s="7"/>
      <c r="M640" s="7"/>
      <c r="N640" s="7"/>
      <c r="O640" s="7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7"/>
      <c r="B641" s="7"/>
      <c r="C641" s="7"/>
      <c r="D641" s="7"/>
      <c r="E641" s="7"/>
      <c r="F641" s="7"/>
      <c r="G641" s="7"/>
      <c r="H641" s="7"/>
      <c r="I641" s="153"/>
      <c r="J641" s="7"/>
      <c r="K641" s="7"/>
      <c r="L641" s="7"/>
      <c r="M641" s="7"/>
      <c r="N641" s="7"/>
      <c r="O641" s="7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7"/>
      <c r="B642" s="7"/>
      <c r="C642" s="7"/>
      <c r="D642" s="7"/>
      <c r="E642" s="7"/>
      <c r="F642" s="7"/>
      <c r="G642" s="7"/>
      <c r="H642" s="7"/>
      <c r="I642" s="153"/>
      <c r="J642" s="7"/>
      <c r="K642" s="7"/>
      <c r="L642" s="7"/>
      <c r="M642" s="7"/>
      <c r="N642" s="7"/>
      <c r="O642" s="7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7"/>
      <c r="B643" s="7"/>
      <c r="C643" s="7"/>
      <c r="D643" s="7"/>
      <c r="E643" s="7"/>
      <c r="F643" s="7"/>
      <c r="G643" s="7"/>
      <c r="H643" s="7"/>
      <c r="I643" s="153"/>
      <c r="J643" s="7"/>
      <c r="K643" s="7"/>
      <c r="L643" s="7"/>
      <c r="M643" s="7"/>
      <c r="N643" s="7"/>
      <c r="O643" s="7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7"/>
      <c r="B644" s="7"/>
      <c r="C644" s="7"/>
      <c r="D644" s="7"/>
      <c r="E644" s="7"/>
      <c r="F644" s="7"/>
      <c r="G644" s="7"/>
      <c r="H644" s="7"/>
      <c r="I644" s="153"/>
      <c r="J644" s="7"/>
      <c r="K644" s="7"/>
      <c r="L644" s="7"/>
      <c r="M644" s="7"/>
      <c r="N644" s="7"/>
      <c r="O644" s="7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7"/>
      <c r="B645" s="7"/>
      <c r="C645" s="7"/>
      <c r="D645" s="7"/>
      <c r="E645" s="7"/>
      <c r="F645" s="7"/>
      <c r="G645" s="7"/>
      <c r="H645" s="7"/>
      <c r="I645" s="153"/>
      <c r="J645" s="7"/>
      <c r="K645" s="7"/>
      <c r="L645" s="7"/>
      <c r="M645" s="7"/>
      <c r="N645" s="7"/>
      <c r="O645" s="7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7"/>
      <c r="B646" s="7"/>
      <c r="C646" s="7"/>
      <c r="D646" s="7"/>
      <c r="E646" s="7"/>
      <c r="F646" s="7"/>
      <c r="G646" s="7"/>
      <c r="H646" s="7"/>
      <c r="I646" s="153"/>
      <c r="J646" s="7"/>
      <c r="K646" s="7"/>
      <c r="L646" s="7"/>
      <c r="M646" s="7"/>
      <c r="N646" s="7"/>
      <c r="O646" s="7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21"/>
      <c r="B647" s="21"/>
      <c r="C647" s="21"/>
      <c r="D647" s="21"/>
      <c r="E647" s="21"/>
      <c r="F647" s="21"/>
      <c r="G647" s="21"/>
      <c r="H647" s="21"/>
      <c r="I647" s="154"/>
      <c r="J647" s="21"/>
      <c r="K647" s="21"/>
      <c r="L647" s="21"/>
      <c r="M647" s="21"/>
      <c r="N647" s="21"/>
      <c r="O647" s="21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 ht="14.4">
      <c r="A648" s="21"/>
      <c r="B648" s="21"/>
      <c r="C648" s="21"/>
      <c r="D648" s="21"/>
      <c r="E648" s="21"/>
      <c r="F648" s="21"/>
      <c r="G648" s="21"/>
      <c r="H648" s="21"/>
      <c r="I648" s="154"/>
      <c r="J648" s="21"/>
      <c r="K648" s="21"/>
      <c r="L648" s="21"/>
      <c r="M648" s="21"/>
      <c r="N648" s="21"/>
      <c r="O648" s="21"/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 ht="14.4">
      <c r="A649" s="21"/>
      <c r="B649" s="21"/>
      <c r="C649" s="21"/>
      <c r="D649" s="21"/>
      <c r="E649" s="21"/>
      <c r="F649" s="21"/>
      <c r="G649" s="21"/>
      <c r="H649" s="21"/>
      <c r="I649" s="154"/>
      <c r="J649" s="21"/>
      <c r="K649" s="21"/>
      <c r="L649" s="21"/>
      <c r="M649" s="21"/>
      <c r="N649" s="21"/>
      <c r="O649" s="21"/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 ht="14.4">
      <c r="A650" s="21"/>
      <c r="B650" s="21"/>
      <c r="C650" s="21"/>
      <c r="D650" s="21"/>
      <c r="E650" s="21"/>
      <c r="F650" s="21"/>
      <c r="G650" s="21"/>
      <c r="H650" s="21"/>
      <c r="I650" s="154"/>
      <c r="J650" s="21"/>
      <c r="K650" s="21"/>
      <c r="L650" s="21"/>
      <c r="M650" s="21"/>
      <c r="N650" s="21"/>
      <c r="O650" s="21"/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 ht="14.4">
      <c r="A651" s="21"/>
      <c r="B651" s="21"/>
      <c r="C651" s="21"/>
      <c r="D651" s="21"/>
      <c r="E651" s="21"/>
      <c r="F651" s="21"/>
      <c r="G651" s="21"/>
      <c r="H651" s="21"/>
      <c r="I651" s="154"/>
      <c r="J651" s="21"/>
      <c r="K651" s="21"/>
      <c r="L651" s="21"/>
      <c r="M651" s="21"/>
      <c r="N651" s="21"/>
      <c r="O651" s="21"/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 ht="14.4">
      <c r="A652" s="21"/>
      <c r="B652" s="21"/>
      <c r="C652" s="21"/>
      <c r="D652" s="21"/>
      <c r="E652" s="21"/>
      <c r="F652" s="21"/>
      <c r="G652" s="21"/>
      <c r="H652" s="21"/>
      <c r="I652" s="154"/>
      <c r="J652" s="21"/>
      <c r="K652" s="21"/>
      <c r="L652" s="21"/>
      <c r="M652" s="21"/>
      <c r="N652" s="21"/>
      <c r="O652" s="21"/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 ht="14.4">
      <c r="A653" s="21"/>
      <c r="B653" s="21"/>
      <c r="C653" s="21"/>
      <c r="D653" s="21"/>
      <c r="E653" s="21"/>
      <c r="F653" s="21"/>
      <c r="G653" s="21"/>
      <c r="H653" s="21"/>
      <c r="I653" s="154"/>
      <c r="J653" s="21"/>
      <c r="K653" s="21"/>
      <c r="L653" s="21"/>
      <c r="M653" s="21"/>
      <c r="N653" s="21"/>
      <c r="O653" s="21"/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 ht="14.4">
      <c r="A654" s="21"/>
      <c r="B654" s="21"/>
      <c r="C654" s="21"/>
      <c r="D654" s="21"/>
      <c r="E654" s="21"/>
      <c r="F654" s="21"/>
      <c r="G654" s="21"/>
      <c r="H654" s="21"/>
      <c r="I654" s="154"/>
      <c r="J654" s="21"/>
      <c r="K654" s="21"/>
      <c r="L654" s="21"/>
      <c r="M654" s="21"/>
      <c r="N654" s="21"/>
      <c r="O654" s="21"/>
      <c r="P654" s="7"/>
      <c r="Q654" s="153"/>
      <c r="R654" s="7"/>
      <c r="S654" s="7"/>
      <c r="T654" s="7"/>
      <c r="U654" s="153"/>
      <c r="V654" s="153"/>
      <c r="W654" s="12"/>
      <c r="X654" s="7"/>
      <c r="Y654" s="7"/>
      <c r="Z654" s="7"/>
      <c r="AA654" s="7"/>
      <c r="AB654" s="13"/>
      <c r="AC654" s="13"/>
      <c r="AD654" s="13"/>
    </row>
    <row r="655" ht="14.4">
      <c r="A655" s="21"/>
      <c r="B655" s="21"/>
      <c r="C655" s="21"/>
      <c r="D655" s="21"/>
      <c r="E655" s="21"/>
      <c r="F655" s="21"/>
      <c r="G655" s="21"/>
      <c r="H655" s="21"/>
      <c r="I655" s="154"/>
      <c r="J655" s="21"/>
      <c r="K655" s="21"/>
      <c r="L655" s="21"/>
      <c r="M655" s="21"/>
      <c r="N655" s="21"/>
      <c r="O655" s="21"/>
      <c r="P655" s="7"/>
      <c r="Q655" s="153"/>
      <c r="R655" s="7"/>
      <c r="S655" s="7"/>
      <c r="T655" s="7"/>
      <c r="U655" s="153"/>
      <c r="V655" s="153"/>
      <c r="W655" s="12"/>
      <c r="X655" s="7"/>
      <c r="Y655" s="7"/>
      <c r="Z655" s="7"/>
      <c r="AA655" s="7"/>
      <c r="AB655" s="13"/>
      <c r="AC655" s="13"/>
      <c r="AD655" s="13"/>
    </row>
    <row r="656" ht="14.4">
      <c r="A656" s="21"/>
      <c r="B656" s="21"/>
      <c r="C656" s="21"/>
      <c r="D656" s="21"/>
      <c r="E656" s="21"/>
      <c r="F656" s="21"/>
      <c r="G656" s="21"/>
      <c r="H656" s="21"/>
      <c r="I656" s="154"/>
      <c r="J656" s="21"/>
      <c r="K656" s="21"/>
      <c r="L656" s="21"/>
      <c r="M656" s="21"/>
      <c r="N656" s="21"/>
      <c r="O656" s="21"/>
      <c r="P656" s="7"/>
      <c r="Q656" s="153"/>
      <c r="R656" s="7"/>
      <c r="S656" s="7"/>
      <c r="T656" s="7"/>
      <c r="U656" s="153"/>
      <c r="V656" s="153"/>
      <c r="W656" s="12"/>
      <c r="X656" s="7"/>
      <c r="Y656" s="7"/>
      <c r="Z656" s="7"/>
      <c r="AA656" s="7"/>
      <c r="AB656" s="13"/>
      <c r="AC656" s="13"/>
      <c r="AD656" s="13"/>
    </row>
    <row r="657" ht="14.4">
      <c r="A657" s="21"/>
      <c r="B657" s="21"/>
      <c r="C657" s="21"/>
      <c r="D657" s="21"/>
      <c r="E657" s="21"/>
      <c r="F657" s="21"/>
      <c r="G657" s="21"/>
      <c r="H657" s="21"/>
      <c r="I657" s="154"/>
      <c r="J657" s="21"/>
      <c r="K657" s="21"/>
      <c r="L657" s="21"/>
      <c r="M657" s="21"/>
      <c r="N657" s="21"/>
      <c r="O657" s="21"/>
      <c r="P657" s="7"/>
      <c r="Q657" s="153"/>
      <c r="R657" s="7"/>
      <c r="S657" s="7"/>
      <c r="T657" s="7"/>
      <c r="U657" s="153"/>
      <c r="V657" s="153"/>
      <c r="W657" s="12"/>
      <c r="X657" s="7"/>
      <c r="Y657" s="7"/>
      <c r="Z657" s="7"/>
      <c r="AA657" s="7"/>
      <c r="AB657" s="13"/>
      <c r="AC657" s="13"/>
      <c r="AD657" s="13"/>
    </row>
    <row r="658" ht="14.4">
      <c r="A658" s="21"/>
      <c r="B658" s="21"/>
      <c r="C658" s="21"/>
      <c r="D658" s="21"/>
      <c r="E658" s="21"/>
      <c r="F658" s="21"/>
      <c r="G658" s="21"/>
      <c r="H658" s="21"/>
      <c r="I658" s="154"/>
      <c r="J658" s="21"/>
      <c r="K658" s="21"/>
      <c r="L658" s="21"/>
      <c r="M658" s="21"/>
      <c r="N658" s="21"/>
      <c r="O658" s="21"/>
      <c r="P658" s="7"/>
      <c r="Q658" s="153"/>
      <c r="R658" s="7"/>
      <c r="S658" s="7"/>
      <c r="T658" s="7"/>
      <c r="U658" s="153"/>
      <c r="V658" s="153"/>
      <c r="W658" s="12"/>
      <c r="X658" s="7"/>
      <c r="Y658" s="7"/>
      <c r="Z658" s="7"/>
      <c r="AA658" s="7"/>
      <c r="AB658" s="13"/>
      <c r="AC658" s="13"/>
      <c r="AD658" s="13"/>
    </row>
    <row r="659" ht="14.4">
      <c r="A659" s="21"/>
      <c r="B659" s="21"/>
      <c r="C659" s="21"/>
      <c r="D659" s="21"/>
      <c r="E659" s="21"/>
      <c r="F659" s="21"/>
      <c r="G659" s="21"/>
      <c r="H659" s="21"/>
      <c r="I659" s="154"/>
      <c r="J659" s="21"/>
      <c r="K659" s="21"/>
      <c r="L659" s="21"/>
      <c r="M659" s="21"/>
      <c r="N659" s="21"/>
      <c r="O659" s="21"/>
      <c r="P659" s="7"/>
      <c r="Q659" s="153"/>
      <c r="R659" s="7"/>
      <c r="S659" s="7"/>
      <c r="T659" s="7"/>
      <c r="U659" s="153"/>
      <c r="V659" s="153"/>
      <c r="W659" s="12"/>
      <c r="X659" s="7"/>
      <c r="Y659" s="7"/>
      <c r="Z659" s="7"/>
      <c r="AA659" s="7"/>
      <c r="AB659" s="13"/>
      <c r="AC659" s="13"/>
      <c r="AD659" s="13"/>
    </row>
    <row r="660" ht="14.4">
      <c r="A660" s="21"/>
      <c r="B660" s="21"/>
      <c r="C660" s="21"/>
      <c r="D660" s="21"/>
      <c r="E660" s="21"/>
      <c r="F660" s="21"/>
      <c r="G660" s="21"/>
      <c r="H660" s="21"/>
      <c r="I660" s="154"/>
      <c r="J660" s="21"/>
      <c r="K660" s="21"/>
      <c r="L660" s="21"/>
      <c r="M660" s="21"/>
      <c r="N660" s="21"/>
      <c r="O660" s="21"/>
      <c r="P660" s="7"/>
      <c r="Q660" s="153"/>
      <c r="R660" s="7"/>
      <c r="S660" s="7"/>
      <c r="T660" s="7"/>
      <c r="U660" s="153"/>
      <c r="V660" s="153"/>
      <c r="W660" s="12"/>
      <c r="X660" s="7"/>
      <c r="Y660" s="7"/>
      <c r="Z660" s="7"/>
      <c r="AA660" s="7"/>
      <c r="AB660" s="13"/>
      <c r="AC660" s="13"/>
      <c r="AD660" s="13"/>
    </row>
    <row r="661" ht="14.4">
      <c r="A661" s="21"/>
      <c r="B661" s="21"/>
      <c r="C661" s="21"/>
      <c r="D661" s="21"/>
      <c r="E661" s="21"/>
      <c r="F661" s="21"/>
      <c r="G661" s="21"/>
      <c r="H661" s="21"/>
      <c r="I661" s="154"/>
      <c r="J661" s="21"/>
      <c r="K661" s="21"/>
      <c r="L661" s="21"/>
      <c r="M661" s="21"/>
      <c r="N661" s="21"/>
      <c r="O661" s="21"/>
      <c r="P661" s="7"/>
      <c r="Q661" s="153"/>
      <c r="R661" s="7"/>
      <c r="S661" s="7"/>
      <c r="T661" s="7"/>
      <c r="U661" s="153"/>
      <c r="V661" s="153"/>
      <c r="W661" s="12"/>
      <c r="X661" s="7"/>
      <c r="Y661" s="7"/>
      <c r="Z661" s="7"/>
      <c r="AA661" s="7"/>
      <c r="AB661" s="13"/>
      <c r="AC661" s="13"/>
      <c r="AD661" s="13"/>
    </row>
    <row r="662" ht="14.4">
      <c r="A662" s="21"/>
      <c r="B662" s="21"/>
      <c r="C662" s="21"/>
      <c r="D662" s="21"/>
      <c r="E662" s="21"/>
      <c r="F662" s="21"/>
      <c r="G662" s="21"/>
      <c r="H662" s="21"/>
      <c r="I662" s="154"/>
      <c r="J662" s="21"/>
      <c r="K662" s="21"/>
      <c r="L662" s="21"/>
      <c r="M662" s="21"/>
      <c r="N662" s="21"/>
      <c r="O662" s="21"/>
      <c r="P662" s="7"/>
      <c r="Q662" s="153"/>
      <c r="R662" s="7"/>
      <c r="S662" s="7"/>
      <c r="T662" s="7"/>
      <c r="U662" s="153"/>
      <c r="V662" s="153"/>
      <c r="W662" s="12"/>
      <c r="X662" s="7"/>
      <c r="Y662" s="7"/>
      <c r="Z662" s="7"/>
      <c r="AA662" s="7"/>
      <c r="AB662" s="13"/>
      <c r="AC662" s="13"/>
      <c r="AD662" s="13"/>
    </row>
    <row r="663" ht="14.4">
      <c r="A663" s="21"/>
      <c r="B663" s="21"/>
      <c r="C663" s="21"/>
      <c r="D663" s="21"/>
      <c r="E663" s="21"/>
      <c r="F663" s="21"/>
      <c r="G663" s="21"/>
      <c r="H663" s="21"/>
      <c r="I663" s="154"/>
      <c r="J663" s="21"/>
      <c r="K663" s="21"/>
      <c r="L663" s="21"/>
      <c r="M663" s="21"/>
      <c r="N663" s="21"/>
      <c r="O663" s="21"/>
      <c r="P663" s="7"/>
      <c r="Q663" s="153"/>
      <c r="R663" s="7"/>
      <c r="S663" s="7"/>
      <c r="T663" s="7"/>
      <c r="U663" s="153"/>
      <c r="V663" s="153"/>
      <c r="W663" s="12"/>
      <c r="X663" s="7"/>
      <c r="Y663" s="7"/>
      <c r="Z663" s="7"/>
      <c r="AA663" s="7"/>
      <c r="AB663" s="13"/>
      <c r="AC663" s="13"/>
      <c r="AD663" s="13"/>
    </row>
    <row r="664" ht="14.4">
      <c r="A664" s="21"/>
      <c r="B664" s="21"/>
      <c r="C664" s="21"/>
      <c r="D664" s="21"/>
      <c r="E664" s="21"/>
      <c r="F664" s="21"/>
      <c r="G664" s="21"/>
      <c r="H664" s="21"/>
      <c r="I664" s="154"/>
      <c r="J664" s="21"/>
      <c r="K664" s="21"/>
      <c r="L664" s="21"/>
      <c r="M664" s="21"/>
      <c r="N664" s="21"/>
      <c r="O664" s="21"/>
      <c r="P664" s="7"/>
      <c r="Q664" s="153"/>
      <c r="R664" s="7"/>
      <c r="S664" s="7"/>
      <c r="T664" s="7"/>
      <c r="U664" s="153"/>
      <c r="V664" s="153"/>
      <c r="W664" s="12"/>
      <c r="X664" s="7"/>
      <c r="Y664" s="7"/>
      <c r="Z664" s="7"/>
      <c r="AA664" s="7"/>
      <c r="AB664" s="13"/>
      <c r="AC664" s="13"/>
      <c r="AD664" s="13"/>
    </row>
    <row r="665" ht="14.4">
      <c r="A665" s="21"/>
      <c r="B665" s="21"/>
      <c r="C665" s="21"/>
      <c r="D665" s="21"/>
      <c r="E665" s="21"/>
      <c r="F665" s="21"/>
      <c r="G665" s="21"/>
      <c r="H665" s="21"/>
      <c r="I665" s="154"/>
      <c r="J665" s="21"/>
      <c r="K665" s="21"/>
      <c r="L665" s="21"/>
      <c r="M665" s="21"/>
      <c r="N665" s="21"/>
      <c r="O665" s="21"/>
      <c r="P665" s="7"/>
      <c r="Q665" s="153"/>
      <c r="R665" s="7"/>
      <c r="S665" s="7"/>
      <c r="T665" s="7"/>
      <c r="U665" s="153"/>
      <c r="V665" s="153"/>
      <c r="W665" s="12"/>
      <c r="X665" s="7"/>
      <c r="Y665" s="7"/>
      <c r="Z665" s="7"/>
      <c r="AA665" s="7"/>
      <c r="AB665" s="13"/>
      <c r="AC665" s="13"/>
      <c r="AD665" s="13"/>
    </row>
    <row r="666" ht="14.4">
      <c r="A666" s="21"/>
      <c r="B666" s="21"/>
      <c r="C666" s="21"/>
      <c r="D666" s="21"/>
      <c r="E666" s="21"/>
      <c r="F666" s="21"/>
      <c r="G666" s="21"/>
      <c r="H666" s="21"/>
      <c r="I666" s="154"/>
      <c r="J666" s="21"/>
      <c r="K666" s="21"/>
      <c r="L666" s="21"/>
      <c r="M666" s="21"/>
      <c r="N666" s="21"/>
      <c r="O666" s="21"/>
      <c r="P666" s="7"/>
      <c r="Q666" s="153"/>
      <c r="R666" s="7"/>
      <c r="S666" s="7"/>
      <c r="T666" s="7"/>
      <c r="U666" s="153"/>
      <c r="V666" s="153"/>
      <c r="W666" s="12"/>
      <c r="X666" s="7"/>
      <c r="Y666" s="7"/>
      <c r="Z666" s="7"/>
      <c r="AA666" s="7"/>
      <c r="AB666" s="13"/>
      <c r="AC666" s="13"/>
      <c r="AD666" s="13"/>
    </row>
    <row r="667" ht="14.4">
      <c r="A667" s="21"/>
      <c r="B667" s="21"/>
      <c r="C667" s="21"/>
      <c r="D667" s="21"/>
      <c r="E667" s="21"/>
      <c r="F667" s="21"/>
      <c r="G667" s="21"/>
      <c r="H667" s="21"/>
      <c r="I667" s="154"/>
      <c r="J667" s="21"/>
      <c r="K667" s="21"/>
      <c r="L667" s="21"/>
      <c r="M667" s="21"/>
      <c r="N667" s="21"/>
      <c r="O667" s="21"/>
      <c r="P667" s="7"/>
      <c r="Q667" s="153"/>
      <c r="R667" s="7"/>
      <c r="S667" s="7"/>
      <c r="T667" s="7"/>
      <c r="U667" s="153"/>
      <c r="V667" s="153"/>
      <c r="W667" s="12"/>
      <c r="X667" s="7"/>
      <c r="Y667" s="7"/>
      <c r="Z667" s="7"/>
      <c r="AA667" s="7"/>
      <c r="AB667" s="13"/>
      <c r="AC667" s="13"/>
      <c r="AD667" s="13"/>
    </row>
    <row r="668" ht="14.4">
      <c r="A668" s="21"/>
      <c r="B668" s="21"/>
      <c r="C668" s="21"/>
      <c r="D668" s="21"/>
      <c r="E668" s="21"/>
      <c r="F668" s="21"/>
      <c r="G668" s="21"/>
      <c r="H668" s="21"/>
      <c r="I668" s="154"/>
      <c r="J668" s="21"/>
      <c r="K668" s="21"/>
      <c r="L668" s="21"/>
      <c r="M668" s="21"/>
      <c r="N668" s="21"/>
      <c r="O668" s="21"/>
      <c r="P668" s="7"/>
      <c r="Q668" s="153"/>
      <c r="R668" s="7"/>
      <c r="S668" s="7"/>
      <c r="T668" s="7"/>
      <c r="U668" s="153"/>
      <c r="V668" s="153"/>
      <c r="W668" s="12"/>
      <c r="X668" s="7"/>
      <c r="Y668" s="7"/>
      <c r="Z668" s="7"/>
      <c r="AA668" s="7"/>
      <c r="AB668" s="13"/>
      <c r="AC668" s="13"/>
      <c r="AD668" s="13"/>
    </row>
    <row r="669" ht="14.4">
      <c r="A669" s="21"/>
      <c r="B669" s="21"/>
      <c r="C669" s="21"/>
      <c r="D669" s="21"/>
      <c r="E669" s="21"/>
      <c r="F669" s="21"/>
      <c r="G669" s="21"/>
      <c r="H669" s="21"/>
      <c r="I669" s="154"/>
      <c r="J669" s="21"/>
      <c r="K669" s="21"/>
      <c r="L669" s="21"/>
      <c r="M669" s="21"/>
      <c r="N669" s="21"/>
      <c r="O669" s="21"/>
      <c r="P669" s="7"/>
      <c r="Q669" s="153"/>
      <c r="R669" s="7"/>
      <c r="S669" s="7"/>
      <c r="T669" s="7"/>
      <c r="U669" s="153"/>
      <c r="V669" s="153"/>
      <c r="W669" s="12"/>
      <c r="X669" s="7"/>
      <c r="Y669" s="7"/>
      <c r="Z669" s="7"/>
      <c r="AA669" s="7"/>
      <c r="AB669" s="13"/>
      <c r="AC669" s="13"/>
      <c r="AD669" s="13"/>
    </row>
    <row r="670" ht="14.4">
      <c r="A670" s="21"/>
      <c r="B670" s="21"/>
      <c r="C670" s="21"/>
      <c r="D670" s="21"/>
      <c r="E670" s="21"/>
      <c r="F670" s="21"/>
      <c r="G670" s="21"/>
      <c r="H670" s="21"/>
      <c r="I670" s="154"/>
      <c r="J670" s="21"/>
      <c r="K670" s="21"/>
      <c r="L670" s="21"/>
      <c r="M670" s="21"/>
      <c r="N670" s="21"/>
      <c r="O670" s="21"/>
      <c r="P670" s="7"/>
      <c r="Q670" s="153"/>
      <c r="R670" s="7"/>
      <c r="S670" s="7"/>
      <c r="T670" s="7"/>
      <c r="U670" s="153"/>
      <c r="V670" s="153"/>
      <c r="W670" s="12"/>
      <c r="X670" s="7"/>
      <c r="Y670" s="7"/>
      <c r="Z670" s="7"/>
      <c r="AA670" s="7"/>
      <c r="AB670" s="13"/>
      <c r="AC670" s="13"/>
      <c r="AD670" s="13"/>
    </row>
    <row r="671" ht="14.4">
      <c r="A671" s="21"/>
      <c r="B671" s="21"/>
      <c r="C671" s="21"/>
      <c r="D671" s="21"/>
      <c r="E671" s="21"/>
      <c r="F671" s="21"/>
      <c r="G671" s="21"/>
      <c r="H671" s="21"/>
      <c r="I671" s="154"/>
      <c r="J671" s="21"/>
      <c r="K671" s="21"/>
      <c r="L671" s="21"/>
      <c r="M671" s="21"/>
      <c r="N671" s="21"/>
      <c r="O671" s="21"/>
      <c r="P671" s="7"/>
      <c r="Q671" s="153"/>
      <c r="R671" s="7"/>
      <c r="S671" s="7"/>
      <c r="T671" s="7"/>
      <c r="U671" s="153"/>
      <c r="V671" s="153"/>
      <c r="W671" s="12"/>
      <c r="X671" s="7"/>
      <c r="Y671" s="7"/>
      <c r="Z671" s="7"/>
      <c r="AA671" s="7"/>
      <c r="AB671" s="13"/>
      <c r="AC671" s="13"/>
      <c r="AD671" s="13"/>
    </row>
    <row r="672" ht="14.4">
      <c r="A672" s="21"/>
      <c r="B672" s="21"/>
      <c r="C672" s="21"/>
      <c r="D672" s="21"/>
      <c r="E672" s="21"/>
      <c r="F672" s="21"/>
      <c r="G672" s="21"/>
      <c r="H672" s="21"/>
      <c r="I672" s="154"/>
      <c r="J672" s="21"/>
      <c r="K672" s="21"/>
      <c r="L672" s="21"/>
      <c r="M672" s="21"/>
      <c r="N672" s="21"/>
      <c r="O672" s="21"/>
      <c r="P672" s="7"/>
      <c r="Q672" s="153"/>
      <c r="R672" s="7"/>
      <c r="S672" s="7"/>
      <c r="T672" s="7"/>
      <c r="U672" s="153"/>
      <c r="V672" s="153"/>
      <c r="W672" s="12"/>
      <c r="X672" s="7"/>
      <c r="Y672" s="7"/>
      <c r="Z672" s="7"/>
      <c r="AA672" s="7"/>
      <c r="AB672" s="13"/>
      <c r="AC672" s="13"/>
      <c r="AD672" s="13"/>
    </row>
    <row r="673" ht="14.4">
      <c r="A673" s="21"/>
      <c r="B673" s="21"/>
      <c r="C673" s="21"/>
      <c r="D673" s="21"/>
      <c r="E673" s="21"/>
      <c r="F673" s="21"/>
      <c r="G673" s="21"/>
      <c r="H673" s="21"/>
      <c r="I673" s="154"/>
      <c r="J673" s="21"/>
      <c r="K673" s="21"/>
      <c r="L673" s="21"/>
      <c r="M673" s="21"/>
      <c r="N673" s="21"/>
      <c r="O673" s="21"/>
      <c r="P673" s="7"/>
      <c r="Q673" s="153"/>
      <c r="R673" s="7"/>
      <c r="S673" s="7"/>
      <c r="T673" s="7"/>
      <c r="U673" s="153"/>
      <c r="V673" s="153"/>
      <c r="W673" s="12"/>
      <c r="X673" s="7"/>
      <c r="Y673" s="7"/>
      <c r="Z673" s="7"/>
      <c r="AA673" s="7"/>
      <c r="AB673" s="13"/>
      <c r="AC673" s="13"/>
      <c r="AD673" s="13"/>
    </row>
    <row r="674" ht="14.4">
      <c r="A674" s="21"/>
      <c r="B674" s="21"/>
      <c r="C674" s="21"/>
      <c r="D674" s="21"/>
      <c r="E674" s="21"/>
      <c r="F674" s="21"/>
      <c r="G674" s="21"/>
      <c r="H674" s="21"/>
      <c r="I674" s="154"/>
      <c r="J674" s="21"/>
      <c r="K674" s="21"/>
      <c r="L674" s="21"/>
      <c r="M674" s="21"/>
      <c r="N674" s="21"/>
      <c r="O674" s="21"/>
      <c r="P674" s="7"/>
      <c r="Q674" s="153"/>
      <c r="R674" s="7"/>
      <c r="S674" s="7"/>
      <c r="T674" s="7"/>
      <c r="U674" s="153"/>
      <c r="V674" s="153"/>
      <c r="W674" s="12"/>
      <c r="X674" s="7"/>
      <c r="Y674" s="7"/>
      <c r="Z674" s="7"/>
      <c r="AA674" s="7"/>
      <c r="AB674" s="13"/>
      <c r="AC674" s="13"/>
      <c r="AD674" s="13"/>
    </row>
    <row r="675" ht="14.4">
      <c r="A675" s="21"/>
      <c r="B675" s="21"/>
      <c r="C675" s="21"/>
      <c r="D675" s="21"/>
      <c r="E675" s="21"/>
      <c r="F675" s="21"/>
      <c r="G675" s="21"/>
      <c r="H675" s="21"/>
      <c r="I675" s="154"/>
      <c r="J675" s="21"/>
      <c r="K675" s="21"/>
      <c r="L675" s="21"/>
      <c r="M675" s="21"/>
      <c r="N675" s="21"/>
      <c r="O675" s="21"/>
      <c r="P675" s="7"/>
      <c r="Q675" s="153"/>
      <c r="R675" s="7"/>
      <c r="S675" s="7"/>
      <c r="T675" s="7"/>
      <c r="U675" s="153"/>
      <c r="V675" s="153"/>
      <c r="W675" s="12"/>
      <c r="X675" s="7"/>
      <c r="Y675" s="7"/>
      <c r="Z675" s="7"/>
      <c r="AA675" s="7"/>
      <c r="AB675" s="13"/>
      <c r="AC675" s="13"/>
      <c r="AD675" s="13"/>
    </row>
    <row r="676" ht="14.4">
      <c r="A676" s="21"/>
      <c r="B676" s="21"/>
      <c r="C676" s="21"/>
      <c r="D676" s="21"/>
      <c r="E676" s="21"/>
      <c r="F676" s="21"/>
      <c r="G676" s="21"/>
      <c r="H676" s="21"/>
      <c r="I676" s="154"/>
      <c r="J676" s="21"/>
      <c r="K676" s="21"/>
      <c r="L676" s="21"/>
      <c r="M676" s="21"/>
      <c r="N676" s="21"/>
      <c r="O676" s="21"/>
      <c r="P676" s="7"/>
      <c r="Q676" s="153"/>
      <c r="R676" s="7"/>
      <c r="S676" s="7"/>
      <c r="T676" s="7"/>
      <c r="U676" s="153"/>
      <c r="V676" s="153"/>
      <c r="W676" s="12"/>
      <c r="X676" s="7"/>
      <c r="Y676" s="7"/>
      <c r="Z676" s="7"/>
      <c r="AA676" s="7"/>
      <c r="AB676" s="13"/>
      <c r="AC676" s="13"/>
      <c r="AD676" s="13"/>
    </row>
    <row r="677" ht="14.4">
      <c r="A677" s="21"/>
      <c r="B677" s="21"/>
      <c r="C677" s="21"/>
      <c r="D677" s="21"/>
      <c r="E677" s="21"/>
      <c r="F677" s="21"/>
      <c r="G677" s="21"/>
      <c r="H677" s="21"/>
      <c r="I677" s="154"/>
      <c r="J677" s="21"/>
      <c r="K677" s="21"/>
      <c r="L677" s="21"/>
      <c r="M677" s="21"/>
      <c r="N677" s="21"/>
      <c r="O677" s="21"/>
      <c r="P677" s="7"/>
      <c r="Q677" s="153"/>
      <c r="R677" s="7"/>
      <c r="S677" s="7"/>
      <c r="T677" s="7"/>
      <c r="U677" s="153"/>
      <c r="V677" s="153"/>
      <c r="W677" s="12"/>
      <c r="X677" s="7"/>
      <c r="Y677" s="7"/>
      <c r="Z677" s="7"/>
      <c r="AA677" s="7"/>
      <c r="AB677" s="13"/>
      <c r="AC677" s="13"/>
      <c r="AD677" s="13"/>
    </row>
    <row r="678" ht="14.4">
      <c r="A678" s="21"/>
      <c r="B678" s="21"/>
      <c r="C678" s="21"/>
      <c r="D678" s="21"/>
      <c r="E678" s="21"/>
      <c r="F678" s="21"/>
      <c r="G678" s="21"/>
      <c r="H678" s="21"/>
      <c r="I678" s="154"/>
      <c r="J678" s="21"/>
      <c r="K678" s="21"/>
      <c r="L678" s="21"/>
      <c r="M678" s="21"/>
      <c r="N678" s="21"/>
      <c r="O678" s="21"/>
      <c r="P678" s="7"/>
      <c r="Q678" s="153"/>
      <c r="R678" s="7"/>
      <c r="S678" s="7"/>
      <c r="T678" s="7"/>
      <c r="U678" s="153"/>
      <c r="V678" s="153"/>
      <c r="W678" s="12"/>
      <c r="X678" s="7"/>
      <c r="Y678" s="7"/>
      <c r="Z678" s="7"/>
      <c r="AA678" s="7"/>
      <c r="AB678" s="13"/>
      <c r="AC678" s="13"/>
      <c r="AD678" s="13"/>
    </row>
    <row r="679" ht="14.4">
      <c r="A679" s="21"/>
      <c r="B679" s="21"/>
      <c r="C679" s="21"/>
      <c r="D679" s="21"/>
      <c r="E679" s="21"/>
      <c r="F679" s="21"/>
      <c r="G679" s="21"/>
      <c r="H679" s="21"/>
      <c r="I679" s="154"/>
      <c r="J679" s="21"/>
      <c r="K679" s="21"/>
      <c r="L679" s="21"/>
      <c r="M679" s="21"/>
      <c r="N679" s="21"/>
      <c r="O679" s="21"/>
      <c r="P679" s="7"/>
      <c r="Q679" s="153"/>
      <c r="R679" s="7"/>
      <c r="S679" s="7"/>
      <c r="T679" s="7"/>
      <c r="U679" s="153"/>
      <c r="V679" s="153"/>
      <c r="W679" s="12"/>
      <c r="X679" s="7"/>
      <c r="Y679" s="7"/>
      <c r="Z679" s="7"/>
      <c r="AA679" s="7"/>
      <c r="AB679" s="13"/>
      <c r="AC679" s="13"/>
      <c r="AD679" s="13"/>
    </row>
    <row r="680" ht="14.4">
      <c r="A680" s="21"/>
      <c r="B680" s="21"/>
      <c r="C680" s="21"/>
      <c r="D680" s="21"/>
      <c r="E680" s="21"/>
      <c r="F680" s="21"/>
      <c r="G680" s="21"/>
      <c r="H680" s="21"/>
      <c r="I680" s="154"/>
      <c r="J680" s="21"/>
      <c r="K680" s="21"/>
      <c r="L680" s="21"/>
      <c r="M680" s="21"/>
      <c r="N680" s="21"/>
      <c r="O680" s="21"/>
      <c r="P680" s="7"/>
      <c r="Q680" s="153"/>
      <c r="R680" s="7"/>
      <c r="S680" s="7"/>
      <c r="T680" s="7"/>
      <c r="U680" s="153"/>
      <c r="V680" s="153"/>
      <c r="W680" s="12"/>
      <c r="X680" s="7"/>
      <c r="Y680" s="7"/>
      <c r="Z680" s="7"/>
      <c r="AA680" s="7"/>
      <c r="AB680" s="13"/>
      <c r="AC680" s="13"/>
      <c r="AD680" s="13"/>
    </row>
    <row r="681" ht="14.4">
      <c r="A681" s="21"/>
      <c r="B681" s="21"/>
      <c r="C681" s="21"/>
      <c r="D681" s="21"/>
      <c r="E681" s="21"/>
      <c r="F681" s="21"/>
      <c r="G681" s="21"/>
      <c r="H681" s="21"/>
      <c r="I681" s="154"/>
      <c r="J681" s="21"/>
      <c r="K681" s="21"/>
      <c r="L681" s="21"/>
      <c r="M681" s="21"/>
      <c r="N681" s="21"/>
      <c r="O681" s="21"/>
      <c r="P681" s="7"/>
      <c r="Q681" s="153"/>
      <c r="R681" s="7"/>
      <c r="S681" s="7"/>
      <c r="T681" s="7"/>
      <c r="U681" s="153"/>
      <c r="V681" s="153"/>
      <c r="W681" s="12"/>
      <c r="X681" s="7"/>
      <c r="Y681" s="7"/>
      <c r="Z681" s="7"/>
      <c r="AA681" s="7"/>
      <c r="AB681" s="13"/>
      <c r="AC681" s="13"/>
      <c r="AD681" s="13"/>
    </row>
    <row r="682" ht="14.4">
      <c r="A682" s="21"/>
      <c r="B682" s="21"/>
      <c r="C682" s="21"/>
      <c r="D682" s="21"/>
      <c r="E682" s="21"/>
      <c r="F682" s="21"/>
      <c r="G682" s="21"/>
      <c r="H682" s="21"/>
      <c r="I682" s="154"/>
      <c r="J682" s="21"/>
      <c r="K682" s="21"/>
      <c r="L682" s="21"/>
      <c r="M682" s="21"/>
      <c r="N682" s="21"/>
      <c r="O682" s="21"/>
      <c r="P682" s="7"/>
      <c r="Q682" s="153"/>
      <c r="R682" s="7"/>
      <c r="S682" s="7"/>
      <c r="T682" s="7"/>
      <c r="U682" s="153"/>
      <c r="V682" s="153"/>
      <c r="W682" s="12"/>
      <c r="X682" s="7"/>
      <c r="Y682" s="7"/>
      <c r="Z682" s="7"/>
      <c r="AA682" s="7"/>
      <c r="AB682" s="13"/>
      <c r="AC682" s="13"/>
      <c r="AD682" s="13"/>
    </row>
    <row r="683" ht="14.4">
      <c r="A683" s="21"/>
      <c r="B683" s="21"/>
      <c r="C683" s="21"/>
      <c r="D683" s="21"/>
      <c r="E683" s="21"/>
      <c r="F683" s="21"/>
      <c r="G683" s="21"/>
      <c r="H683" s="21"/>
      <c r="I683" s="154"/>
      <c r="J683" s="21"/>
      <c r="K683" s="21"/>
      <c r="L683" s="21"/>
      <c r="M683" s="21"/>
      <c r="N683" s="21"/>
      <c r="O683" s="21"/>
      <c r="P683" s="7"/>
      <c r="Q683" s="153"/>
      <c r="R683" s="7"/>
      <c r="S683" s="7"/>
      <c r="T683" s="7"/>
      <c r="U683" s="153"/>
      <c r="V683" s="153"/>
      <c r="W683" s="12"/>
      <c r="X683" s="7"/>
      <c r="Y683" s="7"/>
      <c r="Z683" s="7"/>
      <c r="AA683" s="7"/>
      <c r="AB683" s="13"/>
      <c r="AC683" s="13"/>
      <c r="AD683" s="13"/>
    </row>
    <row r="684" ht="14.4">
      <c r="A684" s="21"/>
      <c r="B684" s="21"/>
      <c r="C684" s="21"/>
      <c r="D684" s="21"/>
      <c r="E684" s="21"/>
      <c r="F684" s="21"/>
      <c r="G684" s="21"/>
      <c r="H684" s="21"/>
      <c r="I684" s="154"/>
      <c r="J684" s="21"/>
      <c r="K684" s="21"/>
      <c r="L684" s="21"/>
      <c r="M684" s="21"/>
      <c r="N684" s="21"/>
      <c r="O684" s="21"/>
      <c r="P684" s="7"/>
      <c r="Q684" s="153"/>
      <c r="R684" s="7"/>
      <c r="S684" s="7"/>
      <c r="T684" s="7"/>
      <c r="U684" s="153"/>
      <c r="V684" s="153"/>
      <c r="W684" s="12"/>
      <c r="X684" s="7"/>
      <c r="Y684" s="7"/>
      <c r="Z684" s="7"/>
      <c r="AA684" s="7"/>
      <c r="AB684" s="13"/>
      <c r="AC684" s="13"/>
      <c r="AD684" s="13"/>
    </row>
    <row r="685" ht="14.4">
      <c r="A685" s="21"/>
      <c r="B685" s="21"/>
      <c r="C685" s="21"/>
      <c r="D685" s="21"/>
      <c r="E685" s="21"/>
      <c r="F685" s="21"/>
      <c r="G685" s="21"/>
      <c r="H685" s="21"/>
      <c r="I685" s="154"/>
      <c r="J685" s="21"/>
      <c r="K685" s="21"/>
      <c r="L685" s="21"/>
      <c r="M685" s="21"/>
      <c r="N685" s="21"/>
      <c r="O685" s="21"/>
      <c r="P685" s="7"/>
      <c r="Q685" s="153"/>
      <c r="R685" s="7"/>
      <c r="S685" s="7"/>
      <c r="T685" s="7"/>
      <c r="U685" s="153"/>
      <c r="V685" s="153"/>
      <c r="W685" s="12"/>
      <c r="X685" s="21"/>
      <c r="Y685" s="7"/>
      <c r="Z685" s="7"/>
      <c r="AA685" s="7"/>
      <c r="AB685" s="13"/>
      <c r="AC685" s="13"/>
      <c r="AD685" s="13"/>
    </row>
    <row r="686">
      <c r="A686" s="21"/>
      <c r="B686" s="21"/>
      <c r="C686" s="21"/>
      <c r="D686" s="21"/>
      <c r="E686" s="21"/>
      <c r="F686" s="21"/>
      <c r="G686" s="21"/>
      <c r="H686" s="21"/>
      <c r="I686" s="154"/>
      <c r="J686" s="21"/>
      <c r="K686" s="21"/>
      <c r="L686" s="21"/>
      <c r="M686" s="21"/>
      <c r="N686" s="21"/>
      <c r="O686" s="21"/>
      <c r="P686" s="21"/>
      <c r="Q686" s="154"/>
      <c r="R686" s="21"/>
      <c r="S686" s="21"/>
      <c r="T686" s="21"/>
      <c r="U686" s="154"/>
      <c r="V686" s="154"/>
      <c r="W686" s="154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154"/>
      <c r="J687" s="21"/>
      <c r="K687" s="21"/>
      <c r="L687" s="21"/>
      <c r="M687" s="21"/>
      <c r="N687" s="21"/>
      <c r="O687" s="21"/>
      <c r="P687" s="21"/>
      <c r="Q687" s="154"/>
      <c r="R687" s="21"/>
      <c r="S687" s="21"/>
      <c r="T687" s="21"/>
      <c r="U687" s="154"/>
      <c r="V687" s="154"/>
      <c r="W687" s="154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154"/>
      <c r="J688" s="21"/>
      <c r="K688" s="21"/>
      <c r="L688" s="21"/>
      <c r="M688" s="21"/>
      <c r="N688" s="21"/>
      <c r="O688" s="21"/>
      <c r="P688" s="21"/>
      <c r="Q688" s="154"/>
      <c r="R688" s="21"/>
      <c r="S688" s="21"/>
      <c r="T688" s="21"/>
      <c r="U688" s="154"/>
      <c r="V688" s="154"/>
      <c r="W688" s="154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154"/>
      <c r="J689" s="21"/>
      <c r="K689" s="21"/>
      <c r="L689" s="21"/>
      <c r="M689" s="21"/>
      <c r="N689" s="21"/>
      <c r="O689" s="21"/>
      <c r="P689" s="21"/>
      <c r="Q689" s="154"/>
      <c r="R689" s="21"/>
      <c r="S689" s="21"/>
      <c r="T689" s="21"/>
      <c r="U689" s="154"/>
      <c r="V689" s="154"/>
      <c r="W689" s="154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154"/>
      <c r="J690" s="21"/>
      <c r="K690" s="21"/>
      <c r="L690" s="21"/>
      <c r="M690" s="21"/>
      <c r="N690" s="21"/>
      <c r="O690" s="21"/>
      <c r="P690" s="21"/>
      <c r="Q690" s="154"/>
      <c r="R690" s="21"/>
      <c r="S690" s="21"/>
      <c r="T690" s="21"/>
      <c r="U690" s="154"/>
      <c r="V690" s="154"/>
      <c r="W690" s="154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154"/>
      <c r="J691" s="21"/>
      <c r="K691" s="21"/>
      <c r="L691" s="21"/>
      <c r="M691" s="21"/>
      <c r="N691" s="21"/>
      <c r="O691" s="21"/>
      <c r="P691" s="21"/>
      <c r="Q691" s="154"/>
      <c r="R691" s="21"/>
      <c r="S691" s="21"/>
      <c r="T691" s="21"/>
      <c r="U691" s="154"/>
      <c r="V691" s="154"/>
      <c r="W691" s="154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154"/>
      <c r="J692" s="21"/>
      <c r="K692" s="21"/>
      <c r="L692" s="21"/>
      <c r="M692" s="21"/>
      <c r="N692" s="21"/>
      <c r="O692" s="21"/>
      <c r="P692" s="21"/>
      <c r="Q692" s="154"/>
      <c r="R692" s="21"/>
      <c r="S692" s="21"/>
      <c r="T692" s="21"/>
      <c r="U692" s="154"/>
      <c r="V692" s="154"/>
      <c r="W692" s="154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154"/>
      <c r="J693" s="21"/>
      <c r="K693" s="21"/>
      <c r="L693" s="21"/>
      <c r="M693" s="21"/>
      <c r="N693" s="21"/>
      <c r="O693" s="21"/>
      <c r="P693" s="21"/>
      <c r="Q693" s="154"/>
      <c r="R693" s="21"/>
      <c r="S693" s="21"/>
      <c r="T693" s="21"/>
      <c r="U693" s="154"/>
      <c r="V693" s="154"/>
      <c r="W693" s="154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154"/>
      <c r="J694" s="21"/>
      <c r="K694" s="21"/>
      <c r="L694" s="21"/>
      <c r="M694" s="21"/>
      <c r="N694" s="21"/>
      <c r="O694" s="21"/>
      <c r="P694" s="21"/>
      <c r="Q694" s="154"/>
      <c r="R694" s="21"/>
      <c r="S694" s="21"/>
      <c r="T694" s="21"/>
      <c r="U694" s="154"/>
      <c r="V694" s="154"/>
      <c r="W694" s="154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154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154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154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154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154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154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154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154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154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154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154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154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154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154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154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154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154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154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154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154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154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154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154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154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154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154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154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154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154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154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154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154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154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154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154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154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154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154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154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154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154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154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154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154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154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154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154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154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154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154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154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154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154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154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154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154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154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154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154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154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154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154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154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154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154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154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154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154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154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154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154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154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154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154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154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154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154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154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154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154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154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154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154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154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154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154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154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154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154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154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154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154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154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154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154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154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154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154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154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154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154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154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154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154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154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154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154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154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154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154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154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154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154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154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154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154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154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154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154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154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154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154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154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154"/>
      <c r="J818" s="21"/>
      <c r="K818" s="21"/>
      <c r="L818" s="21"/>
      <c r="M818" s="21"/>
      <c r="N818" s="21"/>
      <c r="O818" s="21"/>
      <c r="P818" s="21"/>
      <c r="Q818" s="154"/>
      <c r="R818" s="21"/>
      <c r="S818" s="21"/>
      <c r="T818" s="21"/>
      <c r="U818" s="154"/>
      <c r="V818" s="154"/>
      <c r="W818" s="154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154"/>
      <c r="J819" s="21"/>
      <c r="K819" s="21"/>
      <c r="L819" s="21"/>
      <c r="M819" s="21"/>
      <c r="N819" s="21"/>
      <c r="O819" s="21"/>
      <c r="P819" s="21"/>
      <c r="Q819" s="154"/>
      <c r="R819" s="21"/>
      <c r="S819" s="21"/>
      <c r="T819" s="21"/>
      <c r="U819" s="154"/>
      <c r="V819" s="154"/>
      <c r="W819" s="154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154"/>
      <c r="J820" s="21"/>
      <c r="K820" s="21"/>
      <c r="L820" s="21"/>
      <c r="M820" s="21"/>
      <c r="N820" s="21"/>
      <c r="O820" s="21"/>
      <c r="P820" s="21"/>
      <c r="Q820" s="154"/>
      <c r="R820" s="21"/>
      <c r="S820" s="21"/>
      <c r="T820" s="21"/>
      <c r="U820" s="154"/>
      <c r="V820" s="154"/>
      <c r="W820" s="154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154"/>
      <c r="J821" s="21"/>
      <c r="K821" s="21"/>
      <c r="L821" s="21"/>
      <c r="M821" s="21"/>
      <c r="N821" s="21"/>
      <c r="O821" s="21"/>
      <c r="P821" s="21"/>
      <c r="Q821" s="154"/>
      <c r="R821" s="21"/>
      <c r="S821" s="21"/>
      <c r="T821" s="21"/>
      <c r="U821" s="154"/>
      <c r="V821" s="154"/>
      <c r="W821" s="154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154"/>
      <c r="J822" s="21"/>
      <c r="K822" s="21"/>
      <c r="L822" s="21"/>
      <c r="M822" s="21"/>
      <c r="N822" s="21"/>
      <c r="O822" s="21"/>
      <c r="P822" s="21"/>
      <c r="Q822" s="154"/>
      <c r="R822" s="21"/>
      <c r="S822" s="21"/>
      <c r="T822" s="21"/>
      <c r="U822" s="154"/>
      <c r="V822" s="154"/>
      <c r="W822" s="154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154"/>
      <c r="J823" s="21"/>
      <c r="K823" s="21"/>
      <c r="L823" s="21"/>
      <c r="M823" s="21"/>
      <c r="N823" s="21"/>
      <c r="O823" s="21"/>
      <c r="P823" s="21"/>
      <c r="Q823" s="154"/>
      <c r="R823" s="21"/>
      <c r="S823" s="21"/>
      <c r="T823" s="21"/>
      <c r="U823" s="154"/>
      <c r="V823" s="154"/>
      <c r="W823" s="154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154"/>
      <c r="J824" s="21"/>
      <c r="K824" s="21"/>
      <c r="L824" s="21"/>
      <c r="M824" s="21"/>
      <c r="N824" s="21"/>
      <c r="O824" s="21"/>
      <c r="P824" s="21"/>
      <c r="Q824" s="154"/>
      <c r="R824" s="21"/>
      <c r="S824" s="21"/>
      <c r="T824" s="21"/>
      <c r="U824" s="154"/>
      <c r="V824" s="154"/>
      <c r="W824" s="154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154"/>
      <c r="J825" s="21"/>
      <c r="K825" s="21"/>
      <c r="L825" s="21"/>
      <c r="M825" s="21"/>
      <c r="N825" s="21"/>
      <c r="O825" s="21"/>
      <c r="P825" s="21"/>
      <c r="Q825" s="154"/>
      <c r="R825" s="21"/>
      <c r="S825" s="21"/>
      <c r="T825" s="21"/>
      <c r="U825" s="154"/>
      <c r="V825" s="154"/>
      <c r="W825" s="154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154"/>
      <c r="J826" s="21"/>
      <c r="K826" s="21"/>
      <c r="L826" s="21"/>
      <c r="M826" s="21"/>
      <c r="N826" s="21"/>
      <c r="O826" s="21"/>
      <c r="P826" s="21"/>
      <c r="Q826" s="154"/>
      <c r="R826" s="21"/>
      <c r="S826" s="21"/>
      <c r="T826" s="21"/>
      <c r="U826" s="154"/>
      <c r="V826" s="154"/>
      <c r="W826" s="154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154"/>
      <c r="J827" s="21"/>
      <c r="K827" s="21"/>
      <c r="L827" s="21"/>
      <c r="M827" s="21"/>
      <c r="N827" s="21"/>
      <c r="O827" s="21"/>
      <c r="P827" s="21"/>
      <c r="Q827" s="154"/>
      <c r="R827" s="21"/>
      <c r="S827" s="21"/>
      <c r="T827" s="21"/>
      <c r="U827" s="154"/>
      <c r="V827" s="154"/>
      <c r="W827" s="154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154"/>
      <c r="J828" s="21"/>
      <c r="K828" s="21"/>
      <c r="L828" s="21"/>
      <c r="M828" s="21"/>
      <c r="N828" s="21"/>
      <c r="O828" s="21"/>
      <c r="P828" s="21"/>
      <c r="Q828" s="154"/>
      <c r="R828" s="21"/>
      <c r="S828" s="21"/>
      <c r="T828" s="21"/>
      <c r="U828" s="154"/>
      <c r="V828" s="154"/>
      <c r="W828" s="154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154"/>
      <c r="J829" s="21"/>
      <c r="K829" s="21"/>
      <c r="L829" s="21"/>
      <c r="M829" s="21"/>
      <c r="N829" s="21"/>
      <c r="O829" s="21"/>
      <c r="P829" s="21"/>
      <c r="Q829" s="154"/>
      <c r="R829" s="21"/>
      <c r="S829" s="21"/>
      <c r="T829" s="21"/>
      <c r="U829" s="154"/>
      <c r="V829" s="154"/>
      <c r="W829" s="154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154"/>
      <c r="J830" s="21"/>
      <c r="K830" s="21"/>
      <c r="L830" s="21"/>
      <c r="M830" s="21"/>
      <c r="N830" s="21"/>
      <c r="O830" s="21"/>
      <c r="P830" s="21"/>
      <c r="Q830" s="154"/>
      <c r="R830" s="21"/>
      <c r="S830" s="21"/>
      <c r="T830" s="21"/>
      <c r="U830" s="154"/>
      <c r="V830" s="154"/>
      <c r="W830" s="154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154"/>
      <c r="J831" s="21"/>
      <c r="K831" s="21"/>
      <c r="L831" s="21"/>
      <c r="M831" s="21"/>
      <c r="N831" s="21"/>
      <c r="O831" s="21"/>
      <c r="P831" s="21"/>
      <c r="Q831" s="154"/>
      <c r="R831" s="21"/>
      <c r="S831" s="21"/>
      <c r="T831" s="21"/>
      <c r="U831" s="154"/>
      <c r="V831" s="154"/>
      <c r="W831" s="154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154"/>
      <c r="J832" s="21"/>
      <c r="K832" s="21"/>
      <c r="L832" s="21"/>
      <c r="M832" s="21"/>
      <c r="N832" s="21"/>
      <c r="O832" s="21"/>
      <c r="P832" s="21"/>
      <c r="Q832" s="154"/>
      <c r="R832" s="21"/>
      <c r="S832" s="21"/>
      <c r="T832" s="21"/>
      <c r="U832" s="154"/>
      <c r="V832" s="154"/>
      <c r="W832" s="154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154"/>
      <c r="J833" s="21"/>
      <c r="K833" s="21"/>
      <c r="L833" s="21"/>
      <c r="M833" s="21"/>
      <c r="N833" s="21"/>
      <c r="O833" s="21"/>
      <c r="P833" s="21"/>
      <c r="Q833" s="154"/>
      <c r="R833" s="21"/>
      <c r="S833" s="21"/>
      <c r="T833" s="21"/>
      <c r="U833" s="154"/>
      <c r="V833" s="154"/>
      <c r="W833" s="154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154"/>
      <c r="J834" s="21"/>
      <c r="K834" s="21"/>
      <c r="L834" s="21"/>
      <c r="M834" s="21"/>
      <c r="N834" s="21"/>
      <c r="O834" s="21"/>
      <c r="P834" s="21"/>
      <c r="Q834" s="154"/>
      <c r="R834" s="21"/>
      <c r="S834" s="21"/>
      <c r="T834" s="21"/>
      <c r="U834" s="154"/>
      <c r="V834" s="154"/>
      <c r="W834" s="154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154"/>
      <c r="J835" s="21"/>
      <c r="K835" s="21"/>
      <c r="L835" s="21"/>
      <c r="M835" s="21"/>
      <c r="N835" s="21"/>
      <c r="O835" s="21"/>
      <c r="P835" s="21"/>
      <c r="Q835" s="154"/>
      <c r="R835" s="21"/>
      <c r="S835" s="21"/>
      <c r="T835" s="21"/>
      <c r="U835" s="154"/>
      <c r="V835" s="154"/>
      <c r="W835" s="154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154"/>
      <c r="J836" s="21"/>
      <c r="K836" s="21"/>
      <c r="L836" s="21"/>
      <c r="M836" s="21"/>
      <c r="N836" s="21"/>
      <c r="O836" s="21"/>
      <c r="P836" s="21"/>
      <c r="Q836" s="154"/>
      <c r="R836" s="21"/>
      <c r="S836" s="21"/>
      <c r="T836" s="21"/>
      <c r="U836" s="154"/>
      <c r="V836" s="154"/>
      <c r="W836" s="154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154"/>
      <c r="J837" s="21"/>
      <c r="K837" s="21"/>
      <c r="L837" s="21"/>
      <c r="M837" s="21"/>
      <c r="N837" s="21"/>
      <c r="O837" s="21"/>
      <c r="P837" s="21"/>
      <c r="Q837" s="154"/>
      <c r="R837" s="21"/>
      <c r="S837" s="21"/>
      <c r="T837" s="21"/>
      <c r="U837" s="154"/>
      <c r="V837" s="154"/>
      <c r="W837" s="154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154"/>
      <c r="J838" s="21"/>
      <c r="K838" s="21"/>
      <c r="L838" s="21"/>
      <c r="M838" s="21"/>
      <c r="N838" s="21"/>
      <c r="O838" s="21"/>
      <c r="P838" s="21"/>
      <c r="Q838" s="154"/>
      <c r="R838" s="21"/>
      <c r="S838" s="21"/>
      <c r="T838" s="21"/>
      <c r="U838" s="154"/>
      <c r="V838" s="154"/>
      <c r="W838" s="154"/>
      <c r="X838" s="21"/>
      <c r="Y838" s="21"/>
      <c r="Z838" s="21"/>
      <c r="AA838" s="21"/>
      <c r="AB838" s="21"/>
      <c r="AC838" s="21"/>
      <c r="AD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154"/>
      <c r="J839" s="21"/>
      <c r="K839" s="21"/>
      <c r="L839" s="21"/>
      <c r="M839" s="21"/>
      <c r="N839" s="21"/>
      <c r="O839" s="21"/>
      <c r="P839" s="21"/>
      <c r="Q839" s="154"/>
      <c r="R839" s="21"/>
      <c r="S839" s="21"/>
      <c r="T839" s="21"/>
      <c r="U839" s="154"/>
      <c r="V839" s="154"/>
      <c r="W839" s="154"/>
      <c r="X839" s="21"/>
      <c r="Y839" s="21"/>
      <c r="Z839" s="21"/>
      <c r="AA839" s="21"/>
      <c r="AB839" s="21"/>
      <c r="AC839" s="21"/>
      <c r="AD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154"/>
      <c r="J840" s="21"/>
      <c r="K840" s="21"/>
      <c r="L840" s="21"/>
      <c r="M840" s="21"/>
      <c r="N840" s="21"/>
      <c r="O840" s="21"/>
      <c r="P840" s="21"/>
      <c r="Q840" s="154"/>
      <c r="R840" s="21"/>
      <c r="S840" s="21"/>
      <c r="T840" s="21"/>
      <c r="U840" s="154"/>
      <c r="V840" s="154"/>
      <c r="W840" s="154"/>
      <c r="X840" s="21"/>
      <c r="Y840" s="21"/>
      <c r="Z840" s="21"/>
      <c r="AA840" s="21"/>
      <c r="AB840" s="21"/>
      <c r="AC840" s="21"/>
      <c r="AD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154"/>
      <c r="J841" s="21"/>
      <c r="K841" s="21"/>
      <c r="L841" s="21"/>
      <c r="M841" s="21"/>
      <c r="N841" s="21"/>
      <c r="O841" s="21"/>
      <c r="P841" s="21"/>
      <c r="Q841" s="154"/>
      <c r="R841" s="21"/>
      <c r="S841" s="21"/>
      <c r="T841" s="21"/>
      <c r="U841" s="154"/>
      <c r="V841" s="154"/>
      <c r="W841" s="154"/>
      <c r="X841" s="21"/>
      <c r="Y841" s="21"/>
      <c r="Z841" s="21"/>
      <c r="AA841" s="21"/>
      <c r="AB841" s="21"/>
      <c r="AC841" s="21"/>
      <c r="AD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154"/>
      <c r="J842" s="21"/>
      <c r="K842" s="21"/>
      <c r="L842" s="21"/>
      <c r="M842" s="21"/>
      <c r="N842" s="21"/>
      <c r="O842" s="21"/>
      <c r="P842" s="21"/>
      <c r="Q842" s="154"/>
      <c r="R842" s="21"/>
      <c r="S842" s="21"/>
      <c r="T842" s="21"/>
      <c r="U842" s="154"/>
      <c r="V842" s="154"/>
      <c r="W842" s="154"/>
      <c r="X842" s="21"/>
      <c r="Y842" s="21"/>
      <c r="Z842" s="21"/>
      <c r="AA842" s="21"/>
      <c r="AB842" s="21"/>
      <c r="AC842" s="21"/>
      <c r="AD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154"/>
      <c r="J843" s="21"/>
      <c r="K843" s="21"/>
      <c r="L843" s="21"/>
      <c r="M843" s="21"/>
      <c r="N843" s="21"/>
      <c r="O843" s="21"/>
      <c r="P843" s="21"/>
      <c r="Q843" s="154"/>
      <c r="R843" s="21"/>
      <c r="S843" s="21"/>
      <c r="T843" s="21"/>
      <c r="U843" s="154"/>
      <c r="V843" s="154"/>
      <c r="W843" s="154"/>
      <c r="X843" s="21"/>
      <c r="Y843" s="21"/>
      <c r="Z843" s="21"/>
      <c r="AA843" s="21"/>
      <c r="AB843" s="21"/>
      <c r="AC843" s="21"/>
      <c r="AD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154"/>
      <c r="J844" s="21"/>
      <c r="K844" s="21"/>
      <c r="L844" s="21"/>
      <c r="M844" s="21"/>
      <c r="N844" s="21"/>
      <c r="O844" s="21"/>
      <c r="P844" s="21"/>
      <c r="Q844" s="154"/>
      <c r="R844" s="21"/>
      <c r="S844" s="21"/>
      <c r="T844" s="21"/>
      <c r="U844" s="154"/>
      <c r="V844" s="154"/>
      <c r="W844" s="154"/>
      <c r="X844" s="21"/>
      <c r="Y844" s="21"/>
      <c r="Z844" s="21"/>
      <c r="AA844" s="21"/>
      <c r="AB844" s="21"/>
      <c r="AC844" s="21"/>
      <c r="AD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154"/>
      <c r="J845" s="21"/>
      <c r="K845" s="21"/>
      <c r="L845" s="21"/>
      <c r="M845" s="21"/>
      <c r="N845" s="21"/>
      <c r="O845" s="21"/>
      <c r="P845" s="21"/>
      <c r="Q845" s="154"/>
      <c r="R845" s="21"/>
      <c r="S845" s="21"/>
      <c r="T845" s="21"/>
      <c r="U845" s="154"/>
      <c r="V845" s="154"/>
      <c r="W845" s="154"/>
      <c r="X845" s="21"/>
      <c r="Y845" s="21"/>
      <c r="Z845" s="21"/>
      <c r="AA845" s="21"/>
      <c r="AB845" s="21"/>
      <c r="AC845" s="21"/>
      <c r="AD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154"/>
      <c r="J846" s="21"/>
      <c r="K846" s="21"/>
      <c r="L846" s="21"/>
      <c r="M846" s="21"/>
      <c r="N846" s="21"/>
      <c r="O846" s="21"/>
      <c r="P846" s="21"/>
      <c r="Q846" s="154"/>
      <c r="R846" s="21"/>
      <c r="S846" s="21"/>
      <c r="T846" s="21"/>
      <c r="U846" s="154"/>
      <c r="V846" s="154"/>
      <c r="W846" s="154"/>
      <c r="X846" s="21"/>
      <c r="Y846" s="21"/>
      <c r="Z846" s="21"/>
      <c r="AA846" s="21"/>
      <c r="AB846" s="21"/>
      <c r="AC846" s="21"/>
      <c r="AD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154"/>
      <c r="J847" s="21"/>
      <c r="K847" s="21"/>
      <c r="L847" s="21"/>
      <c r="M847" s="21"/>
      <c r="N847" s="21"/>
      <c r="O847" s="21"/>
      <c r="P847" s="21"/>
      <c r="Q847" s="154"/>
      <c r="R847" s="21"/>
      <c r="S847" s="21"/>
      <c r="T847" s="21"/>
      <c r="U847" s="154"/>
      <c r="V847" s="154"/>
      <c r="W847" s="154"/>
      <c r="X847" s="21"/>
      <c r="Y847" s="21"/>
      <c r="Z847" s="21"/>
      <c r="AA847" s="21"/>
      <c r="AB847" s="21"/>
      <c r="AC847" s="21"/>
      <c r="AD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154"/>
      <c r="J848" s="21"/>
      <c r="K848" s="21"/>
      <c r="L848" s="21"/>
      <c r="M848" s="21"/>
      <c r="N848" s="21"/>
      <c r="O848" s="21"/>
      <c r="P848" s="21"/>
      <c r="Q848" s="154"/>
      <c r="R848" s="21"/>
      <c r="S848" s="21"/>
      <c r="T848" s="21"/>
      <c r="U848" s="154"/>
      <c r="V848" s="154"/>
      <c r="W848" s="154"/>
      <c r="X848" s="21"/>
      <c r="Y848" s="21"/>
      <c r="Z848" s="21"/>
      <c r="AA848" s="21"/>
      <c r="AB848" s="21"/>
      <c r="AC848" s="21"/>
      <c r="AD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154"/>
      <c r="J849" s="21"/>
      <c r="K849" s="21"/>
      <c r="L849" s="21"/>
      <c r="M849" s="21"/>
      <c r="N849" s="21"/>
      <c r="O849" s="21"/>
      <c r="P849" s="21"/>
      <c r="Q849" s="154"/>
      <c r="R849" s="21"/>
      <c r="S849" s="21"/>
      <c r="T849" s="21"/>
      <c r="U849" s="154"/>
      <c r="V849" s="154"/>
      <c r="W849" s="154"/>
      <c r="X849" s="21"/>
      <c r="Y849" s="21"/>
      <c r="Z849" s="21"/>
      <c r="AA849" s="21"/>
      <c r="AB849" s="21"/>
      <c r="AC849" s="21"/>
      <c r="AD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154"/>
      <c r="J850" s="21"/>
      <c r="K850" s="21"/>
      <c r="L850" s="21"/>
      <c r="M850" s="21"/>
      <c r="N850" s="21"/>
      <c r="O850" s="21"/>
      <c r="P850" s="21"/>
      <c r="Q850" s="154"/>
      <c r="R850" s="21"/>
      <c r="S850" s="21"/>
      <c r="T850" s="21"/>
      <c r="U850" s="154"/>
      <c r="V850" s="154"/>
      <c r="W850" s="154"/>
      <c r="X850" s="21"/>
      <c r="Y850" s="21"/>
      <c r="Z850" s="21"/>
      <c r="AA850" s="21"/>
      <c r="AB850" s="21"/>
      <c r="AC850" s="21"/>
      <c r="AD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154"/>
      <c r="J851" s="21"/>
      <c r="K851" s="21"/>
      <c r="L851" s="21"/>
      <c r="M851" s="21"/>
      <c r="N851" s="21"/>
      <c r="O851" s="21"/>
      <c r="P851" s="21"/>
      <c r="Q851" s="154"/>
      <c r="R851" s="21"/>
      <c r="S851" s="21"/>
      <c r="T851" s="21"/>
      <c r="U851" s="154"/>
      <c r="V851" s="154"/>
      <c r="W851" s="154"/>
      <c r="X851" s="21"/>
      <c r="Y851" s="21"/>
      <c r="Z851" s="21"/>
      <c r="AA851" s="21"/>
      <c r="AB851" s="21"/>
      <c r="AC851" s="21"/>
      <c r="AD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154"/>
      <c r="J852" s="21"/>
      <c r="K852" s="21"/>
      <c r="L852" s="21"/>
      <c r="M852" s="21"/>
      <c r="N852" s="21"/>
      <c r="O852" s="21"/>
      <c r="P852" s="21"/>
      <c r="Q852" s="154"/>
      <c r="R852" s="21"/>
      <c r="S852" s="21"/>
      <c r="T852" s="21"/>
      <c r="U852" s="154"/>
      <c r="V852" s="154"/>
      <c r="W852" s="154"/>
      <c r="X852" s="21"/>
      <c r="Y852" s="21"/>
      <c r="Z852" s="21"/>
      <c r="AA852" s="21"/>
      <c r="AB852" s="21"/>
      <c r="AC852" s="21"/>
      <c r="AD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154"/>
      <c r="J853" s="21"/>
      <c r="K853" s="21"/>
      <c r="L853" s="21"/>
      <c r="M853" s="21"/>
      <c r="N853" s="21"/>
      <c r="O853" s="21"/>
      <c r="P853" s="21"/>
      <c r="Q853" s="154"/>
      <c r="R853" s="21"/>
      <c r="S853" s="21"/>
      <c r="T853" s="21"/>
      <c r="U853" s="154"/>
      <c r="V853" s="154"/>
      <c r="W853" s="154"/>
      <c r="X853" s="21"/>
      <c r="Y853" s="21"/>
      <c r="Z853" s="21"/>
      <c r="AA853" s="21"/>
      <c r="AB853" s="21"/>
      <c r="AC853" s="21"/>
      <c r="AD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154"/>
      <c r="J854" s="21"/>
      <c r="K854" s="21"/>
      <c r="L854" s="21"/>
      <c r="M854" s="21"/>
      <c r="N854" s="21"/>
      <c r="O854" s="21"/>
      <c r="P854" s="21"/>
      <c r="Q854" s="154"/>
      <c r="R854" s="21"/>
      <c r="S854" s="21"/>
      <c r="T854" s="21"/>
      <c r="U854" s="154"/>
      <c r="V854" s="154"/>
      <c r="W854" s="154"/>
      <c r="X854" s="21"/>
      <c r="Y854" s="21"/>
      <c r="Z854" s="21"/>
      <c r="AA854" s="21"/>
      <c r="AB854" s="21"/>
      <c r="AC854" s="21"/>
      <c r="AD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154"/>
      <c r="J855" s="21"/>
      <c r="K855" s="21"/>
      <c r="L855" s="21"/>
      <c r="M855" s="21"/>
      <c r="N855" s="21"/>
      <c r="O855" s="21"/>
      <c r="P855" s="21"/>
      <c r="Q855" s="154"/>
      <c r="R855" s="21"/>
      <c r="S855" s="21"/>
      <c r="T855" s="21"/>
      <c r="U855" s="154"/>
      <c r="V855" s="154"/>
      <c r="W855" s="154"/>
      <c r="X855" s="21"/>
      <c r="Y855" s="21"/>
      <c r="Z855" s="21"/>
      <c r="AA855" s="21"/>
      <c r="AB855" s="21"/>
      <c r="AC855" s="21"/>
      <c r="AD855" s="21"/>
    </row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9:Q29"/>
    <mergeCell ref="P30:Q30"/>
    <mergeCell ref="A49:Q49"/>
    <mergeCell ref="P50:Q50"/>
    <mergeCell ref="P70:Q70"/>
    <mergeCell ref="P90:Q90"/>
  </mergeCells>
  <printOptions headings="0" gridLines="0"/>
  <pageMargins left="0.70078740157480324" right="0.70078740157480324" top="0.75196850393700787" bottom="0.75196850393700787" header="0.29999999999999999" footer="0.29999999999999999"/>
  <pageSetup paperSize="58" scale="44" fitToWidth="1" fitToHeight="1" pageOrder="downThenOver" orientation="landscape" usePrinterDefaults="1" blackAndWhite="0" draft="0" cellComments="none" useFirstPageNumber="0" errors="displayed" horizontalDpi="600" verticalDpi="600" copies="1"/>
  <headerFooter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92" zoomScale="100" workbookViewId="0">
      <selection activeCell="B83" activeCellId="0" sqref="B83:C83"/>
    </sheetView>
  </sheetViews>
  <sheetFormatPr defaultRowHeight="13.5"/>
  <cols>
    <col customWidth="1" min="1" max="1" width="14.6640625"/>
    <col customWidth="1" min="2" max="2" width="12.88671875"/>
    <col customWidth="1" min="3" max="3" width="5.109375"/>
    <col customWidth="1" min="4" max="4" width="12.6640625"/>
    <col customWidth="1" min="5" max="5" width="5"/>
    <col customWidth="1" min="6" max="6" width="13.109375"/>
    <col customWidth="1" min="7" max="7" width="5.5546875"/>
    <col customWidth="1" min="8" max="8" width="11.88671875"/>
    <col customWidth="1" min="9" max="9" width="5.109375"/>
    <col customWidth="1" min="10" max="10" width="12.33203125"/>
    <col customWidth="1" min="11" max="11" width="5.33203125"/>
    <col customWidth="1" min="12" max="12" width="12.44140625"/>
    <col customWidth="1" min="13" max="13" width="5.44140625"/>
    <col customWidth="1" min="14" max="14" width="12.6640625"/>
    <col customWidth="1" min="15" max="15" width="5.109375"/>
    <col customWidth="1" min="16" max="16" width="7.33203125"/>
    <col bestFit="1" customWidth="1" min="17" max="17" width="9.88671875"/>
    <col customWidth="1" min="18" max="18" width="12"/>
    <col customWidth="1" min="21" max="21" width="6.44140625"/>
    <col customWidth="1" min="22" max="22" width="6.6640625"/>
    <col min="24" max="24" style="531" width="9.140625"/>
  </cols>
  <sheetData>
    <row r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</row>
    <row r="2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</row>
    <row r="3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</row>
    <row r="4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</row>
    <row r="5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</row>
    <row r="6" ht="14.25">
      <c r="A6" s="6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</row>
    <row r="7" ht="14.25">
      <c r="A7" s="7"/>
      <c r="B7" s="7"/>
      <c r="C7" s="7"/>
      <c r="D7" s="532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</row>
    <row r="8" ht="17.25">
      <c r="A8" s="30"/>
      <c r="B8" s="30"/>
      <c r="C8" s="533"/>
      <c r="D8" s="534"/>
      <c r="E8" s="535"/>
      <c r="F8" s="536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</row>
    <row r="10" ht="14.25">
      <c r="A10" s="143"/>
      <c r="B10" s="214" t="s">
        <v>17</v>
      </c>
      <c r="C10" s="492"/>
      <c r="D10" s="214" t="s">
        <v>18</v>
      </c>
      <c r="E10" s="492"/>
      <c r="F10" s="214" t="s">
        <v>19</v>
      </c>
      <c r="G10" s="214"/>
      <c r="H10" s="214" t="s">
        <v>20</v>
      </c>
      <c r="I10" s="492"/>
      <c r="J10" s="493" t="s">
        <v>21</v>
      </c>
      <c r="K10" s="493"/>
      <c r="L10" s="214" t="s">
        <v>22</v>
      </c>
      <c r="M10" s="214"/>
      <c r="N10" s="214" t="s">
        <v>23</v>
      </c>
      <c r="O10" s="43"/>
      <c r="P10" s="208" t="s">
        <v>24</v>
      </c>
      <c r="Q10" s="209"/>
      <c r="R10" s="143">
        <v>168</v>
      </c>
      <c r="S10" s="143"/>
      <c r="T10" s="143"/>
      <c r="U10" s="286">
        <v>168</v>
      </c>
      <c r="V10" s="90"/>
      <c r="W10" s="62"/>
      <c r="X10" s="51"/>
    </row>
    <row r="11" ht="14.25">
      <c r="A11" s="143"/>
      <c r="B11" s="526">
        <v>46076</v>
      </c>
      <c r="C11" s="528"/>
      <c r="D11" s="526">
        <v>46077</v>
      </c>
      <c r="E11" s="528"/>
      <c r="F11" s="526">
        <v>46078</v>
      </c>
      <c r="G11" s="528"/>
      <c r="H11" s="526">
        <v>46079</v>
      </c>
      <c r="I11" s="528"/>
      <c r="J11" s="526">
        <v>46080</v>
      </c>
      <c r="K11" s="528"/>
      <c r="L11" s="526">
        <v>46081</v>
      </c>
      <c r="M11" s="528"/>
      <c r="N11" s="526">
        <v>46082</v>
      </c>
      <c r="O11" s="157"/>
      <c r="P11" s="213" t="s">
        <v>25</v>
      </c>
      <c r="Q11" s="214" t="s">
        <v>26</v>
      </c>
      <c r="R11" s="537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</row>
    <row r="12" ht="14.25">
      <c r="A12" s="538" t="s">
        <v>35</v>
      </c>
      <c r="B12" s="539"/>
      <c r="C12" s="539"/>
      <c r="D12" s="540"/>
      <c r="E12" s="540"/>
      <c r="F12" s="540"/>
      <c r="G12" s="540"/>
      <c r="H12" s="540"/>
      <c r="I12" s="540"/>
      <c r="J12" s="540"/>
      <c r="K12" s="540"/>
      <c r="L12" s="541"/>
      <c r="M12" s="541"/>
      <c r="N12" s="541"/>
      <c r="O12" s="541"/>
      <c r="P12" s="253">
        <f t="shared" ref="P12:P75" si="122">C12+E12+G12+I12+K12+M12+O12</f>
        <v>0</v>
      </c>
      <c r="Q12" s="62">
        <f>R10-P12</f>
        <v>168</v>
      </c>
      <c r="R12" s="219" t="str">
        <f t="shared" ref="R12:R75" si="123">A12</f>
        <v>Рычков</v>
      </c>
      <c r="S12" s="76" t="s">
        <v>10</v>
      </c>
      <c r="T12" s="77" t="s">
        <v>9</v>
      </c>
      <c r="U12" s="73">
        <f t="shared" ref="U12:U34" si="124">COUNTIF(T12,B12)+COUNTIF(T12,D12)+COUNTIF(T12,F12)+COUNTIF(T12,H12)+COUNTIF(T12,J12)+COUNTIF(T12,L12)+COUNTIF(T12,N12)</f>
        <v>0</v>
      </c>
      <c r="V12" s="62">
        <f t="shared" ref="V12:V34" si="125">COUNTIF(S12,B12)+COUNTIF(S12,D12)+COUNTIF(S12,F12)+COUNTIF(S12,H12)+COUNTIF(S12,J12)+COUNTIF(S12,L12)+COUNTIF(S12,N12)</f>
        <v>0</v>
      </c>
      <c r="W12" s="62"/>
      <c r="X12" s="74" t="s">
        <v>34</v>
      </c>
    </row>
    <row r="13" ht="14.25">
      <c r="A13" s="440" t="s">
        <v>39</v>
      </c>
      <c r="B13" s="539"/>
      <c r="C13" s="539"/>
      <c r="D13" s="540"/>
      <c r="E13" s="540"/>
      <c r="F13" s="540"/>
      <c r="G13" s="540"/>
      <c r="H13" s="540"/>
      <c r="I13" s="540"/>
      <c r="J13" s="540"/>
      <c r="K13" s="540"/>
      <c r="L13" s="541"/>
      <c r="M13" s="541"/>
      <c r="N13" s="541"/>
      <c r="O13" s="541"/>
      <c r="P13" s="253">
        <f t="shared" si="122"/>
        <v>0</v>
      </c>
      <c r="Q13" s="62">
        <f>R10-P13</f>
        <v>168</v>
      </c>
      <c r="R13" s="219" t="str">
        <f t="shared" si="123"/>
        <v>Игумнов</v>
      </c>
      <c r="S13" s="76" t="s">
        <v>10</v>
      </c>
      <c r="T13" s="77" t="s">
        <v>9</v>
      </c>
      <c r="U13" s="73">
        <f t="shared" si="124"/>
        <v>0</v>
      </c>
      <c r="V13" s="62">
        <f t="shared" si="125"/>
        <v>0</v>
      </c>
      <c r="W13" s="62"/>
      <c r="X13" s="79" t="s">
        <v>34</v>
      </c>
    </row>
    <row r="14" ht="14.25">
      <c r="A14" s="440" t="s">
        <v>40</v>
      </c>
      <c r="B14" s="539"/>
      <c r="C14" s="539"/>
      <c r="D14" s="540"/>
      <c r="E14" s="540"/>
      <c r="F14" s="540"/>
      <c r="G14" s="540"/>
      <c r="H14" s="540"/>
      <c r="I14" s="540"/>
      <c r="J14" s="540"/>
      <c r="K14" s="540"/>
      <c r="L14" s="541"/>
      <c r="M14" s="541"/>
      <c r="N14" s="541"/>
      <c r="O14" s="541"/>
      <c r="P14" s="253">
        <f t="shared" si="122"/>
        <v>0</v>
      </c>
      <c r="Q14" s="62">
        <f>R10-P14</f>
        <v>168</v>
      </c>
      <c r="R14" s="219" t="str">
        <f t="shared" si="123"/>
        <v>Душин</v>
      </c>
      <c r="S14" s="76" t="s">
        <v>10</v>
      </c>
      <c r="T14" s="77" t="s">
        <v>9</v>
      </c>
      <c r="U14" s="73">
        <f t="shared" si="124"/>
        <v>0</v>
      </c>
      <c r="V14" s="62">
        <f t="shared" si="125"/>
        <v>0</v>
      </c>
      <c r="W14" s="62"/>
      <c r="X14" s="74" t="s">
        <v>38</v>
      </c>
    </row>
    <row r="15" ht="14.25">
      <c r="A15" s="440" t="s">
        <v>31</v>
      </c>
      <c r="B15" s="539"/>
      <c r="C15" s="539"/>
      <c r="D15" s="540"/>
      <c r="E15" s="540"/>
      <c r="F15" s="540"/>
      <c r="G15" s="540"/>
      <c r="H15" s="540"/>
      <c r="I15" s="540"/>
      <c r="J15" s="540"/>
      <c r="K15" s="540"/>
      <c r="L15" s="541"/>
      <c r="M15" s="541"/>
      <c r="N15" s="541"/>
      <c r="O15" s="541"/>
      <c r="P15" s="253">
        <f t="shared" si="122"/>
        <v>0</v>
      </c>
      <c r="Q15" s="62">
        <f>R10-P15</f>
        <v>168</v>
      </c>
      <c r="R15" s="219" t="str">
        <f t="shared" si="123"/>
        <v>Нетронин</v>
      </c>
      <c r="S15" s="76" t="s">
        <v>58</v>
      </c>
      <c r="T15" s="77" t="s">
        <v>59</v>
      </c>
      <c r="U15" s="73"/>
      <c r="V15" s="62"/>
      <c r="W15" s="62"/>
      <c r="X15" s="74" t="s">
        <v>34</v>
      </c>
    </row>
    <row r="16" ht="14.25">
      <c r="A16" s="440" t="s">
        <v>61</v>
      </c>
      <c r="B16" s="542"/>
      <c r="C16" s="542"/>
      <c r="D16" s="543"/>
      <c r="E16" s="543"/>
      <c r="F16" s="540"/>
      <c r="G16" s="543"/>
      <c r="H16" s="543"/>
      <c r="I16" s="543"/>
      <c r="J16" s="543"/>
      <c r="K16" s="543"/>
      <c r="L16" s="544"/>
      <c r="M16" s="544"/>
      <c r="N16" s="462"/>
      <c r="O16" s="462"/>
      <c r="P16" s="253">
        <f t="shared" si="122"/>
        <v>0</v>
      </c>
      <c r="Q16" s="221">
        <f>R10-P16</f>
        <v>168</v>
      </c>
      <c r="R16" s="219" t="str">
        <f t="shared" si="123"/>
        <v>Раимова</v>
      </c>
      <c r="S16" s="545" t="s">
        <v>10</v>
      </c>
      <c r="T16" s="77" t="s">
        <v>9</v>
      </c>
      <c r="U16" s="240"/>
      <c r="V16" s="62"/>
      <c r="W16" s="62"/>
      <c r="X16" s="74" t="s">
        <v>38</v>
      </c>
    </row>
    <row r="17" ht="14.25">
      <c r="A17" s="205" t="s">
        <v>43</v>
      </c>
      <c r="B17" s="72"/>
      <c r="C17" s="546"/>
      <c r="D17" s="465"/>
      <c r="E17" s="547"/>
      <c r="F17" s="548"/>
      <c r="G17" s="549"/>
      <c r="H17" s="87"/>
      <c r="I17" s="550"/>
      <c r="J17" s="71"/>
      <c r="K17" s="551"/>
      <c r="L17" s="71"/>
      <c r="M17" s="552"/>
      <c r="N17" s="67"/>
      <c r="O17" s="67"/>
      <c r="P17" s="218">
        <f t="shared" si="122"/>
        <v>0</v>
      </c>
      <c r="Q17" s="229">
        <f>R10-P17</f>
        <v>168</v>
      </c>
      <c r="R17" s="219" t="str">
        <f t="shared" si="123"/>
        <v>Дащенко</v>
      </c>
      <c r="S17" s="553" t="s">
        <v>12</v>
      </c>
      <c r="T17" s="72" t="s">
        <v>11</v>
      </c>
      <c r="U17" s="244">
        <f t="shared" si="124"/>
        <v>0</v>
      </c>
      <c r="V17" s="62">
        <f t="shared" si="125"/>
        <v>0</v>
      </c>
      <c r="W17" s="62"/>
      <c r="X17" s="63" t="s">
        <v>44</v>
      </c>
    </row>
    <row r="18" ht="14.25">
      <c r="A18" s="205" t="s">
        <v>45</v>
      </c>
      <c r="B18" s="77"/>
      <c r="C18" s="554"/>
      <c r="D18" s="77"/>
      <c r="E18" s="555"/>
      <c r="F18" s="87"/>
      <c r="G18" s="87"/>
      <c r="H18" s="77"/>
      <c r="I18" s="556"/>
      <c r="J18" s="77"/>
      <c r="K18" s="557"/>
      <c r="L18" s="558"/>
      <c r="M18" s="559"/>
      <c r="N18" s="560"/>
      <c r="O18" s="561"/>
      <c r="P18" s="253">
        <f t="shared" si="122"/>
        <v>0</v>
      </c>
      <c r="Q18" s="62">
        <f>R10-P18</f>
        <v>168</v>
      </c>
      <c r="R18" s="219" t="str">
        <f t="shared" si="123"/>
        <v>Пузырь</v>
      </c>
      <c r="S18" s="76" t="s">
        <v>10</v>
      </c>
      <c r="T18" s="77" t="s">
        <v>9</v>
      </c>
      <c r="U18" s="73">
        <f t="shared" si="124"/>
        <v>0</v>
      </c>
      <c r="V18" s="62">
        <f t="shared" si="125"/>
        <v>0</v>
      </c>
      <c r="W18" s="62"/>
      <c r="X18" s="74" t="s">
        <v>34</v>
      </c>
    </row>
    <row r="19" ht="14.25">
      <c r="A19" s="205" t="s">
        <v>46</v>
      </c>
      <c r="B19" s="562"/>
      <c r="C19" s="330"/>
      <c r="D19" s="562"/>
      <c r="E19" s="563"/>
      <c r="F19" s="76"/>
      <c r="G19" s="564"/>
      <c r="H19" s="76"/>
      <c r="I19" s="565"/>
      <c r="J19" s="558"/>
      <c r="K19" s="559"/>
      <c r="L19" s="566"/>
      <c r="M19" s="567"/>
      <c r="N19" s="76"/>
      <c r="O19" s="324">
        <v>11</v>
      </c>
      <c r="P19" s="218">
        <f t="shared" si="122"/>
        <v>11</v>
      </c>
      <c r="Q19" s="62">
        <f>R10-P19</f>
        <v>157</v>
      </c>
      <c r="R19" s="219" t="str">
        <f t="shared" si="123"/>
        <v>Голышев</v>
      </c>
      <c r="S19" s="76" t="s">
        <v>10</v>
      </c>
      <c r="T19" s="77" t="s">
        <v>9</v>
      </c>
      <c r="U19" s="73">
        <f t="shared" si="124"/>
        <v>0</v>
      </c>
      <c r="V19" s="62">
        <f t="shared" si="125"/>
        <v>0</v>
      </c>
      <c r="W19" s="62"/>
      <c r="X19" s="74" t="s">
        <v>34</v>
      </c>
    </row>
    <row r="20" ht="14.25">
      <c r="A20" s="205" t="s">
        <v>47</v>
      </c>
      <c r="B20" s="562"/>
      <c r="C20" s="330"/>
      <c r="D20" s="87"/>
      <c r="E20" s="87"/>
      <c r="F20" s="77"/>
      <c r="G20" s="568"/>
      <c r="H20" s="77"/>
      <c r="I20" s="329"/>
      <c r="J20" s="569"/>
      <c r="K20" s="567"/>
      <c r="L20" s="77"/>
      <c r="M20" s="568"/>
      <c r="N20" s="77"/>
      <c r="O20" s="556">
        <v>11</v>
      </c>
      <c r="P20" s="218">
        <f t="shared" si="122"/>
        <v>11</v>
      </c>
      <c r="Q20" s="62">
        <f>R10-P20</f>
        <v>157</v>
      </c>
      <c r="R20" s="219" t="str">
        <f t="shared" si="123"/>
        <v>Торубара</v>
      </c>
      <c r="S20" s="76" t="s">
        <v>10</v>
      </c>
      <c r="T20" s="77" t="s">
        <v>9</v>
      </c>
      <c r="U20" s="73">
        <f t="shared" si="124"/>
        <v>0</v>
      </c>
      <c r="V20" s="62">
        <f t="shared" si="125"/>
        <v>0</v>
      </c>
      <c r="W20" s="62"/>
      <c r="X20" s="74" t="s">
        <v>34</v>
      </c>
    </row>
    <row r="21" ht="14.25">
      <c r="A21" s="205" t="s">
        <v>48</v>
      </c>
      <c r="B21" s="71"/>
      <c r="C21" s="324"/>
      <c r="D21" s="71"/>
      <c r="E21" s="324"/>
      <c r="F21" s="570"/>
      <c r="G21" s="559"/>
      <c r="H21" s="558"/>
      <c r="I21" s="571"/>
      <c r="J21" s="72"/>
      <c r="K21" s="568"/>
      <c r="L21" s="72"/>
      <c r="M21" s="568"/>
      <c r="N21" s="67"/>
      <c r="O21" s="572"/>
      <c r="P21" s="218">
        <f t="shared" si="122"/>
        <v>0</v>
      </c>
      <c r="Q21" s="62">
        <f>R10-P21</f>
        <v>168</v>
      </c>
      <c r="R21" s="219" t="str">
        <f t="shared" si="123"/>
        <v>Стрыгин</v>
      </c>
      <c r="S21" s="71" t="s">
        <v>8</v>
      </c>
      <c r="T21" s="72" t="s">
        <v>7</v>
      </c>
      <c r="U21" s="73">
        <f t="shared" si="124"/>
        <v>0</v>
      </c>
      <c r="V21" s="62">
        <f t="shared" si="125"/>
        <v>0</v>
      </c>
      <c r="W21" s="62"/>
      <c r="X21" s="74" t="s">
        <v>49</v>
      </c>
    </row>
    <row r="22" ht="14.25">
      <c r="A22" s="205" t="s">
        <v>50</v>
      </c>
      <c r="B22" s="87"/>
      <c r="C22" s="87"/>
      <c r="D22" s="87"/>
      <c r="E22" s="87"/>
      <c r="F22" s="72"/>
      <c r="G22" s="557"/>
      <c r="H22" s="566"/>
      <c r="I22" s="567"/>
      <c r="J22" s="71"/>
      <c r="K22" s="573"/>
      <c r="L22" s="71"/>
      <c r="M22" s="574"/>
      <c r="N22" s="560"/>
      <c r="O22" s="575"/>
      <c r="P22" s="253">
        <f t="shared" si="122"/>
        <v>0</v>
      </c>
      <c r="Q22" s="62">
        <f>R10-P22</f>
        <v>168</v>
      </c>
      <c r="R22" s="219" t="str">
        <f t="shared" si="123"/>
        <v>Фрик</v>
      </c>
      <c r="S22" s="71" t="s">
        <v>12</v>
      </c>
      <c r="T22" s="72" t="s">
        <v>11</v>
      </c>
      <c r="U22" s="73">
        <f t="shared" si="124"/>
        <v>0</v>
      </c>
      <c r="V22" s="62">
        <f t="shared" si="125"/>
        <v>0</v>
      </c>
      <c r="W22" s="62"/>
      <c r="X22" s="74" t="s">
        <v>44</v>
      </c>
    </row>
    <row r="23" ht="14.25">
      <c r="A23" s="576" t="s">
        <v>51</v>
      </c>
      <c r="B23" s="558"/>
      <c r="C23" s="571"/>
      <c r="D23" s="87"/>
      <c r="E23" s="87"/>
      <c r="F23" s="76"/>
      <c r="G23" s="573"/>
      <c r="H23" s="76"/>
      <c r="I23" s="574"/>
      <c r="J23" s="558"/>
      <c r="K23" s="559"/>
      <c r="L23" s="558"/>
      <c r="M23" s="567"/>
      <c r="N23" s="77"/>
      <c r="O23" s="556">
        <v>11</v>
      </c>
      <c r="P23" s="218">
        <f t="shared" si="122"/>
        <v>11</v>
      </c>
      <c r="Q23" s="62">
        <f>R10-P23</f>
        <v>157</v>
      </c>
      <c r="R23" s="219" t="str">
        <f t="shared" si="123"/>
        <v>Истрашкин</v>
      </c>
      <c r="S23" s="71" t="s">
        <v>10</v>
      </c>
      <c r="T23" s="72" t="s">
        <v>9</v>
      </c>
      <c r="U23" s="73">
        <f t="shared" si="124"/>
        <v>0</v>
      </c>
      <c r="V23" s="62">
        <f t="shared" si="125"/>
        <v>0</v>
      </c>
      <c r="W23" s="62"/>
      <c r="X23" s="74" t="s">
        <v>34</v>
      </c>
    </row>
    <row r="24" ht="14.25">
      <c r="A24" s="207"/>
      <c r="B24" s="526">
        <v>46076</v>
      </c>
      <c r="C24" s="528"/>
      <c r="D24" s="499">
        <v>46077</v>
      </c>
      <c r="E24" s="157"/>
      <c r="F24" s="499">
        <v>46078</v>
      </c>
      <c r="G24" s="528"/>
      <c r="H24" s="499">
        <v>46079</v>
      </c>
      <c r="I24" s="528"/>
      <c r="J24" s="526">
        <v>46080</v>
      </c>
      <c r="K24" s="528"/>
      <c r="L24" s="526">
        <v>46081</v>
      </c>
      <c r="M24" s="528"/>
      <c r="N24" s="499">
        <v>46082</v>
      </c>
      <c r="O24" s="528"/>
      <c r="P24" s="232"/>
      <c r="Q24" s="233"/>
      <c r="R24" s="49"/>
      <c r="S24" s="161"/>
      <c r="T24" s="161"/>
      <c r="U24" s="60" t="s">
        <v>27</v>
      </c>
      <c r="V24" s="61" t="s">
        <v>28</v>
      </c>
      <c r="W24" s="62" t="s">
        <v>29</v>
      </c>
      <c r="X24" s="577"/>
    </row>
    <row r="25" ht="14.25">
      <c r="A25" s="162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4"/>
      <c r="R25" s="165"/>
      <c r="S25" s="165"/>
      <c r="T25" s="165"/>
      <c r="U25" s="100"/>
      <c r="V25" s="100"/>
      <c r="W25" s="100"/>
      <c r="X25" s="7"/>
    </row>
    <row r="26" ht="14.25">
      <c r="A26" s="165"/>
      <c r="B26" s="237" t="s">
        <v>17</v>
      </c>
      <c r="C26" s="237"/>
      <c r="D26" s="237" t="s">
        <v>18</v>
      </c>
      <c r="E26" s="237"/>
      <c r="F26" s="237" t="s">
        <v>19</v>
      </c>
      <c r="G26" s="237"/>
      <c r="H26" s="237" t="s">
        <v>20</v>
      </c>
      <c r="I26" s="237"/>
      <c r="J26" s="578" t="s">
        <v>21</v>
      </c>
      <c r="K26" s="578"/>
      <c r="L26" s="237" t="s">
        <v>22</v>
      </c>
      <c r="M26" s="237"/>
      <c r="N26" s="237" t="s">
        <v>23</v>
      </c>
      <c r="O26" s="237"/>
      <c r="P26" s="234" t="s">
        <v>24</v>
      </c>
      <c r="Q26" s="235"/>
      <c r="R26" s="165"/>
      <c r="S26" s="165"/>
      <c r="T26" s="165"/>
      <c r="U26" s="100"/>
      <c r="V26" s="100"/>
      <c r="W26" s="100"/>
      <c r="X26" s="51"/>
    </row>
    <row r="27" ht="14.25">
      <c r="A27" s="165"/>
      <c r="B27" s="457">
        <v>46083</v>
      </c>
      <c r="C27" s="457"/>
      <c r="D27" s="457">
        <v>46084</v>
      </c>
      <c r="E27" s="457"/>
      <c r="F27" s="457">
        <v>46085</v>
      </c>
      <c r="G27" s="457"/>
      <c r="H27" s="457">
        <v>46086</v>
      </c>
      <c r="I27" s="457"/>
      <c r="J27" s="457">
        <v>46087</v>
      </c>
      <c r="K27" s="457"/>
      <c r="L27" s="457">
        <v>46088</v>
      </c>
      <c r="M27" s="457"/>
      <c r="N27" s="457">
        <v>46089</v>
      </c>
      <c r="O27" s="459"/>
      <c r="P27" s="236" t="s">
        <v>25</v>
      </c>
      <c r="Q27" s="237" t="s">
        <v>26</v>
      </c>
      <c r="R27" s="579"/>
      <c r="S27" s="239"/>
      <c r="T27" s="239"/>
      <c r="U27" s="15" t="s">
        <v>27</v>
      </c>
      <c r="V27" s="106" t="s">
        <v>28</v>
      </c>
      <c r="W27" s="100" t="s">
        <v>29</v>
      </c>
      <c r="X27" s="63" t="s">
        <v>30</v>
      </c>
    </row>
    <row r="28" ht="14.25">
      <c r="A28" s="217" t="s">
        <v>35</v>
      </c>
      <c r="B28" s="65" t="s">
        <v>32</v>
      </c>
      <c r="C28" s="580" t="s">
        <v>33</v>
      </c>
      <c r="D28" s="65" t="s">
        <v>32</v>
      </c>
      <c r="E28" s="580" t="s">
        <v>33</v>
      </c>
      <c r="F28" s="65" t="s">
        <v>32</v>
      </c>
      <c r="G28" s="580" t="s">
        <v>33</v>
      </c>
      <c r="H28" s="65" t="s">
        <v>32</v>
      </c>
      <c r="I28" s="580" t="s">
        <v>33</v>
      </c>
      <c r="J28" s="65" t="s">
        <v>32</v>
      </c>
      <c r="K28" s="580" t="s">
        <v>33</v>
      </c>
      <c r="L28" s="66"/>
      <c r="M28" s="581"/>
      <c r="N28" s="66"/>
      <c r="O28" s="581"/>
      <c r="P28" s="218">
        <f t="shared" si="122"/>
        <v>40</v>
      </c>
      <c r="Q28" s="221">
        <f t="shared" ref="Q28:Q91" si="126">Q12-P28</f>
        <v>128</v>
      </c>
      <c r="R28" s="219" t="str">
        <f t="shared" si="123"/>
        <v>Рычков</v>
      </c>
      <c r="S28" s="76" t="s">
        <v>10</v>
      </c>
      <c r="T28" s="77" t="s">
        <v>9</v>
      </c>
      <c r="U28" s="73">
        <f t="shared" si="124"/>
        <v>0</v>
      </c>
      <c r="V28" s="221">
        <f t="shared" si="125"/>
        <v>0</v>
      </c>
      <c r="W28" s="62"/>
      <c r="X28" s="74" t="s">
        <v>34</v>
      </c>
    </row>
    <row r="29" ht="14.25">
      <c r="A29" s="203" t="s">
        <v>39</v>
      </c>
      <c r="B29" s="65" t="s">
        <v>32</v>
      </c>
      <c r="C29" s="582" t="s">
        <v>33</v>
      </c>
      <c r="D29" s="65" t="s">
        <v>32</v>
      </c>
      <c r="E29" s="582" t="s">
        <v>33</v>
      </c>
      <c r="F29" s="65" t="s">
        <v>32</v>
      </c>
      <c r="G29" s="582" t="s">
        <v>33</v>
      </c>
      <c r="H29" s="65" t="s">
        <v>32</v>
      </c>
      <c r="I29" s="582" t="s">
        <v>33</v>
      </c>
      <c r="J29" s="65" t="s">
        <v>32</v>
      </c>
      <c r="K29" s="582" t="s">
        <v>33</v>
      </c>
      <c r="L29" s="66"/>
      <c r="M29" s="583"/>
      <c r="N29" s="66"/>
      <c r="O29" s="583"/>
      <c r="P29" s="218">
        <f t="shared" si="122"/>
        <v>40</v>
      </c>
      <c r="Q29" s="229">
        <f t="shared" si="126"/>
        <v>128</v>
      </c>
      <c r="R29" s="219" t="str">
        <f t="shared" si="123"/>
        <v>Игумнов</v>
      </c>
      <c r="S29" s="76" t="s">
        <v>10</v>
      </c>
      <c r="T29" s="77" t="s">
        <v>9</v>
      </c>
      <c r="U29" s="73">
        <f t="shared" si="124"/>
        <v>0</v>
      </c>
      <c r="V29" s="229">
        <f t="shared" si="125"/>
        <v>0</v>
      </c>
      <c r="W29" s="62"/>
      <c r="X29" s="79" t="s">
        <v>34</v>
      </c>
    </row>
    <row r="30" ht="14.25">
      <c r="A30" s="203" t="s">
        <v>40</v>
      </c>
      <c r="B30" s="65" t="s">
        <v>32</v>
      </c>
      <c r="C30" s="65" t="s">
        <v>33</v>
      </c>
      <c r="D30" s="65" t="s">
        <v>32</v>
      </c>
      <c r="E30" s="65" t="s">
        <v>33</v>
      </c>
      <c r="F30" s="65" t="s">
        <v>32</v>
      </c>
      <c r="G30" s="65" t="s">
        <v>33</v>
      </c>
      <c r="H30" s="65" t="s">
        <v>32</v>
      </c>
      <c r="I30" s="65" t="s">
        <v>33</v>
      </c>
      <c r="J30" s="65" t="s">
        <v>32</v>
      </c>
      <c r="K30" s="65" t="s">
        <v>33</v>
      </c>
      <c r="L30" s="66"/>
      <c r="M30" s="66"/>
      <c r="N30" s="66"/>
      <c r="O30" s="66"/>
      <c r="P30" s="218">
        <f t="shared" si="122"/>
        <v>40</v>
      </c>
      <c r="Q30" s="62">
        <f t="shared" si="126"/>
        <v>128</v>
      </c>
      <c r="R30" s="219" t="str">
        <f t="shared" si="123"/>
        <v>Душин</v>
      </c>
      <c r="S30" s="76" t="s">
        <v>10</v>
      </c>
      <c r="T30" s="77" t="s">
        <v>9</v>
      </c>
      <c r="U30" s="73">
        <f t="shared" si="124"/>
        <v>0</v>
      </c>
      <c r="V30" s="62">
        <f t="shared" si="125"/>
        <v>0</v>
      </c>
      <c r="W30" s="62"/>
      <c r="X30" s="74" t="s">
        <v>38</v>
      </c>
    </row>
    <row r="31" ht="14.25">
      <c r="A31" s="203" t="s">
        <v>31</v>
      </c>
      <c r="B31" s="65" t="s">
        <v>32</v>
      </c>
      <c r="C31" s="65" t="s">
        <v>33</v>
      </c>
      <c r="D31" s="65" t="s">
        <v>32</v>
      </c>
      <c r="E31" s="65" t="s">
        <v>33</v>
      </c>
      <c r="F31" s="65" t="s">
        <v>32</v>
      </c>
      <c r="G31" s="65" t="s">
        <v>33</v>
      </c>
      <c r="H31" s="65" t="s">
        <v>32</v>
      </c>
      <c r="I31" s="65" t="s">
        <v>33</v>
      </c>
      <c r="J31" s="65" t="s">
        <v>32</v>
      </c>
      <c r="K31" s="65" t="s">
        <v>33</v>
      </c>
      <c r="L31" s="66"/>
      <c r="M31" s="66"/>
      <c r="N31" s="66"/>
      <c r="O31" s="66"/>
      <c r="P31" s="218">
        <f t="shared" si="122"/>
        <v>40</v>
      </c>
      <c r="Q31" s="62">
        <f t="shared" si="126"/>
        <v>128</v>
      </c>
      <c r="R31" s="219" t="str">
        <f t="shared" si="123"/>
        <v>Нетронин</v>
      </c>
      <c r="S31" s="76" t="s">
        <v>58</v>
      </c>
      <c r="T31" s="77" t="s">
        <v>59</v>
      </c>
      <c r="U31" s="73">
        <f t="shared" si="124"/>
        <v>0</v>
      </c>
      <c r="V31" s="62">
        <f t="shared" si="125"/>
        <v>0</v>
      </c>
      <c r="W31" s="62"/>
      <c r="X31" s="74" t="s">
        <v>38</v>
      </c>
    </row>
    <row r="32" ht="14.25">
      <c r="A32" s="203" t="s">
        <v>61</v>
      </c>
      <c r="B32" s="65" t="s">
        <v>32</v>
      </c>
      <c r="C32" s="65" t="s">
        <v>33</v>
      </c>
      <c r="D32" s="65" t="s">
        <v>32</v>
      </c>
      <c r="E32" s="65" t="s">
        <v>33</v>
      </c>
      <c r="F32" s="65" t="s">
        <v>32</v>
      </c>
      <c r="G32" s="65" t="s">
        <v>33</v>
      </c>
      <c r="H32" s="65" t="s">
        <v>32</v>
      </c>
      <c r="I32" s="65" t="s">
        <v>33</v>
      </c>
      <c r="J32" s="65" t="s">
        <v>32</v>
      </c>
      <c r="K32" s="65" t="s">
        <v>33</v>
      </c>
      <c r="L32" s="66"/>
      <c r="M32" s="66"/>
      <c r="N32" s="66"/>
      <c r="O32" s="66"/>
      <c r="P32" s="218">
        <f t="shared" si="122"/>
        <v>40</v>
      </c>
      <c r="Q32" s="62">
        <f t="shared" si="126"/>
        <v>128</v>
      </c>
      <c r="R32" s="219" t="str">
        <f t="shared" si="123"/>
        <v>Раимова</v>
      </c>
      <c r="S32" s="76" t="s">
        <v>10</v>
      </c>
      <c r="T32" s="77" t="s">
        <v>9</v>
      </c>
      <c r="U32" s="73">
        <f t="shared" si="124"/>
        <v>0</v>
      </c>
      <c r="V32" s="62">
        <f t="shared" si="125"/>
        <v>0</v>
      </c>
      <c r="W32" s="62"/>
      <c r="X32" s="91" t="s">
        <v>44</v>
      </c>
    </row>
    <row r="33" ht="14.25">
      <c r="A33" s="205" t="s">
        <v>43</v>
      </c>
      <c r="B33" s="76"/>
      <c r="C33" s="324">
        <v>11</v>
      </c>
      <c r="D33" s="76"/>
      <c r="E33" s="324">
        <v>11</v>
      </c>
      <c r="F33" s="67"/>
      <c r="G33" s="330"/>
      <c r="H33" s="66"/>
      <c r="I33" s="66"/>
      <c r="J33" s="77" t="s">
        <v>71</v>
      </c>
      <c r="K33" s="329">
        <v>9</v>
      </c>
      <c r="L33" s="77"/>
      <c r="M33" s="329">
        <v>11</v>
      </c>
      <c r="N33" s="67"/>
      <c r="O33" s="67"/>
      <c r="P33" s="218">
        <f t="shared" si="122"/>
        <v>42</v>
      </c>
      <c r="Q33" s="62">
        <f t="shared" si="126"/>
        <v>126</v>
      </c>
      <c r="R33" s="219" t="str">
        <f t="shared" si="123"/>
        <v>Дащенко</v>
      </c>
      <c r="S33" s="71" t="s">
        <v>12</v>
      </c>
      <c r="T33" s="72" t="s">
        <v>11</v>
      </c>
      <c r="U33" s="73">
        <f t="shared" si="124"/>
        <v>0</v>
      </c>
      <c r="V33" s="62">
        <f t="shared" si="125"/>
        <v>0</v>
      </c>
      <c r="W33" s="62"/>
      <c r="X33" s="63" t="s">
        <v>44</v>
      </c>
    </row>
    <row r="34" ht="14.25">
      <c r="A34" s="205" t="s">
        <v>45</v>
      </c>
      <c r="B34" s="77"/>
      <c r="C34" s="556">
        <v>11</v>
      </c>
      <c r="D34" s="77"/>
      <c r="E34" s="556">
        <v>11</v>
      </c>
      <c r="F34" s="67"/>
      <c r="G34" s="584"/>
      <c r="H34" s="77"/>
      <c r="I34" s="329">
        <v>11</v>
      </c>
      <c r="J34" s="67"/>
      <c r="K34" s="330"/>
      <c r="L34" s="67"/>
      <c r="M34" s="330"/>
      <c r="N34" s="76"/>
      <c r="O34" s="324">
        <v>11</v>
      </c>
      <c r="P34" s="218">
        <f t="shared" si="122"/>
        <v>44</v>
      </c>
      <c r="Q34" s="62">
        <f t="shared" si="126"/>
        <v>124</v>
      </c>
      <c r="R34" s="219" t="str">
        <f t="shared" si="123"/>
        <v>Пузырь</v>
      </c>
      <c r="S34" s="76" t="s">
        <v>10</v>
      </c>
      <c r="T34" s="77" t="s">
        <v>9</v>
      </c>
      <c r="U34" s="73">
        <f t="shared" si="124"/>
        <v>0</v>
      </c>
      <c r="V34" s="62">
        <f t="shared" si="125"/>
        <v>0</v>
      </c>
      <c r="W34" s="62"/>
      <c r="X34" s="74" t="s">
        <v>34</v>
      </c>
    </row>
    <row r="35" ht="14.25">
      <c r="A35" s="205" t="s">
        <v>46</v>
      </c>
      <c r="B35" s="76"/>
      <c r="C35" s="585">
        <v>11</v>
      </c>
      <c r="D35" s="66"/>
      <c r="E35" s="586"/>
      <c r="F35" s="66"/>
      <c r="G35" s="586"/>
      <c r="H35" s="77"/>
      <c r="I35" s="556">
        <v>11</v>
      </c>
      <c r="J35" s="77"/>
      <c r="K35" s="556">
        <v>11</v>
      </c>
      <c r="L35" s="67"/>
      <c r="M35" s="67"/>
      <c r="N35" s="77"/>
      <c r="O35" s="556">
        <v>11</v>
      </c>
      <c r="P35" s="218">
        <f t="shared" si="122"/>
        <v>44</v>
      </c>
      <c r="Q35" s="221">
        <f t="shared" si="126"/>
        <v>113</v>
      </c>
      <c r="R35" s="219" t="str">
        <f t="shared" si="123"/>
        <v>Голышев</v>
      </c>
      <c r="S35" s="545" t="s">
        <v>10</v>
      </c>
      <c r="T35" s="77" t="s">
        <v>9</v>
      </c>
      <c r="U35" s="240">
        <f>COUNTIF(T35,B35)+COUNTIF(T35,D35)+COUNTIF(T35,#REF!)+COUNTIF(T35,H35)+COUNTIF(T35,F35)+COUNTIF(T35,L35)+COUNTIF(T35,N35)</f>
        <v>0</v>
      </c>
      <c r="V35" s="62">
        <f>COUNTIF(S35,B35)+COUNTIF(S35,D35)+COUNTIF(S35,#REF!)+COUNTIF(S35,H35)+COUNTIF(S35,F35)+COUNTIF(S35,L35)+COUNTIF(S35,N35)</f>
        <v>0</v>
      </c>
      <c r="W35" s="221"/>
      <c r="X35" s="74" t="s">
        <v>34</v>
      </c>
    </row>
    <row r="36" ht="14.25">
      <c r="A36" s="205" t="s">
        <v>47</v>
      </c>
      <c r="B36" s="67"/>
      <c r="C36" s="584"/>
      <c r="D36" s="67"/>
      <c r="E36" s="330"/>
      <c r="F36" s="76"/>
      <c r="G36" s="324">
        <v>11</v>
      </c>
      <c r="H36" s="76"/>
      <c r="I36" s="585">
        <v>11</v>
      </c>
      <c r="J36" s="87"/>
      <c r="K36" s="587"/>
      <c r="L36" s="67"/>
      <c r="M36" s="584"/>
      <c r="N36" s="66"/>
      <c r="O36" s="586"/>
      <c r="P36" s="218">
        <f t="shared" si="122"/>
        <v>22</v>
      </c>
      <c r="Q36" s="229">
        <f t="shared" si="126"/>
        <v>135</v>
      </c>
      <c r="R36" s="219" t="str">
        <f t="shared" si="123"/>
        <v>Торубара</v>
      </c>
      <c r="S36" s="480" t="s">
        <v>10</v>
      </c>
      <c r="T36" s="77" t="s">
        <v>9</v>
      </c>
      <c r="U36" s="244">
        <f t="shared" ref="U36:U86" si="127">COUNTIF(T36,B36)+COUNTIF(T36,D36)+COUNTIF(T36,F36)+COUNTIF(T36,H36)+COUNTIF(T36,J36)+COUNTIF(T36,L36)+COUNTIF(T36,N36)</f>
        <v>0</v>
      </c>
      <c r="V36" s="62">
        <f t="shared" ref="V36:V61" si="128">COUNTIF(S36,B36)+COUNTIF(S36,D36)+COUNTIF(S36,F36)+COUNTIF(S36,H36)+COUNTIF(S36,J36)+COUNTIF(S36,L36)+COUNTIF(S36,N36)</f>
        <v>0</v>
      </c>
      <c r="W36" s="229"/>
      <c r="X36" s="74" t="s">
        <v>34</v>
      </c>
    </row>
    <row r="37" ht="14.25">
      <c r="A37" s="205" t="s">
        <v>48</v>
      </c>
      <c r="B37" s="82"/>
      <c r="C37" s="436"/>
      <c r="D37" s="76"/>
      <c r="E37" s="324">
        <v>11</v>
      </c>
      <c r="F37" s="76"/>
      <c r="G37" s="324">
        <v>11</v>
      </c>
      <c r="H37" s="67"/>
      <c r="I37" s="330"/>
      <c r="J37" s="67"/>
      <c r="K37" s="330"/>
      <c r="L37" s="77"/>
      <c r="M37" s="554">
        <v>11</v>
      </c>
      <c r="N37" s="77"/>
      <c r="O37" s="329">
        <v>11</v>
      </c>
      <c r="P37" s="218">
        <f t="shared" si="122"/>
        <v>44</v>
      </c>
      <c r="Q37" s="62">
        <f t="shared" si="126"/>
        <v>124</v>
      </c>
      <c r="R37" s="219" t="str">
        <f t="shared" si="123"/>
        <v>Стрыгин</v>
      </c>
      <c r="S37" s="71" t="s">
        <v>8</v>
      </c>
      <c r="T37" s="72" t="s">
        <v>7</v>
      </c>
      <c r="U37" s="73">
        <f t="shared" si="127"/>
        <v>0</v>
      </c>
      <c r="V37" s="62">
        <f t="shared" si="128"/>
        <v>0</v>
      </c>
      <c r="W37" s="62"/>
      <c r="X37" s="74" t="s">
        <v>49</v>
      </c>
    </row>
    <row r="38" ht="14.25">
      <c r="A38" s="205" t="s">
        <v>50</v>
      </c>
      <c r="B38" s="67"/>
      <c r="C38" s="67"/>
      <c r="D38" s="77"/>
      <c r="E38" s="556">
        <v>11</v>
      </c>
      <c r="F38" s="77"/>
      <c r="G38" s="556">
        <v>11</v>
      </c>
      <c r="H38" s="66"/>
      <c r="I38" s="66"/>
      <c r="J38" s="76"/>
      <c r="K38" s="324">
        <v>11</v>
      </c>
      <c r="L38" s="76"/>
      <c r="M38" s="324">
        <v>11</v>
      </c>
      <c r="N38" s="67"/>
      <c r="O38" s="330"/>
      <c r="P38" s="218">
        <f t="shared" si="122"/>
        <v>44</v>
      </c>
      <c r="Q38" s="62">
        <f t="shared" si="126"/>
        <v>124</v>
      </c>
      <c r="R38" s="219" t="str">
        <f t="shared" si="123"/>
        <v>Фрик</v>
      </c>
      <c r="S38" s="71" t="s">
        <v>12</v>
      </c>
      <c r="T38" s="72" t="s">
        <v>11</v>
      </c>
      <c r="U38" s="73">
        <f t="shared" si="127"/>
        <v>0</v>
      </c>
      <c r="V38" s="62">
        <f t="shared" si="128"/>
        <v>0</v>
      </c>
      <c r="W38" s="62"/>
      <c r="X38" s="74" t="s">
        <v>44</v>
      </c>
    </row>
    <row r="39" ht="14.25">
      <c r="A39" s="206" t="s">
        <v>51</v>
      </c>
      <c r="B39" s="77"/>
      <c r="C39" s="556">
        <v>11</v>
      </c>
      <c r="D39" s="66"/>
      <c r="E39" s="586"/>
      <c r="F39" s="82"/>
      <c r="G39" s="436"/>
      <c r="H39" s="76"/>
      <c r="I39" s="324">
        <v>11</v>
      </c>
      <c r="J39" s="76"/>
      <c r="K39" s="324">
        <v>11</v>
      </c>
      <c r="L39" s="67"/>
      <c r="M39" s="330"/>
      <c r="N39" s="82"/>
      <c r="O39" s="82"/>
      <c r="P39" s="220">
        <f t="shared" si="122"/>
        <v>33</v>
      </c>
      <c r="Q39" s="62">
        <f t="shared" si="126"/>
        <v>124</v>
      </c>
      <c r="R39" s="222" t="str">
        <f t="shared" si="123"/>
        <v>Истрашкин</v>
      </c>
      <c r="S39" s="71" t="s">
        <v>10</v>
      </c>
      <c r="T39" s="588" t="s">
        <v>9</v>
      </c>
      <c r="U39" s="73">
        <f t="shared" si="127"/>
        <v>0</v>
      </c>
      <c r="V39" s="221">
        <f t="shared" si="128"/>
        <v>0</v>
      </c>
      <c r="W39" s="62"/>
      <c r="X39" s="74" t="s">
        <v>34</v>
      </c>
    </row>
    <row r="40" ht="14.25">
      <c r="A40" s="245"/>
      <c r="B40" s="499">
        <v>46083</v>
      </c>
      <c r="C40" s="526"/>
      <c r="D40" s="499">
        <v>46084</v>
      </c>
      <c r="E40" s="499"/>
      <c r="F40" s="499">
        <v>46085</v>
      </c>
      <c r="G40" s="499"/>
      <c r="H40" s="499">
        <v>46086</v>
      </c>
      <c r="I40" s="499"/>
      <c r="J40" s="499">
        <v>46087</v>
      </c>
      <c r="K40" s="499"/>
      <c r="L40" s="499">
        <v>46088</v>
      </c>
      <c r="M40" s="499"/>
      <c r="N40" s="499">
        <v>46089</v>
      </c>
      <c r="O40" s="157"/>
      <c r="P40" s="176"/>
      <c r="Q40" s="247"/>
      <c r="R40" s="175"/>
      <c r="S40" s="178"/>
      <c r="T40" s="589"/>
      <c r="U40" s="100"/>
      <c r="V40" s="590"/>
      <c r="W40" s="100"/>
      <c r="X40" s="7"/>
    </row>
    <row r="41" ht="14.25">
      <c r="A41" s="162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4"/>
      <c r="R41" s="165"/>
      <c r="S41" s="165"/>
      <c r="T41" s="165"/>
      <c r="U41" s="100"/>
      <c r="V41" s="100"/>
      <c r="W41" s="100"/>
      <c r="X41" s="51"/>
    </row>
    <row r="42" ht="14.25">
      <c r="A42" s="143"/>
      <c r="B42" s="214" t="s">
        <v>17</v>
      </c>
      <c r="C42" s="492"/>
      <c r="D42" s="214" t="s">
        <v>18</v>
      </c>
      <c r="E42" s="492"/>
      <c r="F42" s="214" t="s">
        <v>19</v>
      </c>
      <c r="G42" s="214"/>
      <c r="H42" s="214" t="s">
        <v>20</v>
      </c>
      <c r="I42" s="492"/>
      <c r="J42" s="214" t="s">
        <v>21</v>
      </c>
      <c r="K42" s="214"/>
      <c r="L42" s="214" t="s">
        <v>22</v>
      </c>
      <c r="M42" s="214"/>
      <c r="N42" s="214" t="s">
        <v>23</v>
      </c>
      <c r="O42" s="214"/>
      <c r="P42" s="208" t="s">
        <v>24</v>
      </c>
      <c r="Q42" s="209"/>
      <c r="R42" s="143"/>
      <c r="S42" s="143"/>
      <c r="T42" s="143"/>
      <c r="U42" s="62"/>
      <c r="V42" s="62"/>
      <c r="W42" s="62"/>
      <c r="X42" s="63"/>
    </row>
    <row r="43" ht="14.25">
      <c r="A43" s="143"/>
      <c r="B43" s="458">
        <v>46090</v>
      </c>
      <c r="C43" s="458"/>
      <c r="D43" s="457">
        <v>46091</v>
      </c>
      <c r="E43" s="457"/>
      <c r="F43" s="457">
        <v>46092</v>
      </c>
      <c r="G43" s="457"/>
      <c r="H43" s="457">
        <v>46093</v>
      </c>
      <c r="I43" s="457"/>
      <c r="J43" s="457">
        <v>46094</v>
      </c>
      <c r="K43" s="457"/>
      <c r="L43" s="457">
        <v>46095</v>
      </c>
      <c r="M43" s="457"/>
      <c r="N43" s="457">
        <v>46096</v>
      </c>
      <c r="O43" s="459"/>
      <c r="P43" s="213" t="s">
        <v>25</v>
      </c>
      <c r="Q43" s="214" t="s">
        <v>26</v>
      </c>
      <c r="R43" s="537"/>
      <c r="S43" s="147"/>
      <c r="T43" s="147"/>
      <c r="U43" s="60" t="s">
        <v>27</v>
      </c>
      <c r="V43" s="61" t="s">
        <v>28</v>
      </c>
      <c r="W43" s="62" t="s">
        <v>29</v>
      </c>
      <c r="X43" s="63" t="s">
        <v>30</v>
      </c>
    </row>
    <row r="44" ht="14.25">
      <c r="A44" s="217" t="s">
        <v>35</v>
      </c>
      <c r="B44" s="319"/>
      <c r="C44" s="446"/>
      <c r="D44" s="591" t="s">
        <v>32</v>
      </c>
      <c r="E44" s="592" t="s">
        <v>33</v>
      </c>
      <c r="F44" s="591" t="s">
        <v>32</v>
      </c>
      <c r="G44" s="592" t="s">
        <v>33</v>
      </c>
      <c r="H44" s="591" t="s">
        <v>32</v>
      </c>
      <c r="I44" s="593" t="s">
        <v>33</v>
      </c>
      <c r="J44" s="591" t="s">
        <v>32</v>
      </c>
      <c r="K44" s="592" t="s">
        <v>33</v>
      </c>
      <c r="L44" s="66"/>
      <c r="M44" s="581"/>
      <c r="N44" s="66"/>
      <c r="O44" s="581"/>
      <c r="P44" s="218">
        <f t="shared" si="122"/>
        <v>32</v>
      </c>
      <c r="Q44" s="221">
        <f t="shared" si="126"/>
        <v>96</v>
      </c>
      <c r="R44" s="219" t="str">
        <f t="shared" si="123"/>
        <v>Рычков</v>
      </c>
      <c r="S44" s="76" t="s">
        <v>10</v>
      </c>
      <c r="T44" s="77" t="s">
        <v>9</v>
      </c>
      <c r="U44" s="73">
        <f t="shared" si="127"/>
        <v>0</v>
      </c>
      <c r="V44" s="221">
        <f t="shared" si="128"/>
        <v>0</v>
      </c>
      <c r="W44" s="62"/>
      <c r="X44" s="74" t="s">
        <v>34</v>
      </c>
    </row>
    <row r="45" ht="14.25">
      <c r="A45" s="203" t="s">
        <v>39</v>
      </c>
      <c r="B45" s="591"/>
      <c r="C45" s="594"/>
      <c r="D45" s="591" t="s">
        <v>32</v>
      </c>
      <c r="E45" s="595" t="s">
        <v>33</v>
      </c>
      <c r="F45" s="591" t="s">
        <v>32</v>
      </c>
      <c r="G45" s="594" t="s">
        <v>33</v>
      </c>
      <c r="H45" s="591" t="s">
        <v>32</v>
      </c>
      <c r="I45" s="594" t="s">
        <v>33</v>
      </c>
      <c r="J45" s="591" t="s">
        <v>32</v>
      </c>
      <c r="K45" s="594" t="s">
        <v>33</v>
      </c>
      <c r="L45" s="66"/>
      <c r="M45" s="583"/>
      <c r="N45" s="66"/>
      <c r="O45" s="583"/>
      <c r="P45" s="218">
        <f t="shared" si="122"/>
        <v>32</v>
      </c>
      <c r="Q45" s="229">
        <f t="shared" si="126"/>
        <v>96</v>
      </c>
      <c r="R45" s="219" t="str">
        <f t="shared" si="123"/>
        <v>Игумнов</v>
      </c>
      <c r="S45" s="76" t="s">
        <v>10</v>
      </c>
      <c r="T45" s="77" t="s">
        <v>9</v>
      </c>
      <c r="U45" s="73">
        <f t="shared" si="127"/>
        <v>0</v>
      </c>
      <c r="V45" s="229">
        <f t="shared" si="128"/>
        <v>0</v>
      </c>
      <c r="W45" s="62"/>
      <c r="X45" s="79" t="s">
        <v>34</v>
      </c>
    </row>
    <row r="46" ht="14.25">
      <c r="A46" s="203" t="s">
        <v>40</v>
      </c>
      <c r="B46" s="591"/>
      <c r="C46" s="591"/>
      <c r="D46" s="591" t="s">
        <v>32</v>
      </c>
      <c r="E46" s="591" t="s">
        <v>33</v>
      </c>
      <c r="F46" s="591" t="s">
        <v>32</v>
      </c>
      <c r="G46" s="591" t="s">
        <v>33</v>
      </c>
      <c r="H46" s="591" t="s">
        <v>32</v>
      </c>
      <c r="I46" s="591" t="s">
        <v>33</v>
      </c>
      <c r="J46" s="591" t="s">
        <v>32</v>
      </c>
      <c r="K46" s="596" t="s">
        <v>33</v>
      </c>
      <c r="L46" s="66"/>
      <c r="M46" s="66"/>
      <c r="N46" s="66"/>
      <c r="O46" s="66"/>
      <c r="P46" s="218">
        <f t="shared" si="122"/>
        <v>32</v>
      </c>
      <c r="Q46" s="62">
        <f t="shared" si="126"/>
        <v>96</v>
      </c>
      <c r="R46" s="219" t="str">
        <f t="shared" si="123"/>
        <v>Душин</v>
      </c>
      <c r="S46" s="76" t="s">
        <v>10</v>
      </c>
      <c r="T46" s="77" t="s">
        <v>9</v>
      </c>
      <c r="U46" s="73">
        <f t="shared" si="127"/>
        <v>0</v>
      </c>
      <c r="V46" s="62">
        <f t="shared" si="128"/>
        <v>0</v>
      </c>
      <c r="W46" s="62"/>
      <c r="X46" s="74" t="s">
        <v>38</v>
      </c>
    </row>
    <row r="47" ht="14.25">
      <c r="A47" s="203" t="s">
        <v>31</v>
      </c>
      <c r="B47" s="591"/>
      <c r="C47" s="591"/>
      <c r="D47" s="591" t="s">
        <v>32</v>
      </c>
      <c r="E47" s="596" t="s">
        <v>33</v>
      </c>
      <c r="F47" s="591" t="s">
        <v>32</v>
      </c>
      <c r="G47" s="591" t="s">
        <v>33</v>
      </c>
      <c r="H47" s="591" t="s">
        <v>32</v>
      </c>
      <c r="I47" s="591" t="s">
        <v>33</v>
      </c>
      <c r="J47" s="591" t="s">
        <v>32</v>
      </c>
      <c r="K47" s="591" t="s">
        <v>33</v>
      </c>
      <c r="L47" s="66"/>
      <c r="M47" s="66"/>
      <c r="N47" s="66"/>
      <c r="O47" s="66"/>
      <c r="P47" s="218">
        <f t="shared" si="122"/>
        <v>32</v>
      </c>
      <c r="Q47" s="62">
        <f t="shared" si="126"/>
        <v>96</v>
      </c>
      <c r="R47" s="219" t="str">
        <f t="shared" si="123"/>
        <v>Нетронин</v>
      </c>
      <c r="S47" s="76" t="s">
        <v>58</v>
      </c>
      <c r="T47" s="77" t="s">
        <v>59</v>
      </c>
      <c r="U47" s="73"/>
      <c r="V47" s="62"/>
      <c r="W47" s="62"/>
      <c r="X47" s="74" t="s">
        <v>38</v>
      </c>
    </row>
    <row r="48" ht="14.25">
      <c r="A48" s="203" t="s">
        <v>61</v>
      </c>
      <c r="B48" s="591"/>
      <c r="C48" s="596"/>
      <c r="D48" s="597" t="s">
        <v>32</v>
      </c>
      <c r="E48" s="591" t="s">
        <v>33</v>
      </c>
      <c r="F48" s="597" t="s">
        <v>32</v>
      </c>
      <c r="G48" s="591" t="s">
        <v>33</v>
      </c>
      <c r="H48" s="597" t="s">
        <v>32</v>
      </c>
      <c r="I48" s="591" t="s">
        <v>33</v>
      </c>
      <c r="J48" s="597" t="s">
        <v>32</v>
      </c>
      <c r="K48" s="591" t="s">
        <v>33</v>
      </c>
      <c r="L48" s="120"/>
      <c r="M48" s="120"/>
      <c r="N48" s="120"/>
      <c r="O48" s="120"/>
      <c r="P48" s="218">
        <f t="shared" si="122"/>
        <v>32</v>
      </c>
      <c r="Q48" s="62">
        <f t="shared" si="126"/>
        <v>96</v>
      </c>
      <c r="R48" s="219" t="str">
        <f t="shared" si="123"/>
        <v>Раимова</v>
      </c>
      <c r="S48" s="76" t="s">
        <v>10</v>
      </c>
      <c r="T48" s="77" t="s">
        <v>9</v>
      </c>
      <c r="U48" s="73"/>
      <c r="V48" s="62"/>
      <c r="W48" s="62"/>
      <c r="X48" s="74" t="s">
        <v>44</v>
      </c>
    </row>
    <row r="49" ht="14.25">
      <c r="A49" s="205" t="s">
        <v>43</v>
      </c>
      <c r="B49" s="66"/>
      <c r="C49" s="66"/>
      <c r="D49" s="76"/>
      <c r="E49" s="324">
        <v>11</v>
      </c>
      <c r="F49" s="76"/>
      <c r="G49" s="324">
        <v>11</v>
      </c>
      <c r="H49" s="66"/>
      <c r="I49" s="66"/>
      <c r="J49" s="66"/>
      <c r="K49" s="66"/>
      <c r="L49" s="77"/>
      <c r="M49" s="329">
        <v>11</v>
      </c>
      <c r="N49" s="77"/>
      <c r="O49" s="329">
        <v>11</v>
      </c>
      <c r="P49" s="218">
        <f t="shared" si="122"/>
        <v>44</v>
      </c>
      <c r="Q49" s="62">
        <f t="shared" si="126"/>
        <v>82</v>
      </c>
      <c r="R49" s="219" t="str">
        <f t="shared" si="123"/>
        <v>Дащенко</v>
      </c>
      <c r="S49" s="71" t="s">
        <v>12</v>
      </c>
      <c r="T49" s="72" t="s">
        <v>11</v>
      </c>
      <c r="U49" s="73">
        <f t="shared" si="127"/>
        <v>0</v>
      </c>
      <c r="V49" s="62">
        <f t="shared" si="128"/>
        <v>0</v>
      </c>
      <c r="W49" s="62"/>
      <c r="X49" s="74" t="s">
        <v>44</v>
      </c>
    </row>
    <row r="50" ht="14.25">
      <c r="A50" s="250" t="s">
        <v>45</v>
      </c>
      <c r="B50" s="76"/>
      <c r="C50" s="324">
        <v>11</v>
      </c>
      <c r="D50" s="66"/>
      <c r="E50" s="66"/>
      <c r="F50" s="66"/>
      <c r="G50" s="66"/>
      <c r="H50" s="67"/>
      <c r="I50" s="330"/>
      <c r="J50" s="77"/>
      <c r="K50" s="329">
        <v>11</v>
      </c>
      <c r="L50" s="66"/>
      <c r="M50" s="66"/>
      <c r="N50" s="66"/>
      <c r="O50" s="66"/>
      <c r="P50" s="218">
        <f t="shared" si="122"/>
        <v>22</v>
      </c>
      <c r="Q50" s="62">
        <f t="shared" si="126"/>
        <v>102</v>
      </c>
      <c r="R50" s="219" t="str">
        <f t="shared" si="123"/>
        <v>Пузырь</v>
      </c>
      <c r="S50" s="76" t="s">
        <v>10</v>
      </c>
      <c r="T50" s="77" t="s">
        <v>9</v>
      </c>
      <c r="U50" s="73">
        <f t="shared" si="127"/>
        <v>0</v>
      </c>
      <c r="V50" s="62">
        <f t="shared" si="128"/>
        <v>0</v>
      </c>
      <c r="W50" s="62"/>
      <c r="X50" s="74" t="s">
        <v>34</v>
      </c>
    </row>
    <row r="51" ht="14.25">
      <c r="A51" s="250" t="s">
        <v>46</v>
      </c>
      <c r="B51" s="77"/>
      <c r="C51" s="329">
        <v>11</v>
      </c>
      <c r="D51" s="77"/>
      <c r="E51" s="329">
        <v>11</v>
      </c>
      <c r="F51" s="66"/>
      <c r="G51" s="66"/>
      <c r="H51" s="67"/>
      <c r="I51" s="330"/>
      <c r="J51" s="76"/>
      <c r="K51" s="324">
        <v>11</v>
      </c>
      <c r="L51" s="76"/>
      <c r="M51" s="324">
        <v>11</v>
      </c>
      <c r="N51" s="67"/>
      <c r="O51" s="67"/>
      <c r="P51" s="218">
        <f t="shared" si="122"/>
        <v>44</v>
      </c>
      <c r="Q51" s="221">
        <f t="shared" si="126"/>
        <v>69</v>
      </c>
      <c r="R51" s="219" t="str">
        <f t="shared" si="123"/>
        <v>Голышев</v>
      </c>
      <c r="S51" s="545" t="s">
        <v>10</v>
      </c>
      <c r="T51" s="77" t="s">
        <v>9</v>
      </c>
      <c r="U51" s="240">
        <f t="shared" si="127"/>
        <v>0</v>
      </c>
      <c r="V51" s="62">
        <f t="shared" si="128"/>
        <v>0</v>
      </c>
      <c r="W51" s="221"/>
      <c r="X51" s="74" t="s">
        <v>34</v>
      </c>
    </row>
    <row r="52" ht="14.25">
      <c r="A52" s="250" t="s">
        <v>47</v>
      </c>
      <c r="B52" s="77" t="s">
        <v>73</v>
      </c>
      <c r="C52" s="556">
        <v>7</v>
      </c>
      <c r="D52" s="107"/>
      <c r="E52" s="107" t="s">
        <v>33</v>
      </c>
      <c r="F52" s="108"/>
      <c r="G52" s="108" t="s">
        <v>33</v>
      </c>
      <c r="H52" s="108"/>
      <c r="I52" s="108" t="s">
        <v>33</v>
      </c>
      <c r="J52" s="110"/>
      <c r="K52" s="110" t="s">
        <v>33</v>
      </c>
      <c r="L52" s="110"/>
      <c r="M52" s="110"/>
      <c r="N52" s="108"/>
      <c r="O52" s="108"/>
      <c r="P52" s="218">
        <f t="shared" si="122"/>
        <v>39</v>
      </c>
      <c r="Q52" s="229">
        <f t="shared" si="126"/>
        <v>96</v>
      </c>
      <c r="R52" s="219" t="str">
        <f t="shared" si="123"/>
        <v>Торубара</v>
      </c>
      <c r="S52" s="480" t="s">
        <v>10</v>
      </c>
      <c r="T52" s="77" t="s">
        <v>9</v>
      </c>
      <c r="U52" s="244">
        <f t="shared" si="127"/>
        <v>0</v>
      </c>
      <c r="V52" s="62">
        <f t="shared" si="128"/>
        <v>0</v>
      </c>
      <c r="W52" s="229"/>
      <c r="X52" s="74" t="s">
        <v>34</v>
      </c>
    </row>
    <row r="53" ht="13.5" customHeight="1">
      <c r="A53" s="250" t="s">
        <v>48</v>
      </c>
      <c r="B53" s="82"/>
      <c r="C53" s="436"/>
      <c r="D53" s="82"/>
      <c r="E53" s="82"/>
      <c r="F53" s="76"/>
      <c r="G53" s="324">
        <v>11</v>
      </c>
      <c r="H53" s="76"/>
      <c r="I53" s="324">
        <v>11</v>
      </c>
      <c r="J53" s="82"/>
      <c r="K53" s="82"/>
      <c r="L53" s="82"/>
      <c r="M53" s="82"/>
      <c r="N53" s="77"/>
      <c r="O53" s="329">
        <v>11</v>
      </c>
      <c r="P53" s="218">
        <f t="shared" si="122"/>
        <v>33</v>
      </c>
      <c r="Q53" s="62">
        <f t="shared" si="126"/>
        <v>91</v>
      </c>
      <c r="R53" s="219" t="str">
        <f t="shared" si="123"/>
        <v>Стрыгин</v>
      </c>
      <c r="S53" s="71" t="s">
        <v>8</v>
      </c>
      <c r="T53" s="72" t="s">
        <v>7</v>
      </c>
      <c r="U53" s="73">
        <f t="shared" si="127"/>
        <v>0</v>
      </c>
      <c r="V53" s="62">
        <f t="shared" si="128"/>
        <v>0</v>
      </c>
      <c r="W53" s="62"/>
      <c r="X53" s="74" t="s">
        <v>49</v>
      </c>
    </row>
    <row r="54" ht="14.25">
      <c r="A54" s="250" t="s">
        <v>50</v>
      </c>
      <c r="B54" s="66"/>
      <c r="C54" s="66"/>
      <c r="D54" s="77"/>
      <c r="E54" s="329">
        <v>11</v>
      </c>
      <c r="F54" s="77"/>
      <c r="G54" s="329">
        <v>11</v>
      </c>
      <c r="H54" s="251"/>
      <c r="I54" s="329">
        <v>11</v>
      </c>
      <c r="J54" s="66"/>
      <c r="K54" s="66"/>
      <c r="L54" s="67"/>
      <c r="M54" s="330"/>
      <c r="N54" s="76"/>
      <c r="O54" s="324">
        <v>11</v>
      </c>
      <c r="P54" s="218">
        <f t="shared" si="122"/>
        <v>44</v>
      </c>
      <c r="Q54" s="62">
        <f t="shared" si="126"/>
        <v>80</v>
      </c>
      <c r="R54" s="219" t="str">
        <f t="shared" si="123"/>
        <v>Фрик</v>
      </c>
      <c r="S54" s="71" t="s">
        <v>12</v>
      </c>
      <c r="T54" s="72" t="s">
        <v>11</v>
      </c>
      <c r="U54" s="73">
        <f t="shared" si="127"/>
        <v>0</v>
      </c>
      <c r="V54" s="62">
        <f t="shared" si="128"/>
        <v>0</v>
      </c>
      <c r="W54" s="62"/>
      <c r="X54" s="74" t="s">
        <v>44</v>
      </c>
    </row>
    <row r="55" ht="14.25">
      <c r="A55" s="252" t="s">
        <v>51</v>
      </c>
      <c r="B55" s="76"/>
      <c r="C55" s="324">
        <v>11</v>
      </c>
      <c r="D55" s="76"/>
      <c r="E55" s="324">
        <v>11</v>
      </c>
      <c r="F55" s="67"/>
      <c r="G55" s="67"/>
      <c r="H55" s="66"/>
      <c r="I55" s="66"/>
      <c r="J55" s="77" t="s">
        <v>32</v>
      </c>
      <c r="K55" s="329">
        <v>8</v>
      </c>
      <c r="L55" s="77"/>
      <c r="M55" s="329">
        <v>11</v>
      </c>
      <c r="N55" s="67"/>
      <c r="O55" s="67"/>
      <c r="P55" s="218">
        <f t="shared" si="122"/>
        <v>41</v>
      </c>
      <c r="Q55" s="62">
        <f t="shared" si="126"/>
        <v>83</v>
      </c>
      <c r="R55" s="219" t="str">
        <f t="shared" si="123"/>
        <v>Истрашкин</v>
      </c>
      <c r="S55" s="71" t="s">
        <v>10</v>
      </c>
      <c r="T55" s="72" t="s">
        <v>9</v>
      </c>
      <c r="U55" s="73">
        <f t="shared" si="127"/>
        <v>0</v>
      </c>
      <c r="V55" s="62">
        <f t="shared" si="128"/>
        <v>0</v>
      </c>
      <c r="W55" s="62"/>
      <c r="X55" s="74" t="s">
        <v>34</v>
      </c>
    </row>
    <row r="56" ht="14.25">
      <c r="A56" s="207"/>
      <c r="B56" s="472">
        <v>46090</v>
      </c>
      <c r="C56" s="472"/>
      <c r="D56" s="210">
        <v>46091</v>
      </c>
      <c r="E56" s="210"/>
      <c r="F56" s="210">
        <v>46092</v>
      </c>
      <c r="G56" s="210"/>
      <c r="H56" s="210">
        <v>46093</v>
      </c>
      <c r="I56" s="210"/>
      <c r="J56" s="210">
        <v>46094</v>
      </c>
      <c r="K56" s="210"/>
      <c r="L56" s="210">
        <v>46095</v>
      </c>
      <c r="M56" s="210"/>
      <c r="N56" s="210">
        <v>46096</v>
      </c>
      <c r="O56" s="517"/>
      <c r="P56" s="218"/>
      <c r="Q56" s="254"/>
      <c r="R56" s="207"/>
      <c r="S56" s="138"/>
      <c r="T56" s="138"/>
      <c r="U56" s="60" t="s">
        <v>27</v>
      </c>
      <c r="V56" s="61" t="s">
        <v>28</v>
      </c>
      <c r="W56" s="62" t="s">
        <v>29</v>
      </c>
      <c r="X56" s="7"/>
    </row>
    <row r="57" ht="14.4" hidden="1">
      <c r="A57" s="165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65"/>
      <c r="Q57" s="165"/>
      <c r="R57" s="193"/>
      <c r="S57" s="127"/>
      <c r="T57" s="127"/>
      <c r="U57" s="127"/>
      <c r="V57" s="127"/>
      <c r="W57" s="128"/>
      <c r="X57" s="7"/>
    </row>
    <row r="58" ht="14.25">
      <c r="A58" s="143"/>
      <c r="B58" s="214" t="s">
        <v>17</v>
      </c>
      <c r="C58" s="492"/>
      <c r="D58" s="214" t="s">
        <v>18</v>
      </c>
      <c r="E58" s="492"/>
      <c r="F58" s="214" t="s">
        <v>19</v>
      </c>
      <c r="G58" s="214"/>
      <c r="H58" s="214" t="s">
        <v>20</v>
      </c>
      <c r="I58" s="492"/>
      <c r="J58" s="493" t="s">
        <v>21</v>
      </c>
      <c r="K58" s="493"/>
      <c r="L58" s="214" t="s">
        <v>22</v>
      </c>
      <c r="M58" s="214"/>
      <c r="N58" s="214" t="s">
        <v>23</v>
      </c>
      <c r="O58" s="214"/>
      <c r="P58" s="208" t="s">
        <v>24</v>
      </c>
      <c r="Q58" s="209"/>
      <c r="R58" s="143"/>
      <c r="S58" s="143"/>
      <c r="T58" s="143"/>
      <c r="U58" s="62"/>
      <c r="V58" s="62"/>
      <c r="W58" s="62"/>
      <c r="X58" s="51"/>
    </row>
    <row r="59" ht="14.25">
      <c r="A59" s="143"/>
      <c r="B59" s="457">
        <v>46097</v>
      </c>
      <c r="C59" s="457"/>
      <c r="D59" s="457">
        <v>46098</v>
      </c>
      <c r="E59" s="457"/>
      <c r="F59" s="457">
        <v>46099</v>
      </c>
      <c r="G59" s="457"/>
      <c r="H59" s="457">
        <v>46100</v>
      </c>
      <c r="I59" s="457"/>
      <c r="J59" s="457">
        <v>46101</v>
      </c>
      <c r="K59" s="457"/>
      <c r="L59" s="457">
        <v>46102</v>
      </c>
      <c r="M59" s="457"/>
      <c r="N59" s="457">
        <v>46103</v>
      </c>
      <c r="O59" s="459"/>
      <c r="P59" s="213" t="s">
        <v>25</v>
      </c>
      <c r="Q59" s="214" t="s">
        <v>26</v>
      </c>
      <c r="R59" s="537"/>
      <c r="S59" s="147"/>
      <c r="T59" s="147"/>
      <c r="U59" s="60" t="s">
        <v>27</v>
      </c>
      <c r="V59" s="61" t="s">
        <v>28</v>
      </c>
      <c r="W59" s="62" t="s">
        <v>29</v>
      </c>
      <c r="X59" s="63" t="s">
        <v>30</v>
      </c>
    </row>
    <row r="60" ht="14.25">
      <c r="A60" s="217" t="s">
        <v>35</v>
      </c>
      <c r="B60" s="319" t="s">
        <v>32</v>
      </c>
      <c r="C60" s="319" t="s">
        <v>33</v>
      </c>
      <c r="D60" s="592" t="s">
        <v>32</v>
      </c>
      <c r="E60" s="591" t="s">
        <v>33</v>
      </c>
      <c r="F60" s="592" t="s">
        <v>32</v>
      </c>
      <c r="G60" s="591" t="s">
        <v>72</v>
      </c>
      <c r="H60" s="592" t="s">
        <v>32</v>
      </c>
      <c r="I60" s="596" t="s">
        <v>72</v>
      </c>
      <c r="J60" s="592" t="s">
        <v>32</v>
      </c>
      <c r="K60" s="591" t="s">
        <v>33</v>
      </c>
      <c r="L60" s="581"/>
      <c r="M60" s="66"/>
      <c r="N60" s="581"/>
      <c r="O60" s="66"/>
      <c r="P60" s="220">
        <f t="shared" si="122"/>
        <v>41</v>
      </c>
      <c r="Q60" s="62">
        <f t="shared" si="126"/>
        <v>55</v>
      </c>
      <c r="R60" s="222" t="str">
        <f t="shared" si="123"/>
        <v>Рычков</v>
      </c>
      <c r="S60" s="76" t="s">
        <v>10</v>
      </c>
      <c r="T60" s="77" t="s">
        <v>9</v>
      </c>
      <c r="U60" s="73">
        <f t="shared" si="127"/>
        <v>0</v>
      </c>
      <c r="V60" s="62">
        <f t="shared" si="128"/>
        <v>0</v>
      </c>
      <c r="W60" s="221"/>
      <c r="X60" s="74" t="s">
        <v>34</v>
      </c>
    </row>
    <row r="61" ht="14.25">
      <c r="A61" s="203" t="s">
        <v>39</v>
      </c>
      <c r="B61" s="591" t="s">
        <v>32</v>
      </c>
      <c r="C61" s="591" t="s">
        <v>33</v>
      </c>
      <c r="D61" s="594" t="s">
        <v>32</v>
      </c>
      <c r="E61" s="596" t="s">
        <v>33</v>
      </c>
      <c r="F61" s="594" t="s">
        <v>32</v>
      </c>
      <c r="G61" s="591" t="s">
        <v>33</v>
      </c>
      <c r="H61" s="594" t="s">
        <v>32</v>
      </c>
      <c r="I61" s="591" t="s">
        <v>33</v>
      </c>
      <c r="J61" s="594" t="s">
        <v>32</v>
      </c>
      <c r="K61" s="591" t="s">
        <v>33</v>
      </c>
      <c r="L61" s="583"/>
      <c r="M61" s="66"/>
      <c r="N61" s="583"/>
      <c r="O61" s="66"/>
      <c r="P61" s="228">
        <f t="shared" si="122"/>
        <v>40</v>
      </c>
      <c r="Q61" s="62">
        <f t="shared" si="126"/>
        <v>56</v>
      </c>
      <c r="R61" s="230" t="str">
        <f t="shared" si="123"/>
        <v>Игумнов</v>
      </c>
      <c r="S61" s="76" t="s">
        <v>10</v>
      </c>
      <c r="T61" s="77" t="s">
        <v>9</v>
      </c>
      <c r="U61" s="73">
        <f t="shared" si="127"/>
        <v>0</v>
      </c>
      <c r="V61" s="62">
        <f t="shared" si="128"/>
        <v>0</v>
      </c>
      <c r="W61" s="229"/>
      <c r="X61" s="79" t="s">
        <v>34</v>
      </c>
    </row>
    <row r="62" ht="14.25">
      <c r="A62" s="203" t="s">
        <v>40</v>
      </c>
      <c r="B62" s="591" t="s">
        <v>32</v>
      </c>
      <c r="C62" s="591" t="s">
        <v>33</v>
      </c>
      <c r="D62" s="591" t="s">
        <v>32</v>
      </c>
      <c r="E62" s="591" t="s">
        <v>33</v>
      </c>
      <c r="F62" s="591" t="s">
        <v>32</v>
      </c>
      <c r="G62" s="591" t="s">
        <v>33</v>
      </c>
      <c r="H62" s="591" t="s">
        <v>32</v>
      </c>
      <c r="I62" s="591" t="s">
        <v>33</v>
      </c>
      <c r="J62" s="591" t="s">
        <v>32</v>
      </c>
      <c r="K62" s="596" t="s">
        <v>33</v>
      </c>
      <c r="L62" s="66"/>
      <c r="M62" s="66"/>
      <c r="N62" s="66"/>
      <c r="O62" s="66"/>
      <c r="P62" s="218">
        <f t="shared" si="122"/>
        <v>40</v>
      </c>
      <c r="Q62" s="62">
        <f t="shared" si="126"/>
        <v>56</v>
      </c>
      <c r="R62" s="219" t="str">
        <f t="shared" si="123"/>
        <v>Душин</v>
      </c>
      <c r="S62" s="76" t="s">
        <v>10</v>
      </c>
      <c r="T62" s="77" t="s">
        <v>9</v>
      </c>
      <c r="U62" s="73">
        <f t="shared" si="127"/>
        <v>0</v>
      </c>
      <c r="V62" s="62">
        <f>COUNTIF(U62,C62)+COUNTIF(U62,E62)+COUNTIF(U62,G62)+COUNTIF(U62,I62)+COUNTIF(U62,K62)+COUNTIF(U62,M62)+COUNTIF(U62,O62)</f>
        <v>0</v>
      </c>
      <c r="W62" s="62"/>
      <c r="X62" s="74" t="s">
        <v>38</v>
      </c>
    </row>
    <row r="63" ht="14.25">
      <c r="A63" s="203" t="s">
        <v>31</v>
      </c>
      <c r="B63" s="591" t="s">
        <v>32</v>
      </c>
      <c r="C63" s="591" t="s">
        <v>33</v>
      </c>
      <c r="D63" s="591" t="s">
        <v>32</v>
      </c>
      <c r="E63" s="596" t="s">
        <v>33</v>
      </c>
      <c r="F63" s="591" t="s">
        <v>32</v>
      </c>
      <c r="G63" s="591" t="s">
        <v>33</v>
      </c>
      <c r="H63" s="591" t="s">
        <v>32</v>
      </c>
      <c r="I63" s="591" t="s">
        <v>33</v>
      </c>
      <c r="J63" s="591" t="s">
        <v>32</v>
      </c>
      <c r="K63" s="591" t="s">
        <v>33</v>
      </c>
      <c r="L63" s="66"/>
      <c r="M63" s="66"/>
      <c r="N63" s="66"/>
      <c r="O63" s="66"/>
      <c r="P63" s="218">
        <f t="shared" si="122"/>
        <v>40</v>
      </c>
      <c r="Q63" s="62">
        <f t="shared" si="126"/>
        <v>56</v>
      </c>
      <c r="R63" s="219" t="str">
        <f t="shared" si="123"/>
        <v>Нетронин</v>
      </c>
      <c r="S63" s="76" t="s">
        <v>58</v>
      </c>
      <c r="T63" s="77" t="s">
        <v>59</v>
      </c>
      <c r="U63" s="73"/>
      <c r="V63" s="62"/>
      <c r="W63" s="62"/>
      <c r="X63" s="74" t="s">
        <v>38</v>
      </c>
    </row>
    <row r="64" ht="14.25">
      <c r="A64" s="203" t="s">
        <v>61</v>
      </c>
      <c r="B64" s="598"/>
      <c r="C64" s="123" t="s">
        <v>33</v>
      </c>
      <c r="D64" s="598"/>
      <c r="E64" s="598" t="s">
        <v>33</v>
      </c>
      <c r="F64" s="123"/>
      <c r="G64" s="123" t="s">
        <v>33</v>
      </c>
      <c r="H64" s="123"/>
      <c r="I64" s="123" t="s">
        <v>33</v>
      </c>
      <c r="J64" s="123"/>
      <c r="K64" s="123" t="s">
        <v>33</v>
      </c>
      <c r="L64" s="599"/>
      <c r="M64" s="599"/>
      <c r="N64" s="599"/>
      <c r="O64" s="122"/>
      <c r="P64" s="218">
        <f t="shared" si="122"/>
        <v>40</v>
      </c>
      <c r="Q64" s="62">
        <f t="shared" si="126"/>
        <v>56</v>
      </c>
      <c r="R64" s="219" t="str">
        <f t="shared" si="123"/>
        <v>Раимова</v>
      </c>
      <c r="S64" s="76" t="s">
        <v>10</v>
      </c>
      <c r="T64" s="77" t="s">
        <v>9</v>
      </c>
      <c r="U64" s="73"/>
      <c r="V64" s="62"/>
      <c r="W64" s="62"/>
      <c r="X64" s="600" t="s">
        <v>44</v>
      </c>
    </row>
    <row r="65" ht="14.25">
      <c r="A65" s="361" t="s">
        <v>43</v>
      </c>
      <c r="B65" s="601" t="s">
        <v>71</v>
      </c>
      <c r="C65" s="329">
        <v>8</v>
      </c>
      <c r="D65" s="523"/>
      <c r="E65" s="602"/>
      <c r="F65" s="67"/>
      <c r="G65" s="330"/>
      <c r="H65" s="76"/>
      <c r="I65" s="324">
        <v>11</v>
      </c>
      <c r="J65" s="603"/>
      <c r="K65" s="324">
        <v>11</v>
      </c>
      <c r="L65" s="523"/>
      <c r="M65" s="334"/>
      <c r="N65" s="604"/>
      <c r="O65" s="330"/>
      <c r="P65" s="218">
        <f t="shared" si="122"/>
        <v>30</v>
      </c>
      <c r="Q65" s="62">
        <f t="shared" si="126"/>
        <v>52</v>
      </c>
      <c r="R65" s="219" t="str">
        <f t="shared" si="123"/>
        <v>Дащенко</v>
      </c>
      <c r="S65" s="71" t="s">
        <v>12</v>
      </c>
      <c r="T65" s="72" t="s">
        <v>11</v>
      </c>
      <c r="U65" s="73">
        <f t="shared" si="127"/>
        <v>0</v>
      </c>
      <c r="V65" s="62">
        <f t="shared" ref="V65:V86" si="129">COUNTIF(S65,B65)+COUNTIF(S65,D65)+COUNTIF(S65,F65)+COUNTIF(S65,H65)+COUNTIF(S65,J65)+COUNTIF(S65,L65)+COUNTIF(S65,N65)</f>
        <v>0</v>
      </c>
      <c r="W65" s="62"/>
      <c r="X65" s="63" t="s">
        <v>44</v>
      </c>
    </row>
    <row r="66" ht="14.25">
      <c r="A66" s="205" t="s">
        <v>45</v>
      </c>
      <c r="B66" s="76"/>
      <c r="C66" s="324">
        <v>11</v>
      </c>
      <c r="D66" s="76"/>
      <c r="E66" s="324">
        <v>11</v>
      </c>
      <c r="F66" s="67"/>
      <c r="G66" s="330"/>
      <c r="H66" s="82"/>
      <c r="I66" s="82"/>
      <c r="J66" s="605"/>
      <c r="K66" s="329">
        <v>11</v>
      </c>
      <c r="L66" s="77" t="s">
        <v>32</v>
      </c>
      <c r="M66" s="329">
        <v>8</v>
      </c>
      <c r="N66" s="77"/>
      <c r="O66" s="469">
        <v>11</v>
      </c>
      <c r="P66" s="218">
        <f t="shared" si="122"/>
        <v>52</v>
      </c>
      <c r="Q66" s="62">
        <f t="shared" si="126"/>
        <v>50</v>
      </c>
      <c r="R66" s="219" t="str">
        <f t="shared" si="123"/>
        <v>Пузырь</v>
      </c>
      <c r="S66" s="76" t="s">
        <v>10</v>
      </c>
      <c r="T66" s="77" t="s">
        <v>9</v>
      </c>
      <c r="U66" s="73">
        <f t="shared" si="127"/>
        <v>0</v>
      </c>
      <c r="V66" s="62">
        <f t="shared" si="129"/>
        <v>0</v>
      </c>
      <c r="W66" s="62"/>
      <c r="X66" s="74" t="s">
        <v>34</v>
      </c>
    </row>
    <row r="67" ht="14.25">
      <c r="A67" s="205" t="s">
        <v>46</v>
      </c>
      <c r="B67" s="67"/>
      <c r="C67" s="330"/>
      <c r="D67" s="67"/>
      <c r="E67" s="330"/>
      <c r="F67" s="77"/>
      <c r="G67" s="329">
        <v>11</v>
      </c>
      <c r="H67" s="77"/>
      <c r="I67" s="329">
        <v>11</v>
      </c>
      <c r="J67" s="67"/>
      <c r="K67" s="330"/>
      <c r="L67" s="77" t="s">
        <v>74</v>
      </c>
      <c r="M67" s="329">
        <v>8</v>
      </c>
      <c r="N67" s="77" t="s">
        <v>32</v>
      </c>
      <c r="O67" s="329">
        <v>8</v>
      </c>
      <c r="P67" s="218">
        <f t="shared" si="122"/>
        <v>38</v>
      </c>
      <c r="Q67" s="62">
        <f t="shared" si="126"/>
        <v>31</v>
      </c>
      <c r="R67" s="219" t="str">
        <f t="shared" si="123"/>
        <v>Голышев</v>
      </c>
      <c r="S67" s="76" t="s">
        <v>10</v>
      </c>
      <c r="T67" s="77" t="s">
        <v>9</v>
      </c>
      <c r="U67" s="73">
        <f t="shared" si="127"/>
        <v>0</v>
      </c>
      <c r="V67" s="62">
        <f t="shared" si="129"/>
        <v>0</v>
      </c>
      <c r="W67" s="62"/>
      <c r="X67" s="74" t="s">
        <v>34</v>
      </c>
    </row>
    <row r="68" ht="14.25">
      <c r="A68" s="205" t="s">
        <v>47</v>
      </c>
      <c r="B68" s="108"/>
      <c r="C68" s="108" t="s">
        <v>33</v>
      </c>
      <c r="D68" s="76"/>
      <c r="E68" s="324">
        <v>11</v>
      </c>
      <c r="F68" s="76"/>
      <c r="G68" s="324">
        <v>11</v>
      </c>
      <c r="H68" s="67"/>
      <c r="I68" s="330"/>
      <c r="J68" s="66"/>
      <c r="K68" s="66"/>
      <c r="L68" s="67"/>
      <c r="M68" s="330"/>
      <c r="N68" s="76"/>
      <c r="O68" s="324">
        <v>11</v>
      </c>
      <c r="P68" s="218">
        <f t="shared" si="122"/>
        <v>41</v>
      </c>
      <c r="Q68" s="62">
        <f t="shared" si="126"/>
        <v>55</v>
      </c>
      <c r="R68" s="219" t="str">
        <f t="shared" si="123"/>
        <v>Торубара</v>
      </c>
      <c r="S68" s="76" t="s">
        <v>10</v>
      </c>
      <c r="T68" s="77" t="s">
        <v>9</v>
      </c>
      <c r="U68" s="73">
        <f t="shared" si="127"/>
        <v>0</v>
      </c>
      <c r="V68" s="62">
        <f t="shared" si="129"/>
        <v>0</v>
      </c>
      <c r="W68" s="62"/>
      <c r="X68" s="74" t="s">
        <v>34</v>
      </c>
    </row>
    <row r="69" ht="14.25">
      <c r="A69" s="205" t="s">
        <v>48</v>
      </c>
      <c r="B69" s="110"/>
      <c r="C69" s="110" t="s">
        <v>33</v>
      </c>
      <c r="D69" s="109"/>
      <c r="E69" s="109" t="s">
        <v>33</v>
      </c>
      <c r="F69" s="108"/>
      <c r="G69" s="108" t="s">
        <v>33</v>
      </c>
      <c r="H69" s="606"/>
      <c r="I69" s="606" t="s">
        <v>33</v>
      </c>
      <c r="J69" s="606"/>
      <c r="K69" s="606" t="s">
        <v>33</v>
      </c>
      <c r="L69" s="108"/>
      <c r="M69" s="108"/>
      <c r="N69" s="108"/>
      <c r="O69" s="108"/>
      <c r="P69" s="218">
        <f t="shared" si="122"/>
        <v>40</v>
      </c>
      <c r="Q69" s="62">
        <f t="shared" si="126"/>
        <v>51</v>
      </c>
      <c r="R69" s="219" t="str">
        <f t="shared" si="123"/>
        <v>Стрыгин</v>
      </c>
      <c r="S69" s="71" t="s">
        <v>8</v>
      </c>
      <c r="T69" s="72" t="s">
        <v>7</v>
      </c>
      <c r="U69" s="73">
        <f t="shared" si="127"/>
        <v>0</v>
      </c>
      <c r="V69" s="62">
        <f t="shared" si="129"/>
        <v>0</v>
      </c>
      <c r="W69" s="62"/>
      <c r="X69" s="74" t="s">
        <v>49</v>
      </c>
    </row>
    <row r="70" ht="14.25">
      <c r="A70" s="205" t="s">
        <v>50</v>
      </c>
      <c r="B70" s="76"/>
      <c r="C70" s="324">
        <v>11</v>
      </c>
      <c r="D70" s="66"/>
      <c r="E70" s="66"/>
      <c r="F70" s="76"/>
      <c r="G70" s="324">
        <v>11</v>
      </c>
      <c r="H70" s="76"/>
      <c r="I70" s="324">
        <v>11</v>
      </c>
      <c r="J70" s="67"/>
      <c r="K70" s="330"/>
      <c r="L70" s="82"/>
      <c r="M70" s="82"/>
      <c r="N70" s="67"/>
      <c r="O70" s="330"/>
      <c r="P70" s="218">
        <f t="shared" si="122"/>
        <v>33</v>
      </c>
      <c r="Q70" s="62">
        <f t="shared" si="126"/>
        <v>47</v>
      </c>
      <c r="R70" s="219" t="str">
        <f t="shared" si="123"/>
        <v>Фрик</v>
      </c>
      <c r="S70" s="71" t="s">
        <v>12</v>
      </c>
      <c r="T70" s="72" t="s">
        <v>11</v>
      </c>
      <c r="U70" s="73">
        <f t="shared" si="127"/>
        <v>0</v>
      </c>
      <c r="V70" s="62">
        <f t="shared" si="129"/>
        <v>0</v>
      </c>
      <c r="W70" s="62"/>
      <c r="X70" s="74" t="s">
        <v>44</v>
      </c>
    </row>
    <row r="71" ht="14.25">
      <c r="A71" s="206" t="s">
        <v>51</v>
      </c>
      <c r="B71" s="77" t="s">
        <v>75</v>
      </c>
      <c r="C71" s="329">
        <v>9</v>
      </c>
      <c r="D71" s="77" t="s">
        <v>74</v>
      </c>
      <c r="E71" s="556">
        <v>8</v>
      </c>
      <c r="F71" s="67"/>
      <c r="G71" s="66"/>
      <c r="H71" s="67"/>
      <c r="I71" s="330"/>
      <c r="J71" s="76"/>
      <c r="K71" s="324">
        <v>11</v>
      </c>
      <c r="L71" s="76"/>
      <c r="M71" s="324">
        <v>11</v>
      </c>
      <c r="N71" s="67"/>
      <c r="O71" s="330"/>
      <c r="P71" s="218">
        <f t="shared" si="122"/>
        <v>39</v>
      </c>
      <c r="Q71" s="62">
        <f t="shared" si="126"/>
        <v>44</v>
      </c>
      <c r="R71" s="219" t="str">
        <f t="shared" si="123"/>
        <v>Истрашкин</v>
      </c>
      <c r="S71" s="71" t="s">
        <v>10</v>
      </c>
      <c r="T71" s="72" t="s">
        <v>9</v>
      </c>
      <c r="U71" s="73">
        <f t="shared" si="127"/>
        <v>0</v>
      </c>
      <c r="V71" s="62">
        <f t="shared" si="129"/>
        <v>0</v>
      </c>
      <c r="W71" s="62"/>
      <c r="X71" s="74" t="s">
        <v>34</v>
      </c>
    </row>
    <row r="72" ht="14.25">
      <c r="A72" s="207"/>
      <c r="B72" s="210">
        <v>46097</v>
      </c>
      <c r="C72" s="210"/>
      <c r="D72" s="210">
        <v>46098</v>
      </c>
      <c r="E72" s="457"/>
      <c r="F72" s="210">
        <v>46099</v>
      </c>
      <c r="G72" s="210"/>
      <c r="H72" s="210">
        <v>46100</v>
      </c>
      <c r="I72" s="210"/>
      <c r="J72" s="210">
        <v>46101</v>
      </c>
      <c r="K72" s="210"/>
      <c r="L72" s="210">
        <v>46102</v>
      </c>
      <c r="M72" s="210"/>
      <c r="N72" s="210">
        <v>46103</v>
      </c>
      <c r="O72" s="517"/>
      <c r="P72" s="218"/>
      <c r="Q72" s="254"/>
      <c r="R72" s="207"/>
      <c r="S72" s="138"/>
      <c r="T72" s="138"/>
      <c r="U72" s="60" t="s">
        <v>27</v>
      </c>
      <c r="V72" s="61" t="s">
        <v>28</v>
      </c>
      <c r="W72" s="62" t="s">
        <v>29</v>
      </c>
      <c r="X72" s="7"/>
    </row>
    <row r="73" ht="14.25">
      <c r="A73" s="139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39"/>
      <c r="Q73" s="127"/>
      <c r="R73" s="139"/>
      <c r="S73" s="139"/>
      <c r="T73" s="139"/>
      <c r="U73" s="127"/>
      <c r="V73" s="127"/>
      <c r="W73" s="128"/>
      <c r="X73" s="7"/>
    </row>
    <row r="74" ht="14.25">
      <c r="A74" s="143"/>
      <c r="B74" s="214" t="s">
        <v>17</v>
      </c>
      <c r="C74" s="492"/>
      <c r="D74" s="214" t="s">
        <v>18</v>
      </c>
      <c r="E74" s="492"/>
      <c r="F74" s="214" t="s">
        <v>19</v>
      </c>
      <c r="G74" s="214"/>
      <c r="H74" s="214" t="s">
        <v>20</v>
      </c>
      <c r="I74" s="492"/>
      <c r="J74" s="493" t="s">
        <v>21</v>
      </c>
      <c r="K74" s="493"/>
      <c r="L74" s="214" t="s">
        <v>22</v>
      </c>
      <c r="M74" s="214"/>
      <c r="N74" s="214" t="s">
        <v>23</v>
      </c>
      <c r="O74" s="214"/>
      <c r="P74" s="208" t="s">
        <v>24</v>
      </c>
      <c r="Q74" s="209"/>
      <c r="R74" s="143"/>
      <c r="S74" s="143"/>
      <c r="T74" s="143"/>
      <c r="U74" s="62"/>
      <c r="V74" s="62"/>
      <c r="W74" s="62"/>
      <c r="X74" s="51"/>
    </row>
    <row r="75" ht="14.25">
      <c r="A75" s="143"/>
      <c r="B75" s="457">
        <v>46104</v>
      </c>
      <c r="C75" s="457"/>
      <c r="D75" s="457">
        <v>46105</v>
      </c>
      <c r="E75" s="457"/>
      <c r="F75" s="457">
        <v>46106</v>
      </c>
      <c r="G75" s="457"/>
      <c r="H75" s="457">
        <v>46107</v>
      </c>
      <c r="I75" s="457"/>
      <c r="J75" s="457">
        <v>46108</v>
      </c>
      <c r="K75" s="457"/>
      <c r="L75" s="457">
        <v>46109</v>
      </c>
      <c r="M75" s="457"/>
      <c r="N75" s="457">
        <v>46110</v>
      </c>
      <c r="O75" s="459"/>
      <c r="P75" s="213" t="s">
        <v>25</v>
      </c>
      <c r="Q75" s="214" t="s">
        <v>26</v>
      </c>
      <c r="R75" s="537"/>
      <c r="S75" s="147"/>
      <c r="T75" s="147"/>
      <c r="U75" s="60" t="s">
        <v>27</v>
      </c>
      <c r="V75" s="61" t="s">
        <v>28</v>
      </c>
      <c r="W75" s="62" t="s">
        <v>29</v>
      </c>
      <c r="X75" s="63" t="s">
        <v>30</v>
      </c>
    </row>
    <row r="76" ht="14.25">
      <c r="A76" s="217" t="s">
        <v>35</v>
      </c>
      <c r="B76" s="319" t="s">
        <v>32</v>
      </c>
      <c r="C76" s="446" t="s">
        <v>33</v>
      </c>
      <c r="D76" s="591" t="s">
        <v>32</v>
      </c>
      <c r="E76" s="592" t="s">
        <v>33</v>
      </c>
      <c r="F76" s="591" t="s">
        <v>32</v>
      </c>
      <c r="G76" s="592" t="s">
        <v>33</v>
      </c>
      <c r="H76" s="591" t="s">
        <v>32</v>
      </c>
      <c r="I76" s="593" t="s">
        <v>33</v>
      </c>
      <c r="J76" s="591" t="s">
        <v>32</v>
      </c>
      <c r="K76" s="592" t="s">
        <v>33</v>
      </c>
      <c r="L76" s="66"/>
      <c r="M76" s="66"/>
      <c r="N76" s="66"/>
      <c r="O76" s="581"/>
      <c r="P76" s="218">
        <f t="shared" ref="P76:P99" si="130">C76+E76+G76+I76+K76+M76+O76</f>
        <v>40</v>
      </c>
      <c r="Q76" s="221">
        <f t="shared" si="126"/>
        <v>15</v>
      </c>
      <c r="R76" s="219" t="str">
        <f t="shared" ref="R76:R99" si="131">A76</f>
        <v>Рычков</v>
      </c>
      <c r="S76" s="545" t="s">
        <v>10</v>
      </c>
      <c r="T76" s="77" t="s">
        <v>9</v>
      </c>
      <c r="U76" s="73">
        <f t="shared" si="127"/>
        <v>0</v>
      </c>
      <c r="V76" s="62">
        <f t="shared" si="129"/>
        <v>0</v>
      </c>
      <c r="W76" s="62"/>
      <c r="X76" s="74" t="s">
        <v>34</v>
      </c>
    </row>
    <row r="77" ht="14.25">
      <c r="A77" s="203" t="s">
        <v>39</v>
      </c>
      <c r="B77" s="591" t="s">
        <v>32</v>
      </c>
      <c r="C77" s="594" t="s">
        <v>33</v>
      </c>
      <c r="D77" s="591" t="s">
        <v>32</v>
      </c>
      <c r="E77" s="595" t="s">
        <v>33</v>
      </c>
      <c r="F77" s="591" t="s">
        <v>32</v>
      </c>
      <c r="G77" s="594" t="s">
        <v>33</v>
      </c>
      <c r="H77" s="591" t="s">
        <v>32</v>
      </c>
      <c r="I77" s="594" t="s">
        <v>33</v>
      </c>
      <c r="J77" s="591" t="s">
        <v>32</v>
      </c>
      <c r="K77" s="594" t="s">
        <v>33</v>
      </c>
      <c r="L77" s="66"/>
      <c r="M77" s="66"/>
      <c r="N77" s="66"/>
      <c r="O77" s="583"/>
      <c r="P77" s="218">
        <f t="shared" si="130"/>
        <v>40</v>
      </c>
      <c r="Q77" s="229">
        <f t="shared" si="126"/>
        <v>16</v>
      </c>
      <c r="R77" s="219" t="str">
        <f t="shared" si="131"/>
        <v>Игумнов</v>
      </c>
      <c r="S77" s="480" t="s">
        <v>10</v>
      </c>
      <c r="T77" s="77" t="s">
        <v>9</v>
      </c>
      <c r="U77" s="73">
        <f t="shared" si="127"/>
        <v>0</v>
      </c>
      <c r="V77" s="62">
        <f t="shared" si="129"/>
        <v>0</v>
      </c>
      <c r="W77" s="62"/>
      <c r="X77" s="79" t="s">
        <v>34</v>
      </c>
    </row>
    <row r="78" ht="14.25">
      <c r="A78" s="203" t="s">
        <v>40</v>
      </c>
      <c r="B78" s="591" t="s">
        <v>32</v>
      </c>
      <c r="C78" s="591" t="s">
        <v>33</v>
      </c>
      <c r="D78" s="591" t="s">
        <v>32</v>
      </c>
      <c r="E78" s="591" t="s">
        <v>33</v>
      </c>
      <c r="F78" s="591" t="s">
        <v>32</v>
      </c>
      <c r="G78" s="591" t="s">
        <v>33</v>
      </c>
      <c r="H78" s="591" t="s">
        <v>32</v>
      </c>
      <c r="I78" s="591" t="s">
        <v>33</v>
      </c>
      <c r="J78" s="591" t="s">
        <v>32</v>
      </c>
      <c r="K78" s="596" t="s">
        <v>33</v>
      </c>
      <c r="L78" s="66"/>
      <c r="M78" s="66"/>
      <c r="N78" s="66"/>
      <c r="O78" s="66"/>
      <c r="P78" s="218">
        <f t="shared" si="130"/>
        <v>40</v>
      </c>
      <c r="Q78" s="62">
        <f t="shared" si="126"/>
        <v>16</v>
      </c>
      <c r="R78" s="219" t="str">
        <f t="shared" si="131"/>
        <v>Душин</v>
      </c>
      <c r="S78" s="76" t="s">
        <v>10</v>
      </c>
      <c r="T78" s="77" t="s">
        <v>9</v>
      </c>
      <c r="U78" s="73">
        <f t="shared" si="127"/>
        <v>0</v>
      </c>
      <c r="V78" s="62">
        <f t="shared" si="129"/>
        <v>0</v>
      </c>
      <c r="W78" s="62"/>
      <c r="X78" s="74" t="s">
        <v>38</v>
      </c>
    </row>
    <row r="79" ht="14.25">
      <c r="A79" s="203" t="s">
        <v>31</v>
      </c>
      <c r="B79" s="591" t="s">
        <v>32</v>
      </c>
      <c r="C79" s="591" t="s">
        <v>33</v>
      </c>
      <c r="D79" s="591" t="s">
        <v>32</v>
      </c>
      <c r="E79" s="596" t="s">
        <v>33</v>
      </c>
      <c r="F79" s="591" t="s">
        <v>32</v>
      </c>
      <c r="G79" s="591" t="s">
        <v>33</v>
      </c>
      <c r="H79" s="591" t="s">
        <v>32</v>
      </c>
      <c r="I79" s="591" t="s">
        <v>33</v>
      </c>
      <c r="J79" s="591" t="s">
        <v>32</v>
      </c>
      <c r="K79" s="591" t="s">
        <v>33</v>
      </c>
      <c r="L79" s="66"/>
      <c r="M79" s="66"/>
      <c r="N79" s="66"/>
      <c r="O79" s="66"/>
      <c r="P79" s="218">
        <f t="shared" si="130"/>
        <v>40</v>
      </c>
      <c r="Q79" s="62">
        <f t="shared" si="126"/>
        <v>16</v>
      </c>
      <c r="R79" s="219" t="str">
        <f t="shared" si="131"/>
        <v>Нетронин</v>
      </c>
      <c r="S79" s="76" t="s">
        <v>58</v>
      </c>
      <c r="T79" s="77" t="s">
        <v>59</v>
      </c>
      <c r="U79" s="73"/>
      <c r="V79" s="62"/>
      <c r="W79" s="62"/>
      <c r="X79" s="74" t="s">
        <v>38</v>
      </c>
    </row>
    <row r="80" ht="14.25">
      <c r="A80" s="203" t="s">
        <v>61</v>
      </c>
      <c r="B80" s="607" t="s">
        <v>32</v>
      </c>
      <c r="C80" s="596" t="s">
        <v>33</v>
      </c>
      <c r="D80" s="591" t="s">
        <v>32</v>
      </c>
      <c r="E80" s="591" t="s">
        <v>33</v>
      </c>
      <c r="F80" s="607" t="s">
        <v>32</v>
      </c>
      <c r="G80" s="607" t="s">
        <v>33</v>
      </c>
      <c r="H80" s="591" t="s">
        <v>32</v>
      </c>
      <c r="I80" s="591" t="s">
        <v>33</v>
      </c>
      <c r="J80" s="591" t="s">
        <v>32</v>
      </c>
      <c r="K80" s="591" t="s">
        <v>33</v>
      </c>
      <c r="L80" s="66"/>
      <c r="M80" s="66"/>
      <c r="N80" s="66"/>
      <c r="O80" s="509"/>
      <c r="P80" s="218">
        <f t="shared" si="130"/>
        <v>40</v>
      </c>
      <c r="Q80" s="62">
        <f t="shared" si="126"/>
        <v>16</v>
      </c>
      <c r="R80" s="219" t="str">
        <f t="shared" si="131"/>
        <v>Раимова</v>
      </c>
      <c r="S80" s="76" t="s">
        <v>10</v>
      </c>
      <c r="T80" s="77" t="s">
        <v>9</v>
      </c>
      <c r="U80" s="73"/>
      <c r="V80" s="62"/>
      <c r="W80" s="62"/>
      <c r="X80" s="91" t="s">
        <v>44</v>
      </c>
    </row>
    <row r="81" ht="14.25">
      <c r="A81" s="205" t="s">
        <v>43</v>
      </c>
      <c r="B81" s="605"/>
      <c r="C81" s="329">
        <v>11</v>
      </c>
      <c r="D81" s="72" t="s">
        <v>71</v>
      </c>
      <c r="E81" s="329">
        <v>8</v>
      </c>
      <c r="F81" s="608"/>
      <c r="G81" s="609"/>
      <c r="H81" s="67"/>
      <c r="I81" s="330"/>
      <c r="J81" s="76"/>
      <c r="K81" s="324">
        <v>11</v>
      </c>
      <c r="L81" s="76"/>
      <c r="M81" s="324">
        <v>11</v>
      </c>
      <c r="N81" s="610"/>
      <c r="O81" s="334"/>
      <c r="P81" s="253">
        <f t="shared" si="130"/>
        <v>41</v>
      </c>
      <c r="Q81" s="62">
        <f t="shared" si="126"/>
        <v>11</v>
      </c>
      <c r="R81" s="219" t="str">
        <f t="shared" si="131"/>
        <v>Дащенко</v>
      </c>
      <c r="S81" s="71" t="s">
        <v>12</v>
      </c>
      <c r="T81" s="72" t="s">
        <v>11</v>
      </c>
      <c r="U81" s="73">
        <f t="shared" si="127"/>
        <v>0</v>
      </c>
      <c r="V81" s="62">
        <f t="shared" si="129"/>
        <v>0</v>
      </c>
      <c r="W81" s="62"/>
      <c r="X81" s="63" t="s">
        <v>44</v>
      </c>
    </row>
    <row r="82" ht="14.25">
      <c r="A82" s="205" t="s">
        <v>45</v>
      </c>
      <c r="B82" s="66"/>
      <c r="C82" s="66"/>
      <c r="D82" s="76"/>
      <c r="E82" s="324">
        <v>11</v>
      </c>
      <c r="F82" s="76"/>
      <c r="G82" s="324">
        <v>11</v>
      </c>
      <c r="H82" s="67"/>
      <c r="I82" s="330"/>
      <c r="J82" s="82"/>
      <c r="K82" s="82"/>
      <c r="L82" s="77" t="s">
        <v>76</v>
      </c>
      <c r="M82" s="329">
        <v>6</v>
      </c>
      <c r="N82" s="77" t="s">
        <v>9</v>
      </c>
      <c r="O82" s="329">
        <v>11</v>
      </c>
      <c r="P82" s="218">
        <f t="shared" si="130"/>
        <v>39</v>
      </c>
      <c r="Q82" s="62">
        <f t="shared" si="126"/>
        <v>11</v>
      </c>
      <c r="R82" s="219" t="str">
        <f t="shared" si="131"/>
        <v>Пузырь</v>
      </c>
      <c r="S82" s="76" t="s">
        <v>10</v>
      </c>
      <c r="T82" s="77" t="s">
        <v>9</v>
      </c>
      <c r="U82" s="73">
        <f t="shared" si="127"/>
        <v>0</v>
      </c>
      <c r="V82" s="62">
        <f t="shared" si="129"/>
        <v>0</v>
      </c>
      <c r="W82" s="62"/>
      <c r="X82" s="74" t="s">
        <v>34</v>
      </c>
    </row>
    <row r="83" ht="14.25">
      <c r="A83" s="205" t="s">
        <v>46</v>
      </c>
      <c r="B83" s="67"/>
      <c r="C83" s="67"/>
      <c r="D83" s="67"/>
      <c r="E83" s="330"/>
      <c r="F83" s="76"/>
      <c r="G83" s="324">
        <v>11</v>
      </c>
      <c r="H83" s="76"/>
      <c r="I83" s="324">
        <v>11</v>
      </c>
      <c r="J83" s="66"/>
      <c r="K83" s="66"/>
      <c r="L83" s="67"/>
      <c r="M83" s="330"/>
      <c r="N83" s="77" t="s">
        <v>77</v>
      </c>
      <c r="O83" s="329">
        <v>9</v>
      </c>
      <c r="P83" s="218">
        <f t="shared" si="130"/>
        <v>31</v>
      </c>
      <c r="Q83" s="62">
        <f t="shared" si="126"/>
        <v>0</v>
      </c>
      <c r="R83" s="219" t="str">
        <f t="shared" si="131"/>
        <v>Голышев</v>
      </c>
      <c r="S83" s="76" t="s">
        <v>10</v>
      </c>
      <c r="T83" s="77" t="s">
        <v>9</v>
      </c>
      <c r="U83" s="73">
        <f t="shared" si="127"/>
        <v>0</v>
      </c>
      <c r="V83" s="62">
        <f t="shared" si="129"/>
        <v>0</v>
      </c>
      <c r="W83" s="62"/>
      <c r="X83" s="74" t="s">
        <v>34</v>
      </c>
    </row>
    <row r="84" ht="14.25">
      <c r="A84" s="205" t="s">
        <v>47</v>
      </c>
      <c r="B84" s="76"/>
      <c r="C84" s="324">
        <v>11</v>
      </c>
      <c r="D84" s="66"/>
      <c r="E84" s="66"/>
      <c r="F84" s="67"/>
      <c r="G84" s="330"/>
      <c r="H84" s="77"/>
      <c r="I84" s="329">
        <v>11</v>
      </c>
      <c r="J84" s="77"/>
      <c r="K84" s="329">
        <v>11</v>
      </c>
      <c r="L84" s="66"/>
      <c r="M84" s="66"/>
      <c r="N84" s="66"/>
      <c r="O84" s="66"/>
      <c r="P84" s="218">
        <f t="shared" si="130"/>
        <v>33</v>
      </c>
      <c r="Q84" s="62">
        <f t="shared" si="126"/>
        <v>22</v>
      </c>
      <c r="R84" s="219" t="str">
        <f t="shared" si="131"/>
        <v>Торубара</v>
      </c>
      <c r="S84" s="76" t="s">
        <v>10</v>
      </c>
      <c r="T84" s="77" t="s">
        <v>9</v>
      </c>
      <c r="U84" s="73">
        <f t="shared" si="127"/>
        <v>0</v>
      </c>
      <c r="V84" s="62">
        <f t="shared" si="129"/>
        <v>0</v>
      </c>
      <c r="W84" s="62"/>
      <c r="X84" s="74" t="s">
        <v>34</v>
      </c>
    </row>
    <row r="85" ht="14.25">
      <c r="A85" s="205" t="s">
        <v>48</v>
      </c>
      <c r="B85" s="76"/>
      <c r="C85" s="324">
        <v>11</v>
      </c>
      <c r="D85" s="76"/>
      <c r="E85" s="324">
        <v>11</v>
      </c>
      <c r="F85" s="66"/>
      <c r="G85" s="66"/>
      <c r="H85" s="67"/>
      <c r="I85" s="66"/>
      <c r="J85" s="77"/>
      <c r="K85" s="329">
        <v>11</v>
      </c>
      <c r="L85" s="77" t="s">
        <v>78</v>
      </c>
      <c r="M85" s="329">
        <v>7</v>
      </c>
      <c r="N85" s="66"/>
      <c r="O85" s="66"/>
      <c r="P85" s="218">
        <f t="shared" si="130"/>
        <v>40</v>
      </c>
      <c r="Q85" s="62">
        <f t="shared" si="126"/>
        <v>11</v>
      </c>
      <c r="R85" s="219" t="str">
        <f t="shared" si="131"/>
        <v>Стрыгин</v>
      </c>
      <c r="S85" s="71" t="s">
        <v>8</v>
      </c>
      <c r="T85" s="72" t="s">
        <v>7</v>
      </c>
      <c r="U85" s="73">
        <f t="shared" si="127"/>
        <v>0</v>
      </c>
      <c r="V85" s="62">
        <f t="shared" si="129"/>
        <v>0</v>
      </c>
      <c r="W85" s="62"/>
      <c r="X85" s="74" t="s">
        <v>49</v>
      </c>
    </row>
    <row r="86" ht="14.25">
      <c r="A86" s="205" t="s">
        <v>50</v>
      </c>
      <c r="B86" s="77" t="s">
        <v>71</v>
      </c>
      <c r="C86" s="329">
        <v>8</v>
      </c>
      <c r="D86" s="82"/>
      <c r="E86" s="82"/>
      <c r="F86" s="611"/>
      <c r="G86" s="330"/>
      <c r="H86" s="76"/>
      <c r="I86" s="324">
        <v>11</v>
      </c>
      <c r="J86" s="76"/>
      <c r="K86" s="324">
        <v>11</v>
      </c>
      <c r="L86" s="66"/>
      <c r="M86" s="66"/>
      <c r="N86" s="67"/>
      <c r="O86" s="330"/>
      <c r="P86" s="218">
        <f t="shared" si="130"/>
        <v>30</v>
      </c>
      <c r="Q86" s="62">
        <f t="shared" si="126"/>
        <v>17</v>
      </c>
      <c r="R86" s="219" t="str">
        <f t="shared" si="131"/>
        <v>Фрик</v>
      </c>
      <c r="S86" s="71" t="s">
        <v>12</v>
      </c>
      <c r="T86" s="72" t="s">
        <v>11</v>
      </c>
      <c r="U86" s="73">
        <f t="shared" si="127"/>
        <v>0</v>
      </c>
      <c r="V86" s="62">
        <f t="shared" si="129"/>
        <v>0</v>
      </c>
      <c r="W86" s="62"/>
      <c r="X86" s="74" t="s">
        <v>44</v>
      </c>
    </row>
    <row r="87" ht="14.25">
      <c r="A87" s="206" t="s">
        <v>51</v>
      </c>
      <c r="B87" s="509"/>
      <c r="C87" s="509"/>
      <c r="D87" s="77"/>
      <c r="E87" s="329">
        <v>11</v>
      </c>
      <c r="F87" s="605"/>
      <c r="G87" s="329">
        <v>11</v>
      </c>
      <c r="H87" s="509"/>
      <c r="I87" s="509"/>
      <c r="J87" s="612"/>
      <c r="K87" s="612"/>
      <c r="L87" s="76"/>
      <c r="M87" s="324">
        <v>11</v>
      </c>
      <c r="N87" s="76"/>
      <c r="O87" s="324">
        <v>11</v>
      </c>
      <c r="P87" s="218">
        <f t="shared" si="130"/>
        <v>44</v>
      </c>
      <c r="Q87" s="62">
        <f t="shared" si="126"/>
        <v>0</v>
      </c>
      <c r="R87" s="219" t="str">
        <f t="shared" si="131"/>
        <v>Истрашкин</v>
      </c>
      <c r="S87" s="71" t="s">
        <v>10</v>
      </c>
      <c r="T87" s="72" t="s">
        <v>9</v>
      </c>
      <c r="U87" s="73">
        <f>COUNTIF(T87,B87)+COUNTIF(T87,D87)+COUNTIF(T87,J87)+COUNTIF(T87,H87)+COUNTIF(T87,#REF!)+COUNTIF(T87,L87)+COUNTIF(T87,N87)</f>
        <v>0</v>
      </c>
      <c r="V87" s="62">
        <f>COUNTIF(S87,B87)+COUNTIF(S87,D87)+COUNTIF(S87,J87)+COUNTIF(S87,H87)+COUNTIF(S87,#REF!)+COUNTIF(S87,L87)+COUNTIF(S87,N87)</f>
        <v>0</v>
      </c>
      <c r="W87" s="62"/>
      <c r="X87" s="74" t="s">
        <v>34</v>
      </c>
    </row>
    <row r="88" ht="14.25">
      <c r="A88" s="207"/>
      <c r="B88" s="457">
        <v>46104</v>
      </c>
      <c r="C88" s="457"/>
      <c r="D88" s="210">
        <v>46105</v>
      </c>
      <c r="E88" s="210"/>
      <c r="F88" s="210">
        <v>46106</v>
      </c>
      <c r="G88" s="210"/>
      <c r="H88" s="457">
        <v>46107</v>
      </c>
      <c r="I88" s="457"/>
      <c r="J88" s="457">
        <v>46108</v>
      </c>
      <c r="K88" s="457"/>
      <c r="L88" s="210">
        <v>46109</v>
      </c>
      <c r="M88" s="210"/>
      <c r="N88" s="210">
        <v>46110</v>
      </c>
      <c r="O88" s="517"/>
      <c r="P88" s="218"/>
      <c r="Q88" s="254"/>
      <c r="R88" s="207"/>
      <c r="S88" s="138"/>
      <c r="T88" s="138"/>
      <c r="U88" s="60" t="s">
        <v>27</v>
      </c>
      <c r="V88" s="61" t="s">
        <v>28</v>
      </c>
      <c r="W88" s="62" t="s">
        <v>29</v>
      </c>
      <c r="X88" s="7"/>
    </row>
    <row r="89" ht="14.25">
      <c r="A89" s="139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39"/>
      <c r="Q89" s="127"/>
      <c r="R89" s="139"/>
      <c r="S89" s="139"/>
      <c r="T89" s="139"/>
      <c r="U89" s="127"/>
      <c r="V89" s="127"/>
      <c r="W89" s="128"/>
      <c r="X89" s="7"/>
    </row>
    <row r="90" ht="14.25">
      <c r="A90" s="143"/>
      <c r="B90" s="214" t="s">
        <v>17</v>
      </c>
      <c r="C90" s="492"/>
      <c r="D90" s="214" t="s">
        <v>18</v>
      </c>
      <c r="E90" s="492"/>
      <c r="F90" s="214" t="s">
        <v>19</v>
      </c>
      <c r="G90" s="214"/>
      <c r="H90" s="214" t="s">
        <v>20</v>
      </c>
      <c r="I90" s="492"/>
      <c r="J90" s="493" t="s">
        <v>21</v>
      </c>
      <c r="K90" s="493"/>
      <c r="L90" s="214" t="s">
        <v>22</v>
      </c>
      <c r="M90" s="214"/>
      <c r="N90" s="214" t="s">
        <v>23</v>
      </c>
      <c r="O90" s="214"/>
      <c r="P90" s="208" t="s">
        <v>24</v>
      </c>
      <c r="Q90" s="209"/>
      <c r="R90" s="143"/>
      <c r="S90" s="143"/>
      <c r="T90" s="143"/>
      <c r="U90" s="62"/>
      <c r="V90" s="62"/>
      <c r="W90" s="62"/>
      <c r="X90" s="51"/>
    </row>
    <row r="91" ht="14.25">
      <c r="A91" s="143"/>
      <c r="B91" s="457">
        <v>46111</v>
      </c>
      <c r="C91" s="457"/>
      <c r="D91" s="457">
        <v>46112</v>
      </c>
      <c r="E91" s="457"/>
      <c r="F91" s="457">
        <v>46113</v>
      </c>
      <c r="G91" s="457"/>
      <c r="H91" s="457">
        <v>46114</v>
      </c>
      <c r="I91" s="457"/>
      <c r="J91" s="457">
        <v>46115</v>
      </c>
      <c r="K91" s="457"/>
      <c r="L91" s="457">
        <v>46116</v>
      </c>
      <c r="M91" s="457"/>
      <c r="N91" s="457">
        <v>46117</v>
      </c>
      <c r="O91" s="459"/>
      <c r="P91" s="213" t="s">
        <v>25</v>
      </c>
      <c r="Q91" s="214" t="s">
        <v>26</v>
      </c>
      <c r="R91" s="537"/>
      <c r="S91" s="147"/>
      <c r="T91" s="147"/>
      <c r="U91" s="60" t="s">
        <v>27</v>
      </c>
      <c r="V91" s="61" t="s">
        <v>28</v>
      </c>
      <c r="W91" s="62" t="s">
        <v>29</v>
      </c>
      <c r="X91" s="63" t="s">
        <v>30</v>
      </c>
    </row>
    <row r="92" ht="14.25">
      <c r="A92" s="217" t="s">
        <v>35</v>
      </c>
      <c r="B92" s="65" t="s">
        <v>32</v>
      </c>
      <c r="C92" s="65" t="s">
        <v>33</v>
      </c>
      <c r="D92" s="65" t="s">
        <v>32</v>
      </c>
      <c r="E92" s="65" t="s">
        <v>33</v>
      </c>
      <c r="F92" s="65"/>
      <c r="G92" s="65"/>
      <c r="H92" s="65"/>
      <c r="I92" s="65"/>
      <c r="J92" s="65"/>
      <c r="K92" s="65"/>
      <c r="L92" s="66"/>
      <c r="M92" s="66"/>
      <c r="N92" s="66"/>
      <c r="O92" s="66"/>
      <c r="P92" s="218">
        <f t="shared" si="130"/>
        <v>16</v>
      </c>
      <c r="Q92" s="221">
        <f t="shared" ref="Q92:Q99" si="132">Q76-P92</f>
        <v>-1</v>
      </c>
      <c r="R92" s="219" t="str">
        <f t="shared" si="131"/>
        <v>Рычков</v>
      </c>
      <c r="S92" s="76" t="s">
        <v>10</v>
      </c>
      <c r="T92" s="77" t="s">
        <v>9</v>
      </c>
      <c r="U92" s="73">
        <f t="shared" ref="U92:U99" si="133">COUNTIF(T92,B92)+COUNTIF(T92,D92)+COUNTIF(T92,F92)+COUNTIF(T92,H92)+COUNTIF(T92,J92)+COUNTIF(T92,L92)+COUNTIF(T92,N92)</f>
        <v>0</v>
      </c>
      <c r="V92" s="221">
        <f t="shared" ref="V92:V99" si="134">COUNTIF(S92,B92)+COUNTIF(S92,D92)+COUNTIF(S92,F92)+COUNTIF(S92,H92)+COUNTIF(S92,J92)+COUNTIF(S92,L92)+COUNTIF(S92,N92)</f>
        <v>0</v>
      </c>
      <c r="W92" s="62"/>
      <c r="X92" s="74" t="s">
        <v>34</v>
      </c>
    </row>
    <row r="93" ht="14.25">
      <c r="A93" s="203" t="s">
        <v>39</v>
      </c>
      <c r="B93" s="65" t="s">
        <v>32</v>
      </c>
      <c r="C93" s="65" t="s">
        <v>33</v>
      </c>
      <c r="D93" s="65" t="s">
        <v>32</v>
      </c>
      <c r="E93" s="65" t="s">
        <v>33</v>
      </c>
      <c r="F93" s="65"/>
      <c r="G93" s="65"/>
      <c r="H93" s="65"/>
      <c r="I93" s="65"/>
      <c r="J93" s="65"/>
      <c r="K93" s="65"/>
      <c r="L93" s="66"/>
      <c r="M93" s="66"/>
      <c r="N93" s="66"/>
      <c r="O93" s="66"/>
      <c r="P93" s="218">
        <f t="shared" si="130"/>
        <v>16</v>
      </c>
      <c r="Q93" s="229">
        <f t="shared" si="132"/>
        <v>0</v>
      </c>
      <c r="R93" s="219" t="str">
        <f t="shared" si="131"/>
        <v>Игумнов</v>
      </c>
      <c r="S93" s="76" t="s">
        <v>10</v>
      </c>
      <c r="T93" s="77" t="s">
        <v>9</v>
      </c>
      <c r="U93" s="73">
        <f t="shared" si="133"/>
        <v>0</v>
      </c>
      <c r="V93" s="229">
        <f t="shared" si="134"/>
        <v>0</v>
      </c>
      <c r="W93" s="62"/>
      <c r="X93" s="79" t="s">
        <v>34</v>
      </c>
    </row>
    <row r="94" ht="14.25">
      <c r="A94" s="203" t="s">
        <v>40</v>
      </c>
      <c r="B94" s="65" t="s">
        <v>32</v>
      </c>
      <c r="C94" s="65" t="s">
        <v>33</v>
      </c>
      <c r="D94" s="65" t="s">
        <v>32</v>
      </c>
      <c r="E94" s="65" t="s">
        <v>33</v>
      </c>
      <c r="F94" s="65"/>
      <c r="G94" s="65"/>
      <c r="H94" s="65"/>
      <c r="I94" s="65"/>
      <c r="J94" s="65"/>
      <c r="K94" s="65"/>
      <c r="L94" s="66"/>
      <c r="M94" s="66"/>
      <c r="N94" s="66"/>
      <c r="O94" s="66"/>
      <c r="P94" s="218">
        <f t="shared" si="130"/>
        <v>16</v>
      </c>
      <c r="Q94" s="62">
        <f t="shared" si="132"/>
        <v>0</v>
      </c>
      <c r="R94" s="219" t="str">
        <f t="shared" si="131"/>
        <v>Душин</v>
      </c>
      <c r="S94" s="76" t="s">
        <v>10</v>
      </c>
      <c r="T94" s="77" t="s">
        <v>9</v>
      </c>
      <c r="U94" s="73">
        <f t="shared" si="133"/>
        <v>0</v>
      </c>
      <c r="V94" s="62">
        <f t="shared" si="134"/>
        <v>0</v>
      </c>
      <c r="W94" s="62"/>
      <c r="X94" s="74" t="s">
        <v>38</v>
      </c>
    </row>
    <row r="95" ht="14.25">
      <c r="A95" s="203" t="s">
        <v>31</v>
      </c>
      <c r="B95" s="319" t="s">
        <v>32</v>
      </c>
      <c r="C95" s="319" t="s">
        <v>33</v>
      </c>
      <c r="D95" s="319" t="s">
        <v>32</v>
      </c>
      <c r="E95" s="319" t="s">
        <v>33</v>
      </c>
      <c r="F95" s="65"/>
      <c r="G95" s="65"/>
      <c r="H95" s="65"/>
      <c r="I95" s="65"/>
      <c r="J95" s="65"/>
      <c r="K95" s="65"/>
      <c r="L95" s="66"/>
      <c r="M95" s="66"/>
      <c r="N95" s="66"/>
      <c r="O95" s="66"/>
      <c r="P95" s="218">
        <f t="shared" si="130"/>
        <v>16</v>
      </c>
      <c r="Q95" s="62">
        <f t="shared" si="132"/>
        <v>0</v>
      </c>
      <c r="R95" s="219" t="str">
        <f t="shared" si="131"/>
        <v>Нетронин</v>
      </c>
      <c r="S95" s="76" t="s">
        <v>58</v>
      </c>
      <c r="T95" s="77" t="s">
        <v>59</v>
      </c>
      <c r="U95" s="73"/>
      <c r="V95" s="62"/>
      <c r="W95" s="62"/>
      <c r="X95" s="74" t="s">
        <v>38</v>
      </c>
    </row>
    <row r="96" ht="14.25">
      <c r="A96" s="203" t="s">
        <v>61</v>
      </c>
      <c r="B96" s="613" t="s">
        <v>32</v>
      </c>
      <c r="C96" s="65" t="s">
        <v>33</v>
      </c>
      <c r="D96" s="613" t="s">
        <v>32</v>
      </c>
      <c r="E96" s="65" t="s">
        <v>33</v>
      </c>
      <c r="F96" s="613"/>
      <c r="G96" s="613"/>
      <c r="H96" s="613"/>
      <c r="I96" s="613"/>
      <c r="J96" s="613"/>
      <c r="K96" s="613"/>
      <c r="L96" s="509"/>
      <c r="M96" s="509"/>
      <c r="N96" s="509"/>
      <c r="O96" s="509"/>
      <c r="P96" s="218">
        <f t="shared" si="130"/>
        <v>16</v>
      </c>
      <c r="Q96" s="62">
        <f t="shared" si="132"/>
        <v>0</v>
      </c>
      <c r="R96" s="219" t="str">
        <f t="shared" si="131"/>
        <v>Раимова</v>
      </c>
      <c r="S96" s="76" t="s">
        <v>10</v>
      </c>
      <c r="T96" s="77" t="s">
        <v>9</v>
      </c>
      <c r="U96" s="73"/>
      <c r="V96" s="62"/>
      <c r="W96" s="62"/>
      <c r="X96" s="600" t="s">
        <v>44</v>
      </c>
    </row>
    <row r="97" ht="14.25">
      <c r="A97" s="361" t="s">
        <v>43</v>
      </c>
      <c r="B97" s="614"/>
      <c r="C97" s="615"/>
      <c r="D97" s="616"/>
      <c r="E97" s="329">
        <v>11</v>
      </c>
      <c r="F97" s="617"/>
      <c r="G97" s="618"/>
      <c r="H97" s="619"/>
      <c r="I97" s="619"/>
      <c r="J97" s="462"/>
      <c r="K97" s="462"/>
      <c r="L97" s="620"/>
      <c r="M97" s="620"/>
      <c r="N97" s="620"/>
      <c r="O97" s="620"/>
      <c r="P97" s="253">
        <f t="shared" si="130"/>
        <v>11</v>
      </c>
      <c r="Q97" s="62">
        <f t="shared" si="132"/>
        <v>0</v>
      </c>
      <c r="R97" s="219" t="str">
        <f t="shared" si="131"/>
        <v>Дащенко</v>
      </c>
      <c r="S97" s="71" t="s">
        <v>12</v>
      </c>
      <c r="T97" s="72" t="s">
        <v>11</v>
      </c>
      <c r="U97" s="73">
        <f t="shared" si="133"/>
        <v>0</v>
      </c>
      <c r="V97" s="62">
        <f t="shared" si="134"/>
        <v>0</v>
      </c>
      <c r="W97" s="62"/>
      <c r="X97" s="63" t="s">
        <v>44</v>
      </c>
    </row>
    <row r="98" ht="14.25">
      <c r="A98" s="361" t="s">
        <v>45</v>
      </c>
      <c r="B98" s="601"/>
      <c r="C98" s="329">
        <v>11</v>
      </c>
      <c r="D98" s="586"/>
      <c r="E98" s="66"/>
      <c r="F98" s="621"/>
      <c r="G98" s="621"/>
      <c r="H98" s="256"/>
      <c r="I98" s="256"/>
      <c r="J98" s="82"/>
      <c r="K98" s="82"/>
      <c r="L98" s="622"/>
      <c r="M98" s="622"/>
      <c r="N98" s="622"/>
      <c r="O98" s="622"/>
      <c r="P98" s="218">
        <f t="shared" si="130"/>
        <v>11</v>
      </c>
      <c r="Q98" s="62">
        <f t="shared" si="132"/>
        <v>0</v>
      </c>
      <c r="R98" s="219" t="str">
        <f t="shared" si="131"/>
        <v>Пузырь</v>
      </c>
      <c r="S98" s="76" t="s">
        <v>10</v>
      </c>
      <c r="T98" s="77" t="s">
        <v>9</v>
      </c>
      <c r="U98" s="73">
        <f t="shared" si="133"/>
        <v>0</v>
      </c>
      <c r="V98" s="62">
        <f t="shared" si="134"/>
        <v>0</v>
      </c>
      <c r="W98" s="62"/>
      <c r="X98" s="74" t="s">
        <v>34</v>
      </c>
    </row>
    <row r="99" ht="14.25">
      <c r="A99" s="205" t="s">
        <v>46</v>
      </c>
      <c r="B99" s="67"/>
      <c r="C99" s="330"/>
      <c r="D99" s="67"/>
      <c r="E99" s="67"/>
      <c r="F99" s="67"/>
      <c r="G99" s="67"/>
      <c r="H99" s="623"/>
      <c r="I99" s="623"/>
      <c r="J99" s="622"/>
      <c r="K99" s="622"/>
      <c r="L99" s="82"/>
      <c r="M99" s="82"/>
      <c r="N99" s="66"/>
      <c r="O99" s="66"/>
      <c r="P99" s="218">
        <f t="shared" si="130"/>
        <v>0</v>
      </c>
      <c r="Q99" s="62">
        <f t="shared" si="132"/>
        <v>0</v>
      </c>
      <c r="R99" s="219" t="str">
        <f t="shared" si="131"/>
        <v>Голышев</v>
      </c>
      <c r="S99" s="76" t="s">
        <v>10</v>
      </c>
      <c r="T99" s="77" t="s">
        <v>9</v>
      </c>
      <c r="U99" s="73">
        <f t="shared" si="133"/>
        <v>0</v>
      </c>
      <c r="V99" s="62">
        <f t="shared" si="134"/>
        <v>0</v>
      </c>
      <c r="W99" s="62"/>
      <c r="X99" s="74" t="s">
        <v>34</v>
      </c>
    </row>
    <row r="100" ht="14.25">
      <c r="A100" s="205" t="s">
        <v>47</v>
      </c>
      <c r="B100" s="76"/>
      <c r="C100" s="324">
        <v>11</v>
      </c>
      <c r="D100" s="76"/>
      <c r="E100" s="324">
        <v>11</v>
      </c>
      <c r="F100" s="82"/>
      <c r="G100" s="82"/>
      <c r="H100" s="624"/>
      <c r="I100" s="624"/>
      <c r="J100" s="621"/>
      <c r="K100" s="621"/>
      <c r="L100" s="195"/>
      <c r="M100" s="195"/>
      <c r="N100" s="66"/>
      <c r="O100" s="66"/>
      <c r="P100" s="218">
        <f t="shared" ref="P100:P103" si="135">C100+E100+G100+I100+K100+M100+O100</f>
        <v>22</v>
      </c>
      <c r="Q100" s="62">
        <f t="shared" ref="Q100:Q103" si="136">Q84-P100</f>
        <v>0</v>
      </c>
      <c r="R100" s="219" t="str">
        <f t="shared" ref="R100:R103" si="137">A100</f>
        <v>Торубара</v>
      </c>
      <c r="S100" s="76" t="s">
        <v>10</v>
      </c>
      <c r="T100" s="77" t="s">
        <v>9</v>
      </c>
      <c r="U100" s="73">
        <f t="shared" ref="U100:U103" si="138">COUNTIF(T100,B100)+COUNTIF(T100,D100)+COUNTIF(T100,F100)+COUNTIF(T100,H100)+COUNTIF(T100,J100)+COUNTIF(T100,L100)+COUNTIF(T100,N100)</f>
        <v>0</v>
      </c>
      <c r="V100" s="62">
        <f t="shared" ref="V100:V103" si="139">COUNTIF(S100,B100)+COUNTIF(S100,D100)+COUNTIF(S100,F100)+COUNTIF(S100,H100)+COUNTIF(S100,J100)+COUNTIF(S100,L100)+COUNTIF(S100,N100)</f>
        <v>0</v>
      </c>
      <c r="W100" s="62"/>
      <c r="X100" s="74" t="s">
        <v>34</v>
      </c>
    </row>
    <row r="101" ht="14.25">
      <c r="A101" s="205" t="s">
        <v>48</v>
      </c>
      <c r="B101" s="66"/>
      <c r="C101" s="66"/>
      <c r="D101" s="76"/>
      <c r="E101" s="324">
        <v>11</v>
      </c>
      <c r="F101" s="622"/>
      <c r="G101" s="622"/>
      <c r="H101" s="67"/>
      <c r="I101" s="66"/>
      <c r="J101" s="82"/>
      <c r="K101" s="82"/>
      <c r="L101" s="622"/>
      <c r="M101" s="622"/>
      <c r="N101" s="622"/>
      <c r="O101" s="622"/>
      <c r="P101" s="218">
        <f t="shared" si="135"/>
        <v>11</v>
      </c>
      <c r="Q101" s="62">
        <f t="shared" si="136"/>
        <v>0</v>
      </c>
      <c r="R101" s="219" t="str">
        <f t="shared" si="137"/>
        <v>Стрыгин</v>
      </c>
      <c r="S101" s="71" t="s">
        <v>8</v>
      </c>
      <c r="T101" s="72" t="s">
        <v>7</v>
      </c>
      <c r="U101" s="73">
        <f t="shared" si="138"/>
        <v>0</v>
      </c>
      <c r="V101" s="62">
        <f t="shared" si="139"/>
        <v>0</v>
      </c>
      <c r="W101" s="62"/>
      <c r="X101" s="74" t="s">
        <v>49</v>
      </c>
    </row>
    <row r="102" ht="14.25">
      <c r="A102" s="205" t="s">
        <v>50</v>
      </c>
      <c r="B102" s="77" t="s">
        <v>79</v>
      </c>
      <c r="C102" s="329">
        <v>9</v>
      </c>
      <c r="D102" s="262" t="s">
        <v>80</v>
      </c>
      <c r="E102" s="329">
        <v>8</v>
      </c>
      <c r="F102" s="82"/>
      <c r="G102" s="82"/>
      <c r="H102" s="66"/>
      <c r="I102" s="66"/>
      <c r="J102" s="621"/>
      <c r="K102" s="621"/>
      <c r="L102" s="625"/>
      <c r="M102" s="625"/>
      <c r="N102" s="82"/>
      <c r="O102" s="82"/>
      <c r="P102" s="218">
        <f t="shared" si="135"/>
        <v>17</v>
      </c>
      <c r="Q102" s="62">
        <f t="shared" si="136"/>
        <v>0</v>
      </c>
      <c r="R102" s="219" t="str">
        <f t="shared" si="137"/>
        <v>Фрик</v>
      </c>
      <c r="S102" s="71" t="s">
        <v>12</v>
      </c>
      <c r="T102" s="72" t="s">
        <v>11</v>
      </c>
      <c r="U102" s="73">
        <f t="shared" si="138"/>
        <v>0</v>
      </c>
      <c r="V102" s="62">
        <f t="shared" si="139"/>
        <v>0</v>
      </c>
      <c r="W102" s="62"/>
      <c r="X102" s="74" t="s">
        <v>44</v>
      </c>
    </row>
    <row r="103" ht="14.25">
      <c r="A103" s="206" t="s">
        <v>51</v>
      </c>
      <c r="B103" s="509"/>
      <c r="C103" s="509"/>
      <c r="D103" s="509"/>
      <c r="E103" s="509"/>
      <c r="F103" s="626"/>
      <c r="G103" s="626"/>
      <c r="H103" s="626"/>
      <c r="I103" s="626"/>
      <c r="J103" s="66"/>
      <c r="K103" s="66"/>
      <c r="L103" s="82"/>
      <c r="M103" s="82"/>
      <c r="N103" s="625"/>
      <c r="O103" s="625"/>
      <c r="P103" s="218">
        <f t="shared" si="135"/>
        <v>0</v>
      </c>
      <c r="Q103" s="62">
        <f t="shared" si="136"/>
        <v>0</v>
      </c>
      <c r="R103" s="219" t="str">
        <f t="shared" si="137"/>
        <v>Истрашкин</v>
      </c>
      <c r="S103" s="71" t="s">
        <v>10</v>
      </c>
      <c r="T103" s="72" t="s">
        <v>9</v>
      </c>
      <c r="U103" s="73">
        <f t="shared" si="138"/>
        <v>0</v>
      </c>
      <c r="V103" s="62">
        <f t="shared" si="139"/>
        <v>0</v>
      </c>
      <c r="W103" s="62"/>
      <c r="X103" s="74" t="s">
        <v>34</v>
      </c>
    </row>
    <row r="104" ht="14.25">
      <c r="A104" s="207"/>
      <c r="B104" s="627">
        <v>46111</v>
      </c>
      <c r="C104" s="627"/>
      <c r="D104" s="627">
        <v>46112</v>
      </c>
      <c r="E104" s="627"/>
      <c r="F104" s="211">
        <v>46113</v>
      </c>
      <c r="G104" s="211"/>
      <c r="H104" s="211">
        <v>46114</v>
      </c>
      <c r="I104" s="211"/>
      <c r="J104" s="211">
        <v>46115</v>
      </c>
      <c r="K104" s="211"/>
      <c r="L104" s="211">
        <v>46116</v>
      </c>
      <c r="M104" s="211"/>
      <c r="N104" s="211">
        <v>46117</v>
      </c>
      <c r="O104" s="628"/>
      <c r="P104" s="218"/>
      <c r="Q104" s="254"/>
      <c r="R104" s="629"/>
      <c r="S104" s="138"/>
      <c r="T104" s="630"/>
      <c r="U104" s="60" t="s">
        <v>27</v>
      </c>
      <c r="V104" s="631" t="s">
        <v>28</v>
      </c>
      <c r="W104" s="62" t="s">
        <v>29</v>
      </c>
      <c r="X104" s="7"/>
    </row>
    <row r="105" ht="14.25">
      <c r="X105" s="531"/>
    </row>
    <row r="106" ht="14.25">
      <c r="X106" s="531"/>
    </row>
    <row r="107" ht="14.25">
      <c r="X107" s="531"/>
    </row>
    <row r="108" ht="14.25">
      <c r="X108" s="531"/>
    </row>
    <row r="109" ht="14.25">
      <c r="X109" s="531"/>
    </row>
    <row r="110" ht="14.25">
      <c r="X110" s="531"/>
    </row>
    <row r="111" ht="14.25">
      <c r="X111" s="531"/>
    </row>
    <row r="112" ht="14.25">
      <c r="X112" s="531"/>
    </row>
    <row r="113" ht="14.25">
      <c r="X113" s="531"/>
    </row>
    <row r="114" ht="14.25">
      <c r="X114" s="531"/>
    </row>
    <row r="115" ht="14.25">
      <c r="X115" s="531"/>
    </row>
    <row r="116" ht="14.25">
      <c r="X116" s="531"/>
    </row>
    <row r="117" ht="14.25">
      <c r="X117" s="531"/>
    </row>
    <row r="118" ht="14.25">
      <c r="X118" s="531"/>
    </row>
    <row r="119" ht="14.25">
      <c r="X119" s="531"/>
    </row>
    <row r="120" ht="14.25">
      <c r="X120" s="531"/>
    </row>
    <row r="121" ht="14.25">
      <c r="X121" s="531"/>
    </row>
    <row r="122" ht="14.25">
      <c r="X122" s="531"/>
    </row>
    <row r="123" ht="14.25">
      <c r="X123" s="531"/>
    </row>
    <row r="124" ht="14.25">
      <c r="X124" s="531"/>
    </row>
    <row r="125" ht="14.25">
      <c r="X125" s="531"/>
    </row>
    <row r="126" ht="14.25">
      <c r="X126" s="531"/>
    </row>
    <row r="127" ht="14.25">
      <c r="X127" s="531"/>
    </row>
    <row r="128" ht="14.25">
      <c r="X128" s="531"/>
    </row>
    <row r="129" ht="14.4">
      <c r="X129" s="531"/>
    </row>
    <row r="130" ht="14.4">
      <c r="X130" s="531"/>
    </row>
    <row r="131" ht="14.4">
      <c r="X131" s="531"/>
    </row>
    <row r="132" ht="14.4">
      <c r="X132" s="531"/>
    </row>
    <row r="133" ht="14.4">
      <c r="X133" s="531"/>
    </row>
    <row r="134" ht="14.4">
      <c r="X134" s="531"/>
    </row>
    <row r="135" ht="14.4">
      <c r="X135" s="531"/>
    </row>
    <row r="136" ht="14.4">
      <c r="X136" s="531"/>
    </row>
    <row r="137" ht="14.4">
      <c r="X137" s="531"/>
    </row>
    <row r="138" ht="14.4">
      <c r="X138" s="531"/>
    </row>
    <row r="139" ht="14.4">
      <c r="X139" s="531"/>
    </row>
    <row r="140" ht="14.4">
      <c r="X140" s="531"/>
    </row>
    <row r="141" ht="14.4">
      <c r="X141" s="531"/>
    </row>
    <row r="142" ht="14.4">
      <c r="X142" s="531"/>
    </row>
    <row r="143" ht="14.4">
      <c r="X143" s="531"/>
    </row>
    <row r="144" ht="14.4">
      <c r="X144" s="531"/>
    </row>
    <row r="145" ht="14.4">
      <c r="X145" s="531"/>
    </row>
    <row r="146" ht="14.4">
      <c r="X146" s="531"/>
    </row>
    <row r="147" ht="14.4">
      <c r="X147" s="531"/>
    </row>
    <row r="148" ht="14.4">
      <c r="X148" s="531"/>
    </row>
    <row r="149" ht="14.4">
      <c r="X149" s="531"/>
    </row>
    <row r="150" ht="14.4">
      <c r="X150" s="531"/>
    </row>
    <row r="151" ht="14.4">
      <c r="X151" s="531"/>
    </row>
    <row r="152" ht="14.4">
      <c r="X152" s="531"/>
    </row>
    <row r="153" ht="14.4">
      <c r="X153" s="531"/>
    </row>
    <row r="154" ht="14.4">
      <c r="X154" s="531"/>
    </row>
    <row r="155" ht="14.4">
      <c r="X155" s="531"/>
    </row>
    <row r="156" ht="14.4">
      <c r="X156" s="531"/>
    </row>
    <row r="157" ht="14.4">
      <c r="X157" s="531"/>
    </row>
    <row r="158" ht="14.4">
      <c r="X158" s="531"/>
    </row>
    <row r="159" ht="14.4">
      <c r="X159" s="531"/>
    </row>
    <row r="160" ht="14.4">
      <c r="X160" s="531"/>
    </row>
    <row r="161" ht="14.4">
      <c r="X161" s="531"/>
    </row>
    <row r="162" ht="14.4">
      <c r="X162" s="531"/>
    </row>
    <row r="163" ht="14.4">
      <c r="X163" s="531"/>
    </row>
    <row r="164" ht="14.4">
      <c r="X164" s="531"/>
    </row>
    <row r="165" ht="14.4">
      <c r="X165" s="531"/>
    </row>
    <row r="166" ht="14.4">
      <c r="X166" s="531"/>
    </row>
    <row r="167" ht="14.4">
      <c r="X167" s="531"/>
    </row>
    <row r="168" ht="14.4">
      <c r="X168" s="531"/>
    </row>
    <row r="169" ht="14.4">
      <c r="X169" s="531"/>
    </row>
    <row r="170" ht="14.4">
      <c r="X170" s="531"/>
    </row>
    <row r="171" ht="14.4">
      <c r="X171" s="531"/>
    </row>
    <row r="172" ht="14.4">
      <c r="X172" s="531"/>
    </row>
    <row r="173" ht="14.4">
      <c r="X173" s="531"/>
    </row>
    <row r="174" ht="14.4">
      <c r="X174" s="531"/>
    </row>
    <row r="175" ht="14.4">
      <c r="X175" s="531"/>
    </row>
    <row r="176" ht="14.4">
      <c r="X176" s="531"/>
    </row>
    <row r="177" ht="14.4">
      <c r="X177" s="531"/>
    </row>
    <row r="178" ht="14.4">
      <c r="X178" s="531"/>
    </row>
    <row r="179" ht="14.4">
      <c r="X179" s="531"/>
    </row>
    <row r="180" ht="14.4">
      <c r="X180" s="531"/>
    </row>
    <row r="181" ht="14.4">
      <c r="X181" s="531"/>
    </row>
    <row r="182" ht="14.4">
      <c r="X182" s="531"/>
    </row>
    <row r="183" ht="14.4">
      <c r="X183" s="531"/>
    </row>
    <row r="184" ht="14.4">
      <c r="X184" s="531"/>
    </row>
    <row r="185" ht="14.4">
      <c r="X185" s="531"/>
    </row>
    <row r="186" ht="14.4">
      <c r="X186" s="531"/>
    </row>
    <row r="187" ht="14.4">
      <c r="X187" s="531"/>
    </row>
    <row r="188" ht="14.4">
      <c r="X188" s="531"/>
    </row>
    <row r="189" ht="14.4">
      <c r="X189" s="531"/>
    </row>
    <row r="190" ht="14.4">
      <c r="X190" s="531"/>
    </row>
    <row r="191" ht="14.4">
      <c r="X191" s="531"/>
    </row>
    <row r="192" ht="14.4">
      <c r="X192" s="531"/>
    </row>
    <row r="193" ht="14.4">
      <c r="X193" s="531"/>
    </row>
    <row r="194" ht="14.4">
      <c r="X194" s="531"/>
    </row>
    <row r="195" ht="14.4">
      <c r="X195" s="531"/>
    </row>
    <row r="196" ht="14.4">
      <c r="X196" s="531"/>
    </row>
    <row r="197" ht="14.4">
      <c r="X197" s="531"/>
    </row>
    <row r="198" ht="14.4">
      <c r="X198" s="531"/>
    </row>
    <row r="199" ht="14.4">
      <c r="X199" s="531"/>
    </row>
    <row r="200" ht="14.4">
      <c r="X200" s="531"/>
    </row>
    <row r="201" ht="14.4">
      <c r="X201" s="531"/>
    </row>
    <row r="202" ht="14.4">
      <c r="X202" s="531"/>
    </row>
    <row r="203" ht="14.4">
      <c r="X203" s="531"/>
    </row>
    <row r="204" ht="14.4">
      <c r="X204" s="531"/>
    </row>
    <row r="205" ht="14.4">
      <c r="X205" s="531"/>
    </row>
    <row r="206" ht="14.4">
      <c r="X206" s="531"/>
    </row>
    <row r="207" ht="14.4">
      <c r="X207" s="531"/>
    </row>
    <row r="208" ht="14.4">
      <c r="X208" s="531"/>
    </row>
    <row r="209" ht="14.4">
      <c r="X209" s="531"/>
    </row>
    <row r="210" ht="14.4">
      <c r="X210" s="531"/>
    </row>
    <row r="211" ht="14.4">
      <c r="X211" s="531"/>
    </row>
    <row r="212" ht="14.4">
      <c r="X212" s="531"/>
    </row>
    <row r="213" ht="14.4">
      <c r="X213" s="531"/>
    </row>
    <row r="214" ht="14.4">
      <c r="X214" s="531"/>
    </row>
    <row r="215" ht="14.4">
      <c r="X215" s="531"/>
    </row>
    <row r="216" ht="14.4">
      <c r="X216" s="531"/>
    </row>
    <row r="217" ht="14.4">
      <c r="X217" s="531"/>
    </row>
    <row r="218" ht="14.4">
      <c r="X218" s="531"/>
    </row>
    <row r="219" ht="14.4">
      <c r="X219" s="531"/>
    </row>
    <row r="220" ht="14.4">
      <c r="X220" s="531"/>
    </row>
    <row r="221" ht="14.4">
      <c r="X221" s="531"/>
    </row>
    <row r="222" ht="14.4">
      <c r="X222" s="531"/>
    </row>
    <row r="223" ht="14.4">
      <c r="X223" s="531"/>
    </row>
    <row r="224" ht="14.4">
      <c r="X224" s="531"/>
    </row>
    <row r="225" ht="14.4">
      <c r="X225" s="531"/>
    </row>
    <row r="226" ht="14.4">
      <c r="X226" s="531"/>
    </row>
    <row r="227" ht="14.4">
      <c r="X227" s="531"/>
    </row>
    <row r="228" ht="14.4">
      <c r="X228" s="531"/>
    </row>
    <row r="229" ht="14.4">
      <c r="X229" s="531"/>
    </row>
    <row r="230" ht="14.4">
      <c r="X230" s="531"/>
    </row>
    <row r="231" ht="14.4">
      <c r="X231" s="531"/>
    </row>
    <row r="232" ht="14.4">
      <c r="X232" s="531"/>
    </row>
    <row r="233" ht="14.4">
      <c r="X233" s="531"/>
    </row>
    <row r="234" ht="14.4">
      <c r="X234" s="531"/>
    </row>
    <row r="235" ht="14.4">
      <c r="X235" s="531"/>
    </row>
    <row r="236" ht="14.4">
      <c r="X236" s="531"/>
    </row>
    <row r="237" ht="14.4">
      <c r="X237" s="531"/>
    </row>
    <row r="238" ht="14.4">
      <c r="X238" s="531"/>
    </row>
    <row r="239" ht="14.4">
      <c r="X239" s="531"/>
    </row>
    <row r="240" ht="14.4">
      <c r="X240" s="531"/>
    </row>
    <row r="241" ht="14.4">
      <c r="X241" s="531"/>
    </row>
    <row r="242" ht="14.4">
      <c r="X242" s="531"/>
    </row>
    <row r="243" ht="14.4">
      <c r="X243" s="531"/>
    </row>
    <row r="244" ht="14.4">
      <c r="X244" s="531"/>
    </row>
    <row r="245" ht="14.4">
      <c r="X245" s="531"/>
    </row>
    <row r="246" ht="14.4">
      <c r="X246" s="531"/>
    </row>
    <row r="247" ht="14.4">
      <c r="X247" s="531"/>
    </row>
    <row r="248" ht="14.4">
      <c r="X248" s="531"/>
    </row>
    <row r="249" ht="14.4">
      <c r="X249" s="531"/>
    </row>
    <row r="250" ht="14.4">
      <c r="X250" s="531"/>
    </row>
    <row r="251" ht="14.4">
      <c r="X251" s="531"/>
    </row>
    <row r="252" ht="14.4">
      <c r="X252" s="531"/>
    </row>
    <row r="253" ht="14.4">
      <c r="X253" s="531"/>
    </row>
    <row r="254" ht="14.4">
      <c r="X254" s="531"/>
    </row>
    <row r="255" ht="14.4">
      <c r="X255" s="531"/>
    </row>
    <row r="256" ht="14.4">
      <c r="X256" s="531"/>
    </row>
    <row r="257" ht="14.4">
      <c r="X257" s="531"/>
    </row>
    <row r="258" ht="14.4">
      <c r="X258" s="531"/>
    </row>
    <row r="259" ht="14.4">
      <c r="X259" s="531"/>
    </row>
    <row r="260" ht="14.4">
      <c r="X260" s="531"/>
    </row>
    <row r="261" ht="14.4">
      <c r="X261" s="531"/>
    </row>
    <row r="262" ht="14.4">
      <c r="X262" s="531"/>
    </row>
    <row r="263" ht="14.4">
      <c r="X263" s="531"/>
    </row>
    <row r="264" ht="14.4">
      <c r="X264" s="531"/>
    </row>
    <row r="265" ht="14.4">
      <c r="X265" s="531"/>
    </row>
    <row r="266" ht="14.4">
      <c r="X266" s="531"/>
    </row>
    <row r="267" ht="14.4">
      <c r="X267" s="531"/>
    </row>
    <row r="268" ht="14.4">
      <c r="X268" s="531"/>
    </row>
    <row r="269" ht="14.4">
      <c r="X269" s="531"/>
    </row>
    <row r="270" ht="14.4">
      <c r="X270" s="531"/>
    </row>
    <row r="271" ht="14.4">
      <c r="X271" s="531"/>
    </row>
    <row r="272" ht="14.4">
      <c r="X272" s="531"/>
    </row>
    <row r="273" ht="14.4">
      <c r="X273" s="531"/>
    </row>
    <row r="274" ht="14.4">
      <c r="X274" s="531"/>
    </row>
    <row r="275" ht="14.4">
      <c r="X275" s="531"/>
    </row>
    <row r="276" ht="14.4">
      <c r="X276" s="531"/>
    </row>
    <row r="277" ht="14.4">
      <c r="X277" s="531"/>
    </row>
    <row r="278" ht="14.4">
      <c r="X278" s="531"/>
    </row>
    <row r="279" ht="14.4">
      <c r="X279" s="531"/>
    </row>
    <row r="280" ht="14.4">
      <c r="X280" s="531"/>
    </row>
    <row r="281" ht="14.4">
      <c r="X281" s="531"/>
    </row>
    <row r="282" ht="14.4">
      <c r="X282" s="531"/>
    </row>
    <row r="283" ht="14.4">
      <c r="X283" s="531"/>
    </row>
    <row r="284" ht="14.4">
      <c r="X284" s="531"/>
    </row>
    <row r="285" ht="14.4">
      <c r="X285" s="531"/>
    </row>
    <row r="286" ht="14.4">
      <c r="X286" s="531"/>
    </row>
    <row r="287" ht="14.4">
      <c r="X287" s="531"/>
    </row>
    <row r="288" ht="14.4">
      <c r="X288" s="531"/>
    </row>
    <row r="289" ht="14.4">
      <c r="X289" s="531"/>
    </row>
    <row r="290" ht="14.4">
      <c r="X290" s="531"/>
    </row>
    <row r="291" ht="14.4">
      <c r="X291" s="531"/>
    </row>
    <row r="292" ht="14.4">
      <c r="X292" s="531"/>
    </row>
    <row r="293" ht="14.4">
      <c r="X293" s="531"/>
    </row>
    <row r="294" ht="14.4">
      <c r="X294" s="531"/>
    </row>
    <row r="295" ht="14.4">
      <c r="X295" s="531"/>
    </row>
    <row r="296" ht="14.4">
      <c r="X296" s="531"/>
    </row>
    <row r="297" ht="14.4">
      <c r="X297" s="531"/>
    </row>
    <row r="298" ht="14.4">
      <c r="X298" s="531"/>
    </row>
    <row r="299" ht="14.4">
      <c r="X299" s="531"/>
    </row>
    <row r="300" ht="14.4">
      <c r="X300" s="531"/>
    </row>
    <row r="301" ht="14.4">
      <c r="X301" s="531"/>
    </row>
    <row r="302" ht="14.4">
      <c r="X302" s="531"/>
    </row>
    <row r="303" ht="14.4">
      <c r="X303" s="531"/>
    </row>
    <row r="304" ht="14.4">
      <c r="X304" s="531"/>
    </row>
    <row r="305" ht="14.4">
      <c r="X305" s="531"/>
    </row>
    <row r="306" ht="14.4">
      <c r="X306" s="531"/>
    </row>
    <row r="307" ht="14.4">
      <c r="X307" s="531"/>
    </row>
    <row r="308" ht="14.4">
      <c r="X308" s="531"/>
    </row>
    <row r="309" ht="14.4">
      <c r="X309" s="531"/>
    </row>
    <row r="310" ht="14.4">
      <c r="X310" s="531"/>
    </row>
    <row r="311" ht="14.4">
      <c r="X311" s="531"/>
    </row>
    <row r="312" ht="14.4">
      <c r="X312" s="531"/>
    </row>
    <row r="313" ht="14.4">
      <c r="X313" s="531"/>
    </row>
    <row r="314" ht="14.4">
      <c r="X314" s="531"/>
    </row>
    <row r="315" ht="14.4">
      <c r="X315" s="531"/>
    </row>
    <row r="316" ht="14.4">
      <c r="X316" s="531"/>
    </row>
    <row r="317" ht="14.4">
      <c r="X317" s="531"/>
    </row>
    <row r="318" ht="14.4">
      <c r="X318" s="531"/>
    </row>
    <row r="319" ht="14.4">
      <c r="X319" s="531"/>
    </row>
    <row r="320" ht="14.4">
      <c r="X320" s="531"/>
    </row>
    <row r="321" ht="14.4">
      <c r="X321" s="531"/>
    </row>
    <row r="322" ht="14.4">
      <c r="X322" s="531"/>
    </row>
    <row r="323" ht="14.4">
      <c r="X323" s="531"/>
    </row>
    <row r="324" ht="14.4">
      <c r="X324" s="531"/>
    </row>
    <row r="325" ht="14.4">
      <c r="X325" s="531"/>
    </row>
    <row r="326" ht="14.4">
      <c r="X326" s="531"/>
    </row>
    <row r="327" ht="14.4">
      <c r="X327" s="531"/>
    </row>
    <row r="328" ht="14.4">
      <c r="X328" s="531"/>
    </row>
    <row r="329" ht="14.4">
      <c r="X329" s="531"/>
    </row>
    <row r="330" ht="14.4">
      <c r="X330" s="531"/>
    </row>
    <row r="331" ht="14.4">
      <c r="X331" s="531"/>
    </row>
    <row r="332" ht="14.4">
      <c r="X332" s="531"/>
    </row>
    <row r="333" ht="14.4">
      <c r="X333" s="531"/>
    </row>
    <row r="334" ht="14.4">
      <c r="X334" s="531"/>
    </row>
    <row r="335" ht="14.4">
      <c r="X335" s="531"/>
    </row>
    <row r="336" ht="14.4">
      <c r="X336" s="531"/>
    </row>
    <row r="337" ht="14.4">
      <c r="X337" s="531"/>
    </row>
    <row r="338" ht="14.4">
      <c r="X338" s="531"/>
    </row>
    <row r="339" ht="14.4">
      <c r="X339" s="531"/>
    </row>
    <row r="340" ht="14.4">
      <c r="X340" s="531"/>
    </row>
    <row r="341" ht="14.4">
      <c r="X341" s="531"/>
    </row>
    <row r="342" ht="14.4">
      <c r="X342" s="531"/>
    </row>
    <row r="343" ht="14.4">
      <c r="X343" s="531"/>
    </row>
    <row r="344" ht="14.4">
      <c r="X344" s="531"/>
    </row>
    <row r="345" ht="14.4">
      <c r="X345" s="531"/>
    </row>
    <row r="346" ht="14.4">
      <c r="X346" s="531"/>
    </row>
    <row r="347" ht="14.4">
      <c r="X347" s="531"/>
    </row>
    <row r="348" ht="14.4">
      <c r="X348" s="531"/>
    </row>
    <row r="349" ht="14.4">
      <c r="X349" s="531"/>
    </row>
    <row r="350" ht="14.4">
      <c r="X350" s="531"/>
    </row>
    <row r="351" ht="14.4">
      <c r="X351" s="531"/>
    </row>
    <row r="352" ht="14.4">
      <c r="X352" s="531"/>
    </row>
    <row r="353" ht="14.4">
      <c r="X353" s="531"/>
    </row>
    <row r="354" ht="14.4">
      <c r="X354" s="531"/>
    </row>
    <row r="355" ht="14.4">
      <c r="X355" s="531"/>
    </row>
    <row r="356" ht="14.4">
      <c r="X356" s="531"/>
    </row>
    <row r="357" ht="14.4">
      <c r="X357" s="531"/>
    </row>
    <row r="358" ht="14.4">
      <c r="X358" s="531"/>
    </row>
    <row r="359" ht="14.4">
      <c r="X359" s="531"/>
    </row>
    <row r="360" ht="14.4">
      <c r="X360" s="531"/>
    </row>
    <row r="361" ht="14.4">
      <c r="X361" s="531"/>
    </row>
    <row r="362" ht="14.4">
      <c r="X362" s="531"/>
    </row>
    <row r="363" ht="14.4">
      <c r="X363" s="531"/>
    </row>
    <row r="364" ht="14.4">
      <c r="X364" s="531"/>
    </row>
    <row r="365" ht="14.4">
      <c r="X365" s="531"/>
    </row>
    <row r="366" ht="14.4">
      <c r="X366" s="531"/>
    </row>
    <row r="367" ht="14.4">
      <c r="X367" s="531"/>
    </row>
    <row r="368" ht="14.4">
      <c r="X368" s="531"/>
    </row>
    <row r="369" ht="14.4">
      <c r="X369" s="531"/>
    </row>
    <row r="370" ht="14.4">
      <c r="X370" s="531"/>
    </row>
    <row r="371" ht="14.4">
      <c r="X371" s="531"/>
    </row>
    <row r="372" ht="14.4">
      <c r="X372" s="531"/>
    </row>
    <row r="373" ht="14.4">
      <c r="X373" s="531"/>
    </row>
    <row r="374" ht="14.4">
      <c r="X374" s="531"/>
    </row>
    <row r="375" ht="14.4">
      <c r="X375" s="531"/>
    </row>
    <row r="376" ht="14.4">
      <c r="X376" s="531"/>
    </row>
    <row r="377" ht="14.4">
      <c r="X377" s="531"/>
    </row>
    <row r="378" ht="14.4">
      <c r="X378" s="531"/>
    </row>
    <row r="379" ht="14.4">
      <c r="X379" s="531"/>
    </row>
    <row r="380" ht="14.4">
      <c r="X380" s="531"/>
    </row>
    <row r="381" ht="14.4">
      <c r="X381" s="531"/>
    </row>
    <row r="382" ht="14.4">
      <c r="X382" s="531"/>
    </row>
    <row r="383" ht="14.4">
      <c r="X383" s="531"/>
    </row>
    <row r="384" ht="14.4">
      <c r="X384" s="531"/>
    </row>
    <row r="385" ht="14.4">
      <c r="X385" s="531"/>
    </row>
    <row r="386" ht="14.4">
      <c r="X386" s="531"/>
    </row>
    <row r="387" ht="14.4">
      <c r="X387" s="531"/>
    </row>
    <row r="388" ht="14.4">
      <c r="X388" s="531"/>
    </row>
    <row r="389" ht="14.4">
      <c r="X389" s="531"/>
    </row>
    <row r="390" ht="14.4">
      <c r="X390" s="531"/>
    </row>
    <row r="391" ht="14.4">
      <c r="X391" s="531"/>
    </row>
    <row r="392" ht="14.4">
      <c r="X392" s="531"/>
    </row>
    <row r="393" ht="14.4">
      <c r="X393" s="531"/>
    </row>
    <row r="394" ht="14.4">
      <c r="X394" s="531"/>
    </row>
    <row r="395" ht="14.4">
      <c r="X395" s="531"/>
    </row>
    <row r="396" ht="14.4">
      <c r="X396" s="531"/>
    </row>
    <row r="397" ht="14.4">
      <c r="X397" s="531"/>
    </row>
    <row r="398" ht="14.4">
      <c r="X398" s="531"/>
    </row>
    <row r="399" ht="14.4">
      <c r="X399" s="531"/>
    </row>
    <row r="400" ht="14.4">
      <c r="X400" s="531"/>
    </row>
    <row r="401" ht="14.4">
      <c r="X401" s="531"/>
    </row>
    <row r="402" ht="14.4">
      <c r="X402" s="531"/>
    </row>
    <row r="403" ht="14.4">
      <c r="X403" s="531"/>
    </row>
    <row r="404" ht="14.4">
      <c r="X404" s="531"/>
    </row>
    <row r="405" ht="14.4">
      <c r="X405" s="531"/>
    </row>
    <row r="406" ht="14.4">
      <c r="X406" s="531"/>
    </row>
    <row r="407" ht="14.4">
      <c r="X407" s="531"/>
    </row>
    <row r="408" ht="14.4">
      <c r="X408" s="531"/>
    </row>
    <row r="409" ht="14.4">
      <c r="X409" s="531"/>
    </row>
    <row r="410" ht="14.4">
      <c r="X410" s="531"/>
    </row>
    <row r="411" ht="14.4">
      <c r="X411" s="531"/>
    </row>
    <row r="412" ht="14.4">
      <c r="X412" s="531"/>
    </row>
    <row r="413" ht="14.4">
      <c r="X413" s="531"/>
    </row>
    <row r="414" ht="14.4">
      <c r="X414" s="531"/>
    </row>
    <row r="415" ht="14.4">
      <c r="X415" s="531"/>
    </row>
    <row r="416" ht="14.4">
      <c r="X416" s="531"/>
    </row>
    <row r="417" ht="14.4">
      <c r="X417" s="531"/>
    </row>
    <row r="418" ht="14.4">
      <c r="X418" s="531"/>
    </row>
    <row r="419" ht="14.4">
      <c r="X419" s="531"/>
    </row>
    <row r="420" ht="14.4">
      <c r="X420" s="531"/>
    </row>
    <row r="421" ht="14.4">
      <c r="X421" s="531"/>
    </row>
    <row r="422" ht="14.4">
      <c r="X422" s="531"/>
    </row>
    <row r="423" ht="14.4">
      <c r="X423" s="531"/>
    </row>
    <row r="424" ht="14.4">
      <c r="X424" s="531"/>
    </row>
    <row r="425" ht="14.4">
      <c r="X425" s="531"/>
    </row>
    <row r="426" ht="14.4">
      <c r="X426" s="531"/>
    </row>
    <row r="427" ht="14.4">
      <c r="X427" s="531"/>
    </row>
    <row r="428" ht="14.4">
      <c r="X428" s="531"/>
    </row>
    <row r="429" ht="14.4">
      <c r="X429" s="531"/>
    </row>
    <row r="430" ht="14.4">
      <c r="X430" s="531"/>
    </row>
    <row r="431" ht="14.4">
      <c r="X431" s="531"/>
    </row>
    <row r="432" ht="14.4">
      <c r="X432" s="531"/>
    </row>
    <row r="433" ht="14.4">
      <c r="X433" s="531"/>
    </row>
    <row r="434" ht="14.4">
      <c r="X434" s="531"/>
    </row>
    <row r="435" ht="14.4">
      <c r="X435" s="531"/>
    </row>
    <row r="436" ht="14.4">
      <c r="X436" s="531"/>
    </row>
    <row r="437" ht="14.4">
      <c r="X437" s="531"/>
    </row>
    <row r="438" ht="14.4">
      <c r="X438" s="531"/>
    </row>
    <row r="439" ht="14.4">
      <c r="X439" s="531"/>
    </row>
    <row r="440" ht="14.4">
      <c r="X440" s="531"/>
    </row>
    <row r="441" ht="14.4">
      <c r="X441" s="531"/>
    </row>
    <row r="442" ht="14.4">
      <c r="X442" s="531"/>
    </row>
    <row r="443" ht="14.4">
      <c r="X443" s="531"/>
    </row>
    <row r="444" ht="14.4">
      <c r="X444" s="531"/>
    </row>
    <row r="445" ht="14.4">
      <c r="X445" s="531"/>
    </row>
    <row r="446" ht="14.4">
      <c r="X446" s="531"/>
    </row>
    <row r="447" ht="14.4">
      <c r="X447" s="531"/>
    </row>
    <row r="448" ht="14.4">
      <c r="X448" s="531"/>
    </row>
    <row r="449" ht="14.4">
      <c r="X449" s="531"/>
    </row>
    <row r="450" ht="14.4">
      <c r="X450" s="531"/>
    </row>
    <row r="451" ht="14.4">
      <c r="X451" s="531"/>
    </row>
    <row r="452" ht="14.4">
      <c r="X452" s="531"/>
    </row>
    <row r="453" ht="14.4">
      <c r="X453" s="531"/>
    </row>
    <row r="454" ht="14.4">
      <c r="X454" s="531"/>
    </row>
    <row r="455" ht="14.4">
      <c r="X455" s="531"/>
    </row>
    <row r="456" ht="14.4">
      <c r="X456" s="531"/>
    </row>
    <row r="457" ht="14.4">
      <c r="X457" s="531"/>
    </row>
    <row r="458" ht="14.4">
      <c r="X458" s="531"/>
    </row>
    <row r="459" ht="14.4">
      <c r="X459" s="531"/>
    </row>
    <row r="460" ht="14.4">
      <c r="X460" s="531"/>
    </row>
    <row r="461" ht="14.4">
      <c r="X461" s="531"/>
    </row>
    <row r="462" ht="14.4">
      <c r="X462" s="531"/>
    </row>
    <row r="463" ht="14.4">
      <c r="X463" s="531"/>
    </row>
    <row r="464" ht="14.4">
      <c r="X464" s="531"/>
    </row>
    <row r="465" ht="14.4">
      <c r="X465" s="531"/>
    </row>
    <row r="466" ht="14.4">
      <c r="X466" s="531"/>
    </row>
    <row r="467" ht="14.4">
      <c r="X467" s="531"/>
    </row>
    <row r="468" ht="14.4">
      <c r="X468" s="531"/>
    </row>
    <row r="469" ht="14.4">
      <c r="X469" s="531"/>
    </row>
    <row r="470" ht="14.4">
      <c r="X470" s="531"/>
    </row>
    <row r="471" ht="14.4">
      <c r="X471" s="531"/>
    </row>
    <row r="472" ht="14.4">
      <c r="X472" s="531"/>
    </row>
    <row r="473" ht="14.4">
      <c r="X473" s="531"/>
    </row>
    <row r="474" ht="14.4">
      <c r="X474" s="531"/>
    </row>
    <row r="475" ht="14.4">
      <c r="X475" s="531"/>
    </row>
    <row r="476" ht="14.4">
      <c r="X476" s="531"/>
    </row>
    <row r="477" ht="14.4">
      <c r="X477" s="531"/>
    </row>
    <row r="478" ht="14.4">
      <c r="X478" s="531"/>
    </row>
    <row r="479" ht="14.4">
      <c r="X479" s="531"/>
    </row>
    <row r="480" ht="14.4">
      <c r="X480" s="531"/>
    </row>
    <row r="481" ht="14.4">
      <c r="X481" s="531"/>
    </row>
    <row r="482" ht="14.4">
      <c r="X482" s="531"/>
    </row>
    <row r="483" ht="14.4">
      <c r="X483" s="531"/>
    </row>
    <row r="484" ht="14.4">
      <c r="X484" s="531"/>
    </row>
    <row r="485" ht="14.4">
      <c r="X485" s="531"/>
    </row>
    <row r="486" ht="14.4">
      <c r="X486" s="531"/>
    </row>
    <row r="487" ht="14.4">
      <c r="X487" s="531"/>
    </row>
    <row r="488" ht="14.4">
      <c r="X488" s="531"/>
    </row>
    <row r="489" ht="14.4">
      <c r="X489" s="531"/>
    </row>
    <row r="490" ht="14.4">
      <c r="X490" s="531"/>
    </row>
    <row r="491" ht="14.4">
      <c r="X491" s="531"/>
    </row>
    <row r="492" ht="14.4">
      <c r="X492" s="531"/>
    </row>
    <row r="493" ht="14.4">
      <c r="X493" s="531"/>
    </row>
    <row r="494" ht="14.4">
      <c r="X494" s="531"/>
    </row>
    <row r="495" ht="14.4">
      <c r="X495" s="531"/>
    </row>
    <row r="496" ht="14.4">
      <c r="X496" s="531"/>
    </row>
    <row r="497" ht="14.4">
      <c r="X497" s="531"/>
    </row>
    <row r="498" ht="14.4">
      <c r="X498" s="531"/>
    </row>
    <row r="499" ht="14.4">
      <c r="X499" s="531"/>
    </row>
    <row r="500" ht="14.4">
      <c r="X500" s="531"/>
    </row>
    <row r="501" ht="14.4">
      <c r="X501" s="531"/>
    </row>
    <row r="502" ht="14.4">
      <c r="X502" s="531"/>
    </row>
    <row r="503" ht="14.4">
      <c r="X503" s="531"/>
    </row>
    <row r="504" ht="14.4">
      <c r="X504" s="531"/>
    </row>
    <row r="505" ht="14.4">
      <c r="X505" s="531"/>
    </row>
    <row r="506" ht="14.4">
      <c r="X506" s="531"/>
    </row>
    <row r="507" ht="14.4">
      <c r="X507" s="531"/>
    </row>
    <row r="508" ht="14.4">
      <c r="X508" s="531"/>
    </row>
    <row r="509" ht="14.4">
      <c r="X509" s="531"/>
    </row>
    <row r="510" ht="14.4">
      <c r="X510" s="531"/>
    </row>
    <row r="511" ht="14.4">
      <c r="X511" s="531"/>
    </row>
    <row r="512" ht="14.4">
      <c r="X512" s="531"/>
    </row>
    <row r="513" ht="14.4">
      <c r="X513" s="531"/>
    </row>
    <row r="514" ht="14.4">
      <c r="X514" s="531"/>
    </row>
    <row r="515" ht="14.4">
      <c r="X515" s="531"/>
    </row>
    <row r="516" ht="14.4">
      <c r="X516" s="531"/>
    </row>
    <row r="517" ht="14.4">
      <c r="X517" s="531"/>
    </row>
    <row r="518" ht="14.4">
      <c r="X518" s="531"/>
    </row>
    <row r="519" ht="14.4">
      <c r="X519" s="531"/>
    </row>
    <row r="520" ht="14.4">
      <c r="X520" s="531"/>
    </row>
    <row r="521" ht="14.4">
      <c r="X521" s="531"/>
    </row>
    <row r="522" ht="14.4">
      <c r="X522" s="531"/>
    </row>
    <row r="523" ht="14.4">
      <c r="X523" s="531"/>
    </row>
    <row r="524" ht="14.4">
      <c r="X524" s="531"/>
    </row>
    <row r="525" ht="14.4">
      <c r="X525" s="531"/>
    </row>
    <row r="526" ht="14.4">
      <c r="X526" s="531"/>
    </row>
    <row r="527" ht="14.4">
      <c r="X527" s="531"/>
    </row>
    <row r="528" ht="14.4">
      <c r="X528" s="531"/>
    </row>
    <row r="529" ht="14.4">
      <c r="X529" s="531"/>
    </row>
    <row r="530" ht="14.4">
      <c r="X530" s="531"/>
    </row>
    <row r="531" ht="14.4">
      <c r="X531" s="531"/>
    </row>
    <row r="532" ht="14.4">
      <c r="X532" s="531"/>
    </row>
    <row r="533" ht="14.4">
      <c r="X533" s="531"/>
    </row>
    <row r="534" ht="14.4">
      <c r="X534" s="531"/>
    </row>
    <row r="535" ht="14.4">
      <c r="X535" s="531"/>
    </row>
    <row r="536" ht="14.4">
      <c r="X536" s="531"/>
    </row>
    <row r="537" ht="14.4">
      <c r="X537" s="531"/>
    </row>
    <row r="538" ht="14.4">
      <c r="X538" s="531"/>
    </row>
    <row r="539" ht="14.4">
      <c r="X539" s="531"/>
    </row>
    <row r="540" ht="14.4">
      <c r="X540" s="531"/>
    </row>
    <row r="541" ht="14.4">
      <c r="X541" s="531"/>
    </row>
    <row r="542" ht="14.4">
      <c r="X542" s="531"/>
    </row>
    <row r="543" ht="14.4">
      <c r="X543" s="531"/>
    </row>
    <row r="544" ht="14.4">
      <c r="X544" s="531"/>
    </row>
    <row r="545" ht="14.4">
      <c r="X545" s="531"/>
    </row>
    <row r="546" ht="14.4">
      <c r="X546" s="531"/>
    </row>
    <row r="547" ht="14.4">
      <c r="X547" s="531"/>
    </row>
    <row r="548" ht="14.4">
      <c r="X548" s="531"/>
    </row>
    <row r="549" ht="14.4">
      <c r="X549" s="531"/>
    </row>
    <row r="550" ht="14.4">
      <c r="X550" s="531"/>
    </row>
    <row r="551" ht="14.4">
      <c r="X551" s="531"/>
    </row>
    <row r="552" ht="14.4">
      <c r="X552" s="531"/>
    </row>
    <row r="553" ht="14.4">
      <c r="X553" s="531"/>
    </row>
    <row r="554" ht="14.4">
      <c r="X554" s="531"/>
    </row>
    <row r="555" ht="14.4">
      <c r="X555" s="531"/>
    </row>
    <row r="556" ht="14.4">
      <c r="X556" s="531"/>
    </row>
    <row r="557" ht="14.4">
      <c r="X557" s="531"/>
    </row>
    <row r="558" ht="14.4">
      <c r="X558" s="531"/>
    </row>
    <row r="559" ht="14.4">
      <c r="X559" s="531"/>
    </row>
    <row r="560" ht="14.4">
      <c r="X560" s="531"/>
    </row>
    <row r="561" ht="14.4">
      <c r="X561" s="531"/>
    </row>
    <row r="562" ht="14.4">
      <c r="X562" s="531"/>
    </row>
    <row r="563" ht="14.4">
      <c r="X563" s="531"/>
    </row>
    <row r="564" ht="14.4">
      <c r="X564" s="531"/>
    </row>
    <row r="565" ht="14.4">
      <c r="X565" s="531"/>
    </row>
    <row r="566" ht="14.4">
      <c r="X566" s="531"/>
    </row>
    <row r="567" ht="14.4">
      <c r="X567" s="531"/>
    </row>
    <row r="568" ht="14.4">
      <c r="X568" s="531"/>
    </row>
    <row r="569" ht="14.4">
      <c r="X569" s="531"/>
    </row>
    <row r="570" ht="14.4">
      <c r="X570" s="531"/>
    </row>
    <row r="571" ht="14.4">
      <c r="X571" s="531"/>
    </row>
    <row r="572" ht="14.4">
      <c r="X572" s="531"/>
    </row>
    <row r="573" ht="14.4">
      <c r="X573" s="531"/>
    </row>
    <row r="574" ht="14.4">
      <c r="X574" s="531"/>
    </row>
    <row r="575" ht="14.4">
      <c r="X575" s="531"/>
    </row>
    <row r="576" ht="14.4">
      <c r="X576" s="531"/>
    </row>
    <row r="577" ht="14.4">
      <c r="X577" s="531"/>
    </row>
    <row r="578" ht="14.4">
      <c r="X578" s="531"/>
    </row>
    <row r="579" ht="14.4">
      <c r="X579" s="531"/>
    </row>
    <row r="580" ht="14.4">
      <c r="X580" s="531"/>
    </row>
    <row r="581" ht="14.4">
      <c r="X581" s="531"/>
    </row>
    <row r="582" ht="14.4">
      <c r="X582" s="531"/>
    </row>
    <row r="583" ht="14.4">
      <c r="X583" s="531"/>
    </row>
    <row r="584" ht="14.4">
      <c r="X584" s="531"/>
    </row>
    <row r="585" ht="14.4">
      <c r="X585" s="531"/>
    </row>
    <row r="586" ht="14.4">
      <c r="X586" s="531"/>
    </row>
    <row r="587" ht="14.4">
      <c r="X587" s="531"/>
    </row>
    <row r="588" ht="14.4">
      <c r="X588" s="531"/>
    </row>
    <row r="589" ht="14.4">
      <c r="X589" s="531"/>
    </row>
    <row r="590" ht="14.4">
      <c r="X590" s="531"/>
    </row>
    <row r="591" ht="14.4">
      <c r="X591" s="531"/>
    </row>
    <row r="592" ht="14.4">
      <c r="X592" s="531"/>
    </row>
    <row r="593" ht="14.4">
      <c r="X593" s="531"/>
    </row>
    <row r="594" ht="14.4">
      <c r="X594" s="531"/>
    </row>
    <row r="595" ht="14.4">
      <c r="X595" s="531"/>
    </row>
    <row r="596" ht="14.4">
      <c r="X596" s="531"/>
    </row>
    <row r="597" ht="14.4">
      <c r="X597" s="531"/>
    </row>
    <row r="598" ht="14.4">
      <c r="X598" s="531"/>
    </row>
    <row r="599" ht="14.4">
      <c r="X599" s="531"/>
    </row>
    <row r="600" ht="14.4">
      <c r="X600" s="531"/>
    </row>
    <row r="601" ht="14.4">
      <c r="X601" s="531"/>
    </row>
    <row r="602" ht="14.4">
      <c r="X602" s="531"/>
    </row>
    <row r="603" ht="14.4">
      <c r="X603" s="531"/>
    </row>
    <row r="604" ht="14.4">
      <c r="X604" s="531"/>
    </row>
    <row r="605" ht="14.4">
      <c r="X605" s="531"/>
    </row>
    <row r="606" ht="14.4">
      <c r="X606" s="531"/>
    </row>
    <row r="607" ht="14.4">
      <c r="X607" s="531"/>
    </row>
    <row r="608" ht="14.4">
      <c r="X608" s="531"/>
    </row>
    <row r="609" ht="14.4">
      <c r="X609" s="531"/>
    </row>
    <row r="610" ht="14.4">
      <c r="X610" s="531"/>
    </row>
    <row r="611" ht="14.4">
      <c r="X611" s="531"/>
    </row>
    <row r="612" ht="14.4">
      <c r="X612" s="531"/>
    </row>
    <row r="613" ht="14.4">
      <c r="X613" s="531"/>
    </row>
    <row r="614" ht="14.4">
      <c r="X614" s="531"/>
    </row>
    <row r="615" ht="14.4">
      <c r="X615" s="531"/>
    </row>
    <row r="616" ht="14.4">
      <c r="X616" s="531"/>
    </row>
    <row r="617" ht="14.4">
      <c r="X617" s="531"/>
    </row>
    <row r="618" ht="14.4">
      <c r="X618" s="531"/>
    </row>
    <row r="619" ht="14.4">
      <c r="X619" s="531"/>
    </row>
    <row r="620" ht="14.4">
      <c r="X620" s="531"/>
    </row>
    <row r="621" ht="14.4">
      <c r="X621" s="531"/>
    </row>
    <row r="622" ht="14.4">
      <c r="X622" s="531"/>
    </row>
    <row r="623" ht="14.4">
      <c r="X623" s="531"/>
    </row>
    <row r="624" ht="14.4">
      <c r="X624" s="531"/>
    </row>
    <row r="625" ht="14.4">
      <c r="X625" s="531"/>
    </row>
    <row r="626" ht="14.4">
      <c r="X626" s="531"/>
    </row>
    <row r="627" ht="14.4">
      <c r="X627" s="531"/>
    </row>
    <row r="628" ht="14.4">
      <c r="X628" s="531"/>
    </row>
    <row r="629" ht="14.4">
      <c r="X629" s="531"/>
    </row>
    <row r="630" ht="14.4">
      <c r="X630" s="531"/>
    </row>
    <row r="631" ht="14.4">
      <c r="X631" s="531"/>
    </row>
    <row r="632" ht="14.4">
      <c r="X632" s="531"/>
    </row>
    <row r="633" ht="14.4">
      <c r="X633" s="531"/>
    </row>
    <row r="634" ht="14.4">
      <c r="X634" s="531"/>
    </row>
    <row r="635" ht="14.4">
      <c r="X635" s="531"/>
    </row>
    <row r="636" ht="14.4">
      <c r="X636" s="531"/>
    </row>
    <row r="637" ht="14.4">
      <c r="X637" s="531"/>
    </row>
    <row r="638" ht="14.4">
      <c r="X638" s="531"/>
    </row>
    <row r="639" ht="14.4">
      <c r="X639" s="531"/>
    </row>
    <row r="640" ht="14.4">
      <c r="X640" s="531"/>
    </row>
    <row r="641" ht="14.4">
      <c r="X641" s="531"/>
    </row>
    <row r="642" ht="14.4">
      <c r="X642" s="531"/>
    </row>
    <row r="643" ht="14.4">
      <c r="X643" s="531"/>
    </row>
    <row r="644" ht="14.4">
      <c r="X644" s="531"/>
    </row>
    <row r="645" ht="14.4">
      <c r="X645" s="531"/>
    </row>
    <row r="646" ht="14.4">
      <c r="X646" s="531"/>
    </row>
    <row r="647" ht="14.4">
      <c r="X647" s="531"/>
    </row>
    <row r="648" ht="14.4">
      <c r="X648" s="531"/>
    </row>
    <row r="649" ht="14.4">
      <c r="X649" s="531"/>
    </row>
    <row r="650" ht="14.4">
      <c r="X650" s="531"/>
    </row>
    <row r="651" ht="14.4">
      <c r="X651" s="531"/>
    </row>
    <row r="652" ht="14.4">
      <c r="X652" s="531"/>
    </row>
    <row r="653" ht="14.4">
      <c r="X653" s="531"/>
    </row>
    <row r="654" ht="14.4">
      <c r="X654" s="531"/>
    </row>
    <row r="655" ht="14.4">
      <c r="X655" s="531"/>
    </row>
    <row r="656" ht="14.4">
      <c r="X656" s="531"/>
    </row>
    <row r="657" ht="14.4">
      <c r="X657" s="531"/>
    </row>
    <row r="658" ht="14.4">
      <c r="X658" s="531"/>
    </row>
    <row r="659" ht="14.4">
      <c r="X659" s="531"/>
    </row>
    <row r="660" ht="14.4">
      <c r="X660" s="531"/>
    </row>
    <row r="661" ht="14.4">
      <c r="X661" s="531"/>
    </row>
    <row r="662" ht="14.4">
      <c r="X662" s="531"/>
    </row>
    <row r="663" ht="14.4">
      <c r="X663" s="531"/>
    </row>
    <row r="664" ht="14.4">
      <c r="X664" s="531"/>
    </row>
    <row r="665" ht="14.4">
      <c r="X665" s="531"/>
    </row>
    <row r="666" ht="14.4">
      <c r="X666" s="531"/>
    </row>
    <row r="667" ht="14.4">
      <c r="X667" s="531"/>
    </row>
    <row r="668" ht="14.4">
      <c r="X668" s="531"/>
    </row>
    <row r="669" ht="14.4">
      <c r="X669" s="531"/>
    </row>
    <row r="670" ht="14.4">
      <c r="X670" s="531"/>
    </row>
    <row r="671" ht="14.4">
      <c r="X671" s="531"/>
    </row>
    <row r="672" ht="14.4">
      <c r="X672" s="531"/>
    </row>
    <row r="673" ht="14.4">
      <c r="X673" s="531"/>
    </row>
    <row r="674" ht="14.4">
      <c r="X674" s="531"/>
    </row>
    <row r="675" ht="14.4">
      <c r="X675" s="531"/>
    </row>
    <row r="676" ht="14.4">
      <c r="X676" s="531"/>
    </row>
    <row r="677" ht="14.4">
      <c r="X677" s="531"/>
    </row>
    <row r="678" ht="14.4">
      <c r="X678" s="531"/>
    </row>
    <row r="679" ht="14.4">
      <c r="X679" s="531"/>
    </row>
    <row r="680" ht="14.4">
      <c r="X680" s="531"/>
    </row>
    <row r="681" ht="14.4">
      <c r="X681" s="531"/>
    </row>
    <row r="682" ht="14.4">
      <c r="X682" s="531"/>
    </row>
    <row r="683" ht="14.4">
      <c r="X683" s="531"/>
    </row>
    <row r="684" ht="14.4">
      <c r="X684" s="531"/>
    </row>
    <row r="685" ht="14.4">
      <c r="X685" s="531"/>
    </row>
    <row r="686" ht="14.4">
      <c r="X686" s="531"/>
    </row>
    <row r="687" ht="14.4">
      <c r="X687" s="531"/>
    </row>
    <row r="688" ht="14.4">
      <c r="X688" s="531"/>
    </row>
    <row r="689" ht="14.4">
      <c r="X689" s="531"/>
    </row>
    <row r="690" ht="14.4">
      <c r="X690" s="531"/>
    </row>
    <row r="691">
      <c r="X691" s="531"/>
    </row>
    <row r="692">
      <c r="X692" s="531"/>
    </row>
    <row r="693">
      <c r="X693" s="531"/>
    </row>
    <row r="694">
      <c r="X694" s="531"/>
    </row>
    <row r="695">
      <c r="X695" s="531"/>
    </row>
    <row r="696">
      <c r="X696" s="531"/>
    </row>
    <row r="697">
      <c r="X697" s="531"/>
    </row>
    <row r="698">
      <c r="X698" s="531"/>
    </row>
    <row r="699">
      <c r="X699" s="531"/>
    </row>
    <row r="700">
      <c r="X700" s="531"/>
    </row>
    <row r="701">
      <c r="X701" s="531"/>
    </row>
    <row r="702">
      <c r="X702" s="531"/>
    </row>
    <row r="703">
      <c r="X703" s="531"/>
    </row>
    <row r="704">
      <c r="X704" s="531"/>
    </row>
    <row r="705">
      <c r="X705" s="531"/>
    </row>
    <row r="706">
      <c r="X706" s="531"/>
    </row>
    <row r="707">
      <c r="X707" s="531"/>
    </row>
    <row r="708">
      <c r="X708" s="531"/>
    </row>
    <row r="709">
      <c r="X709" s="531"/>
    </row>
    <row r="710">
      <c r="X710" s="531"/>
    </row>
    <row r="711">
      <c r="X711" s="531"/>
    </row>
    <row r="712">
      <c r="X712" s="531"/>
    </row>
    <row r="713">
      <c r="X713" s="531"/>
    </row>
    <row r="714">
      <c r="X714" s="531"/>
    </row>
    <row r="715">
      <c r="X715" s="531"/>
    </row>
    <row r="716">
      <c r="X716" s="531"/>
    </row>
    <row r="717">
      <c r="X717" s="531"/>
    </row>
    <row r="718">
      <c r="X718" s="531"/>
    </row>
    <row r="719">
      <c r="X719" s="531"/>
    </row>
    <row r="720">
      <c r="X720" s="531"/>
    </row>
    <row r="721">
      <c r="X721" s="531"/>
    </row>
    <row r="722">
      <c r="X722" s="531"/>
    </row>
    <row r="723">
      <c r="X723" s="531"/>
    </row>
    <row r="724">
      <c r="X724" s="531"/>
    </row>
    <row r="725">
      <c r="X725" s="531"/>
    </row>
    <row r="726">
      <c r="X726" s="531"/>
    </row>
    <row r="727">
      <c r="X727" s="531"/>
    </row>
    <row r="728">
      <c r="X728" s="531"/>
    </row>
    <row r="729">
      <c r="X729" s="531"/>
    </row>
    <row r="730">
      <c r="X730" s="531"/>
    </row>
    <row r="731">
      <c r="X731" s="531"/>
    </row>
    <row r="732">
      <c r="X732" s="531"/>
    </row>
    <row r="733">
      <c r="X733" s="531"/>
    </row>
    <row r="734">
      <c r="X734" s="531"/>
    </row>
    <row r="735">
      <c r="X735" s="531"/>
    </row>
    <row r="736">
      <c r="X736" s="531"/>
    </row>
    <row r="737">
      <c r="X737" s="531"/>
    </row>
    <row r="738">
      <c r="X738" s="531"/>
    </row>
    <row r="739">
      <c r="X739" s="531"/>
    </row>
    <row r="740">
      <c r="X740" s="531"/>
    </row>
    <row r="741">
      <c r="X741" s="531"/>
    </row>
    <row r="742">
      <c r="X742" s="531"/>
    </row>
    <row r="743">
      <c r="X743" s="531"/>
    </row>
    <row r="744">
      <c r="X744" s="531"/>
    </row>
    <row r="745">
      <c r="X745" s="531"/>
    </row>
    <row r="746">
      <c r="X746" s="531"/>
    </row>
    <row r="747">
      <c r="X747" s="531"/>
    </row>
    <row r="748">
      <c r="X748" s="531"/>
    </row>
    <row r="749">
      <c r="X749" s="531"/>
    </row>
    <row r="750">
      <c r="X750" s="531"/>
    </row>
    <row r="751">
      <c r="X751" s="531"/>
    </row>
    <row r="752">
      <c r="X752" s="531"/>
    </row>
    <row r="753">
      <c r="X753" s="531"/>
    </row>
    <row r="754">
      <c r="X754" s="531"/>
    </row>
    <row r="755">
      <c r="X755" s="531"/>
    </row>
    <row r="756">
      <c r="X756" s="531"/>
    </row>
    <row r="757">
      <c r="X757" s="531"/>
    </row>
    <row r="758">
      <c r="X758" s="531"/>
    </row>
    <row r="759">
      <c r="X759" s="531"/>
    </row>
    <row r="760">
      <c r="X760" s="531"/>
    </row>
    <row r="761">
      <c r="X761" s="531"/>
    </row>
    <row r="762">
      <c r="X762" s="531"/>
    </row>
    <row r="763">
      <c r="X763" s="531"/>
    </row>
    <row r="764">
      <c r="X764" s="531"/>
    </row>
    <row r="765">
      <c r="X765" s="531"/>
    </row>
    <row r="766">
      <c r="X766" s="531"/>
    </row>
    <row r="767">
      <c r="X767" s="531"/>
    </row>
    <row r="768">
      <c r="X768" s="531"/>
    </row>
    <row r="769">
      <c r="X769" s="531"/>
    </row>
    <row r="770">
      <c r="X770" s="531"/>
    </row>
    <row r="771">
      <c r="X771" s="531"/>
    </row>
    <row r="772">
      <c r="X772" s="531"/>
    </row>
    <row r="773">
      <c r="X773" s="531"/>
    </row>
    <row r="774">
      <c r="X774" s="531"/>
    </row>
    <row r="775">
      <c r="X775" s="531"/>
    </row>
    <row r="776">
      <c r="X776" s="531"/>
    </row>
    <row r="777">
      <c r="X777" s="531"/>
    </row>
    <row r="778">
      <c r="X778" s="531"/>
    </row>
    <row r="779">
      <c r="X779" s="531"/>
    </row>
    <row r="780">
      <c r="X780" s="531"/>
    </row>
    <row r="781">
      <c r="X781" s="531"/>
    </row>
    <row r="782">
      <c r="X782" s="531"/>
    </row>
    <row r="783">
      <c r="X783" s="531"/>
    </row>
    <row r="784">
      <c r="X784" s="531"/>
    </row>
    <row r="785">
      <c r="X785" s="531"/>
    </row>
    <row r="786">
      <c r="X786" s="531"/>
    </row>
    <row r="787">
      <c r="X787" s="531"/>
    </row>
    <row r="788">
      <c r="X788" s="531"/>
    </row>
    <row r="789">
      <c r="X789" s="531"/>
    </row>
    <row r="790">
      <c r="X790" s="531"/>
    </row>
    <row r="791">
      <c r="X791" s="531"/>
    </row>
    <row r="792">
      <c r="X792" s="531"/>
    </row>
    <row r="793">
      <c r="X793" s="531"/>
    </row>
    <row r="794">
      <c r="X794" s="531"/>
    </row>
    <row r="795">
      <c r="X795" s="531"/>
    </row>
    <row r="796">
      <c r="X796" s="531"/>
    </row>
    <row r="797">
      <c r="X797" s="531"/>
    </row>
    <row r="798">
      <c r="X798" s="531"/>
    </row>
    <row r="799">
      <c r="X799" s="531"/>
    </row>
    <row r="800">
      <c r="X800" s="531"/>
    </row>
    <row r="801">
      <c r="X801" s="531"/>
    </row>
    <row r="802">
      <c r="X802" s="531"/>
    </row>
    <row r="803">
      <c r="X803" s="531"/>
    </row>
    <row r="804">
      <c r="X804" s="531"/>
    </row>
    <row r="805">
      <c r="X805" s="531"/>
    </row>
    <row r="806">
      <c r="X806" s="531"/>
    </row>
    <row r="807">
      <c r="X807" s="531"/>
    </row>
    <row r="808">
      <c r="X808" s="531"/>
    </row>
    <row r="809">
      <c r="X809" s="531"/>
    </row>
    <row r="810">
      <c r="X810" s="531"/>
    </row>
    <row r="811">
      <c r="X811" s="531"/>
    </row>
    <row r="812">
      <c r="X812" s="531"/>
    </row>
    <row r="813">
      <c r="X813" s="531"/>
    </row>
    <row r="814">
      <c r="X814" s="531"/>
    </row>
    <row r="815">
      <c r="X815" s="531"/>
    </row>
    <row r="816">
      <c r="X816" s="531"/>
    </row>
    <row r="817">
      <c r="X817" s="531"/>
    </row>
    <row r="818">
      <c r="X818" s="531"/>
    </row>
    <row r="819">
      <c r="X819" s="531"/>
    </row>
    <row r="820">
      <c r="X820" s="531"/>
    </row>
    <row r="821">
      <c r="X821" s="531"/>
    </row>
    <row r="822">
      <c r="X822" s="531"/>
    </row>
    <row r="823">
      <c r="X823" s="531"/>
    </row>
    <row r="824">
      <c r="X824" s="531"/>
    </row>
    <row r="825">
      <c r="X825" s="531"/>
    </row>
    <row r="826">
      <c r="X826" s="531"/>
    </row>
    <row r="827">
      <c r="X827" s="531"/>
    </row>
    <row r="828">
      <c r="X828" s="531"/>
    </row>
    <row r="829">
      <c r="X829" s="531"/>
    </row>
    <row r="830">
      <c r="X830" s="531"/>
    </row>
    <row r="831">
      <c r="X831" s="531"/>
    </row>
    <row r="832">
      <c r="X832" s="531"/>
    </row>
    <row r="833">
      <c r="X833" s="531"/>
    </row>
    <row r="834">
      <c r="X834" s="531"/>
    </row>
    <row r="835">
      <c r="X835" s="531"/>
    </row>
    <row r="836">
      <c r="X836" s="531"/>
    </row>
    <row r="837">
      <c r="X837" s="531"/>
    </row>
    <row r="838">
      <c r="X838" s="531"/>
    </row>
    <row r="839">
      <c r="X839" s="531"/>
    </row>
    <row r="840">
      <c r="X840" s="531"/>
    </row>
    <row r="841">
      <c r="X841" s="531"/>
    </row>
    <row r="842">
      <c r="X842" s="531"/>
    </row>
    <row r="843">
      <c r="X843" s="531"/>
    </row>
    <row r="844">
      <c r="X844" s="531"/>
    </row>
    <row r="845">
      <c r="X845" s="531"/>
    </row>
    <row r="846">
      <c r="X846" s="531"/>
    </row>
    <row r="847">
      <c r="X847" s="531"/>
    </row>
    <row r="848">
      <c r="X848" s="531"/>
    </row>
    <row r="849">
      <c r="X849" s="531"/>
    </row>
    <row r="850">
      <c r="X850" s="531"/>
    </row>
    <row r="851">
      <c r="X851" s="531"/>
    </row>
    <row r="852">
      <c r="X852" s="531"/>
    </row>
    <row r="853">
      <c r="X853" s="531"/>
    </row>
    <row r="854">
      <c r="X854" s="531"/>
    </row>
    <row r="855">
      <c r="X855" s="531"/>
    </row>
    <row r="856">
      <c r="X856" s="531"/>
    </row>
    <row r="857">
      <c r="X857" s="531"/>
    </row>
    <row r="858">
      <c r="X858" s="531"/>
    </row>
    <row r="859">
      <c r="X859" s="531"/>
    </row>
    <row r="860">
      <c r="X860" s="531"/>
    </row>
  </sheetData>
  <mergeCells count="16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5:Q25"/>
    <mergeCell ref="P26:Q26"/>
    <mergeCell ref="A41:Q41"/>
    <mergeCell ref="P42:Q42"/>
    <mergeCell ref="P58:Q58"/>
    <mergeCell ref="P74:Q74"/>
    <mergeCell ref="P90:Q9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4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90" zoomScale="100" workbookViewId="0">
      <selection activeCell="B78" activeCellId="0" sqref="B78:O90"/>
    </sheetView>
  </sheetViews>
  <sheetFormatPr defaultRowHeight="13.5"/>
  <cols>
    <col customWidth="1" min="1" max="1" width="18.44140625"/>
    <col customWidth="1" min="2" max="2" width="12.109375"/>
    <col customWidth="1" min="3" max="3" width="5.109375"/>
    <col customWidth="1" min="4" max="4" width="12.33203125"/>
    <col customWidth="1" min="5" max="5" width="5.109375"/>
    <col customWidth="1" min="6" max="6" width="13.33203125"/>
    <col customWidth="1" min="7" max="7" width="6.109375"/>
    <col customWidth="1" min="8" max="8" width="13.5546875"/>
    <col customWidth="1" min="9" max="9" width="6"/>
    <col customWidth="1" min="10" max="10" width="10.6640625"/>
    <col customWidth="1" min="11" max="11" width="5.88671875"/>
    <col customWidth="1" min="12" max="12" width="11.88671875"/>
    <col customWidth="1" min="13" max="13" width="5.109375"/>
    <col customWidth="1" min="14" max="14" width="11"/>
    <col customWidth="1" min="15" max="15" width="5.88671875"/>
    <col bestFit="1" min="16" max="16" width="10.140625"/>
    <col bestFit="1" min="17" max="17" width="9.8515625"/>
    <col customWidth="1" min="18" max="18" width="13.332031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81</v>
      </c>
      <c r="D2" s="16" t="s">
        <v>5</v>
      </c>
      <c r="E2" s="16" t="s">
        <v>81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81</v>
      </c>
      <c r="D3" s="16" t="s">
        <v>8</v>
      </c>
      <c r="E3" s="16" t="s">
        <v>81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81</v>
      </c>
      <c r="D4" s="16" t="s">
        <v>10</v>
      </c>
      <c r="E4" s="16" t="s">
        <v>81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81</v>
      </c>
      <c r="D5" s="16" t="s">
        <v>12</v>
      </c>
      <c r="E5" s="16" t="s">
        <v>81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s="21" customFormat="1" ht="14.25">
      <c r="A10" s="143"/>
      <c r="B10" s="214" t="s">
        <v>17</v>
      </c>
      <c r="C10" s="492"/>
      <c r="D10" s="214" t="s">
        <v>18</v>
      </c>
      <c r="E10" s="492"/>
      <c r="F10" s="214" t="s">
        <v>19</v>
      </c>
      <c r="G10" s="214"/>
      <c r="H10" s="214" t="s">
        <v>20</v>
      </c>
      <c r="I10" s="492"/>
      <c r="J10" s="493" t="s">
        <v>21</v>
      </c>
      <c r="K10" s="493"/>
      <c r="L10" s="214" t="s">
        <v>22</v>
      </c>
      <c r="M10" s="214"/>
      <c r="N10" s="214" t="s">
        <v>23</v>
      </c>
      <c r="O10" s="214"/>
      <c r="P10" s="214" t="s">
        <v>24</v>
      </c>
      <c r="Q10" s="214"/>
      <c r="R10" s="117">
        <v>152</v>
      </c>
      <c r="S10" s="143"/>
      <c r="T10" s="143"/>
      <c r="U10" s="286">
        <v>152</v>
      </c>
      <c r="V10" s="90"/>
      <c r="W10" s="62"/>
      <c r="X10" s="51"/>
      <c r="Y10" s="7"/>
      <c r="Z10" s="7"/>
      <c r="AA10" s="7"/>
      <c r="AB10" s="13"/>
      <c r="AC10" s="13"/>
      <c r="AD10" s="13"/>
    </row>
    <row r="11" s="21" customFormat="1" ht="14.25">
      <c r="A11" s="143"/>
      <c r="B11" s="526">
        <v>46048</v>
      </c>
      <c r="C11" s="528"/>
      <c r="D11" s="526">
        <v>46049</v>
      </c>
      <c r="E11" s="528"/>
      <c r="F11" s="526">
        <v>46050</v>
      </c>
      <c r="G11" s="528"/>
      <c r="H11" s="526">
        <v>46051</v>
      </c>
      <c r="I11" s="528"/>
      <c r="J11" s="526">
        <v>46052</v>
      </c>
      <c r="K11" s="528"/>
      <c r="L11" s="526">
        <v>46053</v>
      </c>
      <c r="M11" s="528"/>
      <c r="N11" s="526">
        <v>46023</v>
      </c>
      <c r="O11" s="528"/>
      <c r="P11" s="213" t="s">
        <v>25</v>
      </c>
      <c r="Q11" s="214" t="s">
        <v>26</v>
      </c>
      <c r="R11" s="287"/>
      <c r="S11" s="141"/>
      <c r="T11" s="141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440" t="s">
        <v>61</v>
      </c>
      <c r="B12" s="540"/>
      <c r="C12" s="198"/>
      <c r="D12" s="540"/>
      <c r="E12" s="198"/>
      <c r="F12" s="540"/>
      <c r="G12" s="198"/>
      <c r="H12" s="540"/>
      <c r="I12" s="198"/>
      <c r="J12" s="540"/>
      <c r="K12" s="198"/>
      <c r="L12" s="541"/>
      <c r="M12" s="273"/>
      <c r="N12" s="541"/>
      <c r="O12" s="273"/>
      <c r="P12" s="253">
        <f t="shared" ref="P12:P75" si="140">C12+E12+G12+I12+K12+M12+O12</f>
        <v>0</v>
      </c>
      <c r="Q12" s="62">
        <f>R10-P12</f>
        <v>152</v>
      </c>
      <c r="R12" s="219" t="str">
        <f t="shared" ref="R12:R75" si="141">A12</f>
        <v>Раимова</v>
      </c>
      <c r="S12" s="76" t="s">
        <v>10</v>
      </c>
      <c r="T12" s="77" t="s">
        <v>9</v>
      </c>
      <c r="U12" s="227">
        <f t="shared" ref="U12:U13" si="142">COUNTIF(T10,B10)+COUNTIF(T10,D10)+COUNTIF(T10,F10)+COUNTIF(T10,H10)+COUNTIF(T10,J10)+COUNTIF(T10,L10)+COUNTIF(T10,N10)</f>
        <v>0</v>
      </c>
      <c r="V12" s="62">
        <f t="shared" ref="V12:V13" si="143">COUNTIF(S10,B10)+COUNTIF(S10,D10)+COUNTIF(S10,F10)+COUNTIF(S10,H10)+COUNTIF(S10,J10)+COUNTIF(S10,L10)+COUNTIF(S10,N10)</f>
        <v>0</v>
      </c>
      <c r="W12" s="227"/>
      <c r="X12" s="74" t="s">
        <v>34</v>
      </c>
      <c r="Y12" s="7"/>
      <c r="Z12" s="7"/>
      <c r="AA12" s="7"/>
      <c r="AB12" s="13"/>
      <c r="AC12" s="13"/>
      <c r="AD12" s="13"/>
    </row>
    <row r="13" s="21" customFormat="1" ht="14.25">
      <c r="A13" s="440" t="s">
        <v>35</v>
      </c>
      <c r="B13" s="540"/>
      <c r="C13" s="540"/>
      <c r="D13" s="540"/>
      <c r="E13" s="540"/>
      <c r="F13" s="540"/>
      <c r="G13" s="540"/>
      <c r="H13" s="540"/>
      <c r="I13" s="540"/>
      <c r="J13" s="540"/>
      <c r="K13" s="540"/>
      <c r="L13" s="541"/>
      <c r="M13" s="541"/>
      <c r="N13" s="541"/>
      <c r="O13" s="541"/>
      <c r="P13" s="253">
        <f t="shared" si="140"/>
        <v>0</v>
      </c>
      <c r="Q13" s="62">
        <f>R10-P13</f>
        <v>152</v>
      </c>
      <c r="R13" s="461" t="str">
        <f t="shared" si="141"/>
        <v>Рычков</v>
      </c>
      <c r="S13" s="76" t="s">
        <v>10</v>
      </c>
      <c r="T13" s="77" t="s">
        <v>9</v>
      </c>
      <c r="U13" s="90">
        <f t="shared" si="142"/>
        <v>0</v>
      </c>
      <c r="V13" s="62">
        <f t="shared" si="143"/>
        <v>0</v>
      </c>
      <c r="W13" s="62"/>
      <c r="X13" s="74" t="s">
        <v>34</v>
      </c>
      <c r="Y13" s="7"/>
      <c r="Z13" s="7"/>
      <c r="AA13" s="7"/>
      <c r="AB13" s="13"/>
      <c r="AC13" s="13"/>
      <c r="AD13" s="13"/>
    </row>
    <row r="14" s="21" customFormat="1" ht="14.25">
      <c r="A14" s="440" t="s">
        <v>39</v>
      </c>
      <c r="B14" s="540"/>
      <c r="C14" s="540"/>
      <c r="D14" s="540"/>
      <c r="E14" s="540"/>
      <c r="F14" s="540"/>
      <c r="G14" s="540"/>
      <c r="H14" s="540"/>
      <c r="I14" s="540"/>
      <c r="J14" s="540"/>
      <c r="K14" s="540"/>
      <c r="L14" s="541"/>
      <c r="M14" s="541"/>
      <c r="N14" s="541"/>
      <c r="O14" s="541"/>
      <c r="P14" s="253">
        <f t="shared" si="140"/>
        <v>0</v>
      </c>
      <c r="Q14" s="62">
        <f>R10-P14</f>
        <v>152</v>
      </c>
      <c r="R14" s="461" t="str">
        <f t="shared" si="141"/>
        <v>Игумнов</v>
      </c>
      <c r="S14" s="76" t="s">
        <v>10</v>
      </c>
      <c r="T14" s="77" t="s">
        <v>9</v>
      </c>
      <c r="U14" s="90">
        <f t="shared" ref="U14:U77" si="144">COUNTIF(T14,B14)+COUNTIF(T14,D14)+COUNTIF(T14,F14)+COUNTIF(T14,H14)+COUNTIF(T14,J14)+COUNTIF(T14,L14)+COUNTIF(T14,N14)</f>
        <v>0</v>
      </c>
      <c r="V14" s="62">
        <f t="shared" ref="V14:V66" si="145">COUNTIF(S14,B14)+COUNTIF(S14,D14)+COUNTIF(S14,F14)+COUNTIF(S14,H14)+COUNTIF(S14,J14)+COUNTIF(S14,L14)+COUNTIF(S14,N14)</f>
        <v>0</v>
      </c>
      <c r="W14" s="62"/>
      <c r="X14" s="79" t="s">
        <v>34</v>
      </c>
      <c r="Y14" s="7"/>
      <c r="Z14" s="7"/>
      <c r="AA14" s="7"/>
      <c r="AB14" s="13"/>
      <c r="AC14" s="13"/>
      <c r="AD14" s="13"/>
    </row>
    <row r="15" s="21" customFormat="1" ht="14.25">
      <c r="A15" s="440" t="s">
        <v>40</v>
      </c>
      <c r="B15" s="540"/>
      <c r="C15" s="540"/>
      <c r="D15" s="540"/>
      <c r="E15" s="540"/>
      <c r="F15" s="540"/>
      <c r="G15" s="540"/>
      <c r="H15" s="540"/>
      <c r="I15" s="540"/>
      <c r="J15" s="540"/>
      <c r="K15" s="540"/>
      <c r="L15" s="541"/>
      <c r="M15" s="541"/>
      <c r="N15" s="541" t="s">
        <v>82</v>
      </c>
      <c r="O15" s="541"/>
      <c r="P15" s="253">
        <f t="shared" si="140"/>
        <v>0</v>
      </c>
      <c r="Q15" s="62">
        <f>R10-P15</f>
        <v>152</v>
      </c>
      <c r="R15" s="461" t="str">
        <f t="shared" si="141"/>
        <v>Душин</v>
      </c>
      <c r="S15" s="76" t="s">
        <v>10</v>
      </c>
      <c r="T15" s="77" t="s">
        <v>9</v>
      </c>
      <c r="U15" s="90">
        <f t="shared" si="144"/>
        <v>0</v>
      </c>
      <c r="V15" s="62">
        <f t="shared" si="145"/>
        <v>0</v>
      </c>
      <c r="W15" s="62"/>
      <c r="X15" s="74" t="s">
        <v>38</v>
      </c>
      <c r="Y15" s="7"/>
      <c r="Z15" s="7"/>
      <c r="AA15" s="7"/>
      <c r="AB15" s="13"/>
      <c r="AC15" s="13"/>
      <c r="AD15" s="13"/>
    </row>
    <row r="16" s="21" customFormat="1" ht="14.25">
      <c r="A16" s="440" t="s">
        <v>31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  <c r="L16" s="541"/>
      <c r="M16" s="541"/>
      <c r="N16" s="541"/>
      <c r="O16" s="541"/>
      <c r="P16" s="253">
        <f t="shared" si="140"/>
        <v>0</v>
      </c>
      <c r="Q16" s="62">
        <f>R10-P16</f>
        <v>152</v>
      </c>
      <c r="R16" s="461" t="str">
        <f t="shared" si="141"/>
        <v>Нетронин</v>
      </c>
      <c r="S16" s="76" t="s">
        <v>58</v>
      </c>
      <c r="T16" s="77" t="s">
        <v>59</v>
      </c>
      <c r="U16" s="90"/>
      <c r="V16" s="62"/>
      <c r="W16" s="62"/>
      <c r="X16" s="74" t="s">
        <v>34</v>
      </c>
      <c r="Y16" s="7"/>
      <c r="Z16" s="7"/>
      <c r="AA16" s="7"/>
      <c r="AB16" s="13"/>
      <c r="AC16" s="13"/>
      <c r="AD16" s="13"/>
    </row>
    <row r="17" s="21" customFormat="1" ht="14.25">
      <c r="A17" s="440" t="s">
        <v>42</v>
      </c>
      <c r="B17" s="540"/>
      <c r="C17" s="540"/>
      <c r="D17" s="540"/>
      <c r="E17" s="540"/>
      <c r="F17" s="540"/>
      <c r="G17" s="540"/>
      <c r="H17" s="540"/>
      <c r="I17" s="540"/>
      <c r="J17" s="540"/>
      <c r="K17" s="540"/>
      <c r="L17" s="541"/>
      <c r="M17" s="541"/>
      <c r="N17" s="544"/>
      <c r="O17" s="541"/>
      <c r="P17" s="253">
        <f t="shared" si="140"/>
        <v>0</v>
      </c>
      <c r="Q17" s="62">
        <f>R10-P17</f>
        <v>152</v>
      </c>
      <c r="R17" s="461" t="str">
        <f t="shared" si="141"/>
        <v>Юращик</v>
      </c>
      <c r="S17" s="76" t="s">
        <v>10</v>
      </c>
      <c r="T17" s="77" t="s">
        <v>9</v>
      </c>
      <c r="U17" s="90"/>
      <c r="V17" s="62"/>
      <c r="W17" s="62"/>
      <c r="X17" s="74" t="s">
        <v>38</v>
      </c>
      <c r="Y17" s="7"/>
      <c r="Z17" s="7"/>
      <c r="AA17" s="7"/>
      <c r="AB17" s="13"/>
      <c r="AC17" s="13"/>
      <c r="AD17" s="13"/>
    </row>
    <row r="18" s="21" customFormat="1" ht="14.25">
      <c r="A18" s="361" t="s">
        <v>45</v>
      </c>
      <c r="B18" s="541"/>
      <c r="C18" s="541"/>
      <c r="D18" s="632"/>
      <c r="E18" s="632"/>
      <c r="F18" s="541"/>
      <c r="G18" s="541"/>
      <c r="H18" s="541"/>
      <c r="I18" s="541"/>
      <c r="J18" s="247"/>
      <c r="K18" s="247"/>
      <c r="L18" s="295"/>
      <c r="M18" s="633"/>
      <c r="N18" s="76" t="s">
        <v>10</v>
      </c>
      <c r="O18" s="634" t="s">
        <v>81</v>
      </c>
      <c r="P18" s="253">
        <f t="shared" si="140"/>
        <v>11</v>
      </c>
      <c r="Q18" s="62">
        <f>R10-P18</f>
        <v>141</v>
      </c>
      <c r="R18" s="461" t="str">
        <f t="shared" si="141"/>
        <v>Пузырь</v>
      </c>
      <c r="S18" s="76" t="s">
        <v>10</v>
      </c>
      <c r="T18" s="77" t="s">
        <v>9</v>
      </c>
      <c r="U18" s="90">
        <f t="shared" si="144"/>
        <v>0</v>
      </c>
      <c r="V18" s="62">
        <f t="shared" si="145"/>
        <v>0</v>
      </c>
      <c r="W18" s="62"/>
      <c r="X18" s="74" t="s">
        <v>34</v>
      </c>
      <c r="Y18" s="7"/>
      <c r="Z18" s="7"/>
      <c r="AA18" s="7"/>
      <c r="AB18" s="13"/>
      <c r="AC18" s="13"/>
      <c r="AD18" s="13"/>
    </row>
    <row r="19" s="21" customFormat="1" ht="14.25">
      <c r="A19" s="361" t="s">
        <v>46</v>
      </c>
      <c r="B19" s="635"/>
      <c r="C19" s="635"/>
      <c r="D19" s="635"/>
      <c r="E19" s="635"/>
      <c r="F19" s="254"/>
      <c r="G19" s="254"/>
      <c r="H19" s="636"/>
      <c r="I19" s="636"/>
      <c r="J19" s="637"/>
      <c r="K19" s="637"/>
      <c r="L19" s="15"/>
      <c r="M19" s="638"/>
      <c r="N19" s="77" t="s">
        <v>9</v>
      </c>
      <c r="O19" s="639" t="s">
        <v>81</v>
      </c>
      <c r="P19" s="253">
        <f t="shared" si="140"/>
        <v>11</v>
      </c>
      <c r="Q19" s="62">
        <f>R10-P19</f>
        <v>141</v>
      </c>
      <c r="R19" s="461" t="str">
        <f t="shared" si="141"/>
        <v>Голышев</v>
      </c>
      <c r="S19" s="76" t="s">
        <v>10</v>
      </c>
      <c r="T19" s="77" t="s">
        <v>9</v>
      </c>
      <c r="U19" s="90">
        <f t="shared" si="144"/>
        <v>0</v>
      </c>
      <c r="V19" s="62">
        <f t="shared" si="145"/>
        <v>0</v>
      </c>
      <c r="W19" s="62"/>
      <c r="X19" s="74" t="s">
        <v>34</v>
      </c>
      <c r="Y19" s="7"/>
      <c r="Z19" s="7"/>
      <c r="AA19" s="7"/>
      <c r="AB19" s="13"/>
      <c r="AC19" s="13"/>
      <c r="AD19" s="13"/>
    </row>
    <row r="20" s="21" customFormat="1" ht="14.25">
      <c r="A20" s="361" t="s">
        <v>47</v>
      </c>
      <c r="B20" s="294"/>
      <c r="C20" s="294"/>
      <c r="D20" s="294"/>
      <c r="E20" s="294"/>
      <c r="F20" s="247"/>
      <c r="G20" s="247"/>
      <c r="H20" s="254"/>
      <c r="I20" s="254"/>
      <c r="J20" s="640"/>
      <c r="K20" s="640"/>
      <c r="L20" s="254"/>
      <c r="M20" s="254"/>
      <c r="N20" s="641"/>
      <c r="O20" s="541"/>
      <c r="P20" s="253">
        <f t="shared" si="140"/>
        <v>0</v>
      </c>
      <c r="Q20" s="62">
        <f>R10-P20</f>
        <v>152</v>
      </c>
      <c r="R20" s="461" t="str">
        <f t="shared" si="141"/>
        <v>Торубара</v>
      </c>
      <c r="S20" s="76" t="s">
        <v>10</v>
      </c>
      <c r="T20" s="77" t="s">
        <v>9</v>
      </c>
      <c r="U20" s="90">
        <f t="shared" si="144"/>
        <v>0</v>
      </c>
      <c r="V20" s="62">
        <f t="shared" si="145"/>
        <v>0</v>
      </c>
      <c r="W20" s="62"/>
      <c r="X20" s="74" t="s">
        <v>34</v>
      </c>
      <c r="Y20" s="7"/>
      <c r="Z20" s="7"/>
      <c r="AA20" s="7"/>
      <c r="AB20" s="13"/>
      <c r="AC20" s="13"/>
      <c r="AD20" s="13"/>
    </row>
    <row r="21" s="21" customFormat="1" ht="14.25">
      <c r="A21" s="361" t="s">
        <v>48</v>
      </c>
      <c r="B21" s="541"/>
      <c r="C21" s="541"/>
      <c r="D21" s="541"/>
      <c r="E21" s="541"/>
      <c r="F21" s="637"/>
      <c r="G21" s="637"/>
      <c r="H21" s="635"/>
      <c r="I21" s="642"/>
      <c r="J21" s="247"/>
      <c r="K21" s="247"/>
      <c r="L21" s="541"/>
      <c r="M21" s="643"/>
      <c r="N21" s="71" t="s">
        <v>8</v>
      </c>
      <c r="O21" s="634" t="s">
        <v>81</v>
      </c>
      <c r="P21" s="253">
        <f t="shared" si="140"/>
        <v>11</v>
      </c>
      <c r="Q21" s="62">
        <f>R10-P21</f>
        <v>141</v>
      </c>
      <c r="R21" s="461" t="str">
        <f t="shared" si="141"/>
        <v>Стрыгин</v>
      </c>
      <c r="S21" s="71" t="s">
        <v>8</v>
      </c>
      <c r="T21" s="72" t="s">
        <v>7</v>
      </c>
      <c r="U21" s="90">
        <f t="shared" si="144"/>
        <v>0</v>
      </c>
      <c r="V21" s="62">
        <f t="shared" si="145"/>
        <v>0</v>
      </c>
      <c r="W21" s="62"/>
      <c r="X21" s="74" t="s">
        <v>49</v>
      </c>
      <c r="Y21" s="7"/>
      <c r="Z21" s="7"/>
      <c r="AA21" s="7"/>
      <c r="AB21" s="13"/>
      <c r="AC21" s="13"/>
      <c r="AD21" s="13"/>
    </row>
    <row r="22" s="21" customFormat="1" ht="14.25">
      <c r="A22" s="361" t="s">
        <v>50</v>
      </c>
      <c r="B22" s="644"/>
      <c r="C22" s="644"/>
      <c r="D22" s="541"/>
      <c r="E22" s="541"/>
      <c r="F22" s="247"/>
      <c r="G22" s="247"/>
      <c r="H22" s="637"/>
      <c r="I22" s="637"/>
      <c r="J22" s="642"/>
      <c r="K22" s="642"/>
      <c r="L22" s="247"/>
      <c r="M22" s="247"/>
      <c r="N22" s="645"/>
      <c r="O22" s="247"/>
      <c r="P22" s="253">
        <f t="shared" si="140"/>
        <v>0</v>
      </c>
      <c r="Q22" s="62">
        <f>R10-P22</f>
        <v>152</v>
      </c>
      <c r="R22" s="461" t="str">
        <f t="shared" si="141"/>
        <v>Фрик</v>
      </c>
      <c r="S22" s="71" t="s">
        <v>12</v>
      </c>
      <c r="T22" s="72" t="s">
        <v>11</v>
      </c>
      <c r="U22" s="90">
        <f t="shared" si="144"/>
        <v>0</v>
      </c>
      <c r="V22" s="62">
        <f t="shared" si="145"/>
        <v>0</v>
      </c>
      <c r="W22" s="62"/>
      <c r="X22" s="74" t="s">
        <v>44</v>
      </c>
      <c r="Y22" s="7"/>
      <c r="Z22" s="7"/>
      <c r="AA22" s="7"/>
      <c r="AB22" s="13"/>
      <c r="AC22" s="13"/>
      <c r="AD22" s="13"/>
    </row>
    <row r="23" s="21" customFormat="1" ht="14.25">
      <c r="A23" s="576" t="s">
        <v>51</v>
      </c>
      <c r="B23" s="632"/>
      <c r="C23" s="632"/>
      <c r="D23" s="541"/>
      <c r="E23" s="541"/>
      <c r="F23" s="646"/>
      <c r="G23" s="647"/>
      <c r="H23" s="648"/>
      <c r="I23" s="648"/>
      <c r="J23" s="541"/>
      <c r="K23" s="541"/>
      <c r="L23" s="247"/>
      <c r="M23" s="649"/>
      <c r="N23" s="77" t="s">
        <v>9</v>
      </c>
      <c r="O23" s="172" t="s">
        <v>81</v>
      </c>
      <c r="P23" s="253">
        <f t="shared" si="140"/>
        <v>11</v>
      </c>
      <c r="Q23" s="62">
        <f>R10-P23</f>
        <v>141</v>
      </c>
      <c r="R23" s="461" t="str">
        <f t="shared" si="141"/>
        <v>Истрашкин</v>
      </c>
      <c r="S23" s="71" t="s">
        <v>10</v>
      </c>
      <c r="T23" s="72" t="s">
        <v>9</v>
      </c>
      <c r="U23" s="90">
        <f t="shared" si="144"/>
        <v>0</v>
      </c>
      <c r="V23" s="62">
        <f t="shared" si="145"/>
        <v>0</v>
      </c>
      <c r="W23" s="62"/>
      <c r="X23" s="74" t="s">
        <v>34</v>
      </c>
      <c r="Y23" s="7"/>
      <c r="Z23" s="7"/>
      <c r="AA23" s="7"/>
      <c r="AB23" s="13"/>
      <c r="AC23" s="13"/>
      <c r="AD23" s="13"/>
    </row>
    <row r="24" s="21" customFormat="1" ht="14.25">
      <c r="A24" s="361" t="s">
        <v>43</v>
      </c>
      <c r="B24" s="637"/>
      <c r="C24" s="637"/>
      <c r="D24" s="650"/>
      <c r="E24" s="650"/>
      <c r="F24" s="651"/>
      <c r="G24" s="652"/>
      <c r="H24" s="653"/>
      <c r="I24" s="653"/>
      <c r="J24" s="653"/>
      <c r="K24" s="653"/>
      <c r="L24" s="254"/>
      <c r="M24" s="254"/>
      <c r="N24" s="136"/>
      <c r="O24" s="254"/>
      <c r="P24" s="253">
        <f t="shared" si="140"/>
        <v>0</v>
      </c>
      <c r="Q24" s="62">
        <f>R10-P24</f>
        <v>152</v>
      </c>
      <c r="R24" s="461" t="str">
        <f t="shared" si="141"/>
        <v>Дащенко</v>
      </c>
      <c r="S24" s="71" t="s">
        <v>12</v>
      </c>
      <c r="T24" s="72" t="s">
        <v>11</v>
      </c>
      <c r="U24" s="90">
        <f t="shared" si="144"/>
        <v>0</v>
      </c>
      <c r="V24" s="62">
        <f t="shared" si="145"/>
        <v>0</v>
      </c>
      <c r="W24" s="62"/>
      <c r="X24" s="80" t="s">
        <v>44</v>
      </c>
      <c r="Y24" s="7"/>
      <c r="Z24" s="7"/>
      <c r="AA24" s="7"/>
      <c r="AB24" s="13"/>
      <c r="AC24" s="13"/>
      <c r="AD24" s="13"/>
    </row>
    <row r="25" s="21" customFormat="1" ht="14.25">
      <c r="A25" s="207"/>
      <c r="B25" s="526">
        <v>46048</v>
      </c>
      <c r="C25" s="528"/>
      <c r="D25" s="526">
        <v>46049</v>
      </c>
      <c r="E25" s="528"/>
      <c r="F25" s="526">
        <v>46050</v>
      </c>
      <c r="G25" s="528"/>
      <c r="H25" s="526">
        <v>46051</v>
      </c>
      <c r="I25" s="528"/>
      <c r="J25" s="526">
        <v>46052</v>
      </c>
      <c r="K25" s="528"/>
      <c r="L25" s="526">
        <v>46053</v>
      </c>
      <c r="M25" s="528"/>
      <c r="N25" s="526">
        <v>46023</v>
      </c>
      <c r="O25" s="528"/>
      <c r="P25" s="253"/>
      <c r="Q25" s="254"/>
      <c r="R25" s="297"/>
      <c r="S25" s="134"/>
      <c r="T25" s="134"/>
      <c r="U25" s="60" t="s">
        <v>27</v>
      </c>
      <c r="V25" s="61" t="s">
        <v>28</v>
      </c>
      <c r="W25" s="62" t="s">
        <v>29</v>
      </c>
      <c r="X25" s="7"/>
      <c r="Y25" s="7"/>
      <c r="Z25" s="7"/>
      <c r="AA25" s="7"/>
      <c r="AB25" s="13"/>
      <c r="AC25" s="13"/>
      <c r="AD25" s="13"/>
    </row>
    <row r="26" ht="14.25">
      <c r="A26" s="245"/>
      <c r="B26" s="245"/>
      <c r="C26" s="245"/>
      <c r="D26" s="245"/>
      <c r="E26" s="245"/>
      <c r="F26" s="245"/>
      <c r="G26" s="245"/>
      <c r="H26" s="245"/>
      <c r="I26" s="245"/>
      <c r="J26" s="245"/>
      <c r="K26" s="245"/>
      <c r="L26" s="245"/>
      <c r="M26" s="245"/>
      <c r="N26" s="245"/>
      <c r="O26" s="245"/>
      <c r="P26" s="245"/>
      <c r="Q26" s="245"/>
      <c r="R26" s="99"/>
      <c r="S26" s="165"/>
      <c r="T26" s="165"/>
      <c r="U26" s="100"/>
      <c r="V26" s="100"/>
      <c r="W26" s="100"/>
      <c r="X26" s="7"/>
      <c r="Y26" s="7"/>
      <c r="Z26" s="7"/>
      <c r="AA26" s="7"/>
      <c r="AB26" s="13"/>
      <c r="AC26" s="13"/>
      <c r="AD26" s="13"/>
    </row>
    <row r="27" ht="14.25">
      <c r="A27" s="165"/>
      <c r="B27" s="237" t="s">
        <v>17</v>
      </c>
      <c r="C27" s="237"/>
      <c r="D27" s="237" t="s">
        <v>18</v>
      </c>
      <c r="E27" s="237"/>
      <c r="F27" s="237" t="s">
        <v>19</v>
      </c>
      <c r="G27" s="237"/>
      <c r="H27" s="237" t="s">
        <v>20</v>
      </c>
      <c r="I27" s="237"/>
      <c r="J27" s="578" t="s">
        <v>21</v>
      </c>
      <c r="K27" s="578"/>
      <c r="L27" s="237" t="s">
        <v>22</v>
      </c>
      <c r="M27" s="237"/>
      <c r="N27" s="237" t="s">
        <v>23</v>
      </c>
      <c r="O27" s="237"/>
      <c r="P27" s="237" t="s">
        <v>24</v>
      </c>
      <c r="Q27" s="237"/>
      <c r="R27" s="99"/>
      <c r="S27" s="165"/>
      <c r="T27" s="165"/>
      <c r="U27" s="100"/>
      <c r="V27" s="100"/>
      <c r="W27" s="100"/>
      <c r="X27" s="51"/>
      <c r="Y27" s="7"/>
      <c r="Z27" s="7"/>
      <c r="AA27" s="7"/>
      <c r="AB27" s="13"/>
      <c r="AC27" s="13"/>
      <c r="AD27" s="13"/>
    </row>
    <row r="28" ht="14.25">
      <c r="A28" s="165"/>
      <c r="B28" s="526">
        <v>46055</v>
      </c>
      <c r="C28" s="528"/>
      <c r="D28" s="526">
        <v>46056</v>
      </c>
      <c r="E28" s="528"/>
      <c r="F28" s="526">
        <v>46057</v>
      </c>
      <c r="G28" s="528"/>
      <c r="H28" s="526">
        <v>46058</v>
      </c>
      <c r="I28" s="528"/>
      <c r="J28" s="526">
        <v>46059</v>
      </c>
      <c r="K28" s="528"/>
      <c r="L28" s="526">
        <v>46060</v>
      </c>
      <c r="M28" s="528"/>
      <c r="N28" s="526">
        <v>46061</v>
      </c>
      <c r="O28" s="528"/>
      <c r="P28" s="236" t="s">
        <v>25</v>
      </c>
      <c r="Q28" s="237" t="s">
        <v>26</v>
      </c>
      <c r="R28" s="654"/>
      <c r="S28" s="166"/>
      <c r="T28" s="166"/>
      <c r="U28" s="15" t="s">
        <v>27</v>
      </c>
      <c r="V28" s="106" t="s">
        <v>28</v>
      </c>
      <c r="W28" s="100" t="s">
        <v>29</v>
      </c>
      <c r="X28" s="63" t="s">
        <v>30</v>
      </c>
      <c r="Y28" s="7"/>
      <c r="Z28" s="7"/>
      <c r="AA28" s="7"/>
      <c r="AB28" s="13"/>
      <c r="AC28" s="13"/>
      <c r="AD28" s="13"/>
    </row>
    <row r="29" ht="14.25">
      <c r="A29" s="440" t="s">
        <v>61</v>
      </c>
      <c r="B29" s="540" t="s">
        <v>32</v>
      </c>
      <c r="C29" s="540" t="s">
        <v>33</v>
      </c>
      <c r="D29" s="198" t="s">
        <v>32</v>
      </c>
      <c r="E29" s="540" t="s">
        <v>33</v>
      </c>
      <c r="F29" s="198" t="s">
        <v>32</v>
      </c>
      <c r="G29" s="540" t="s">
        <v>33</v>
      </c>
      <c r="H29" s="198" t="s">
        <v>32</v>
      </c>
      <c r="I29" s="540" t="s">
        <v>33</v>
      </c>
      <c r="J29" s="198" t="s">
        <v>32</v>
      </c>
      <c r="K29" s="540" t="s">
        <v>33</v>
      </c>
      <c r="L29" s="273"/>
      <c r="M29" s="641"/>
      <c r="N29" s="273"/>
      <c r="O29" s="641"/>
      <c r="P29" s="504">
        <f t="shared" si="140"/>
        <v>40</v>
      </c>
      <c r="Q29" s="62">
        <f t="shared" ref="Q29:Q33" si="146">Q12-P29</f>
        <v>112</v>
      </c>
      <c r="R29" s="219" t="str">
        <f t="shared" si="141"/>
        <v>Раимова</v>
      </c>
      <c r="S29" s="76" t="s">
        <v>10</v>
      </c>
      <c r="T29" s="77" t="s">
        <v>9</v>
      </c>
      <c r="U29" s="85">
        <f>COUNTIF(T27,B27)+COUNTIF(T27,D27)+COUNTIF(T27,F27)+COUNTIF(T27,H27)+COUNTIF(T27,J27)+COUNTIF(T27,L27)+COUNTIF(T27,N27)</f>
        <v>0</v>
      </c>
      <c r="V29" s="227">
        <f>COUNTIF(S27,B27)+COUNTIF(S27,D27)+COUNTIF(S27,F27)+COUNTIF(S27,H27)+COUNTIF(S27,J27)+COUNTIF(S27,L27)+COUNTIF(S27,N27)</f>
        <v>0</v>
      </c>
      <c r="W29" s="86"/>
      <c r="X29" s="74" t="s">
        <v>34</v>
      </c>
      <c r="Y29" s="7"/>
      <c r="Z29" s="7"/>
      <c r="AA29" s="7"/>
      <c r="AB29" s="13"/>
      <c r="AC29" s="13"/>
      <c r="AD29" s="13"/>
    </row>
    <row r="30" ht="14.25">
      <c r="A30" s="538" t="s">
        <v>35</v>
      </c>
      <c r="B30" s="540" t="s">
        <v>32</v>
      </c>
      <c r="C30" s="540" t="s">
        <v>33</v>
      </c>
      <c r="D30" s="540" t="s">
        <v>32</v>
      </c>
      <c r="E30" s="540" t="s">
        <v>33</v>
      </c>
      <c r="F30" s="540" t="s">
        <v>32</v>
      </c>
      <c r="G30" s="540" t="s">
        <v>33</v>
      </c>
      <c r="H30" s="540" t="s">
        <v>32</v>
      </c>
      <c r="I30" s="540" t="s">
        <v>33</v>
      </c>
      <c r="J30" s="540" t="s">
        <v>32</v>
      </c>
      <c r="K30" s="540" t="s">
        <v>33</v>
      </c>
      <c r="L30" s="655"/>
      <c r="M30" s="655"/>
      <c r="N30" s="541"/>
      <c r="O30" s="541"/>
      <c r="P30" s="253">
        <f t="shared" si="140"/>
        <v>40</v>
      </c>
      <c r="Q30" s="62">
        <f t="shared" si="146"/>
        <v>112</v>
      </c>
      <c r="R30" s="461" t="str">
        <f t="shared" si="141"/>
        <v>Рычков</v>
      </c>
      <c r="S30" s="76" t="s">
        <v>10</v>
      </c>
      <c r="T30" s="77" t="s">
        <v>9</v>
      </c>
      <c r="U30" s="90">
        <f t="shared" si="144"/>
        <v>0</v>
      </c>
      <c r="V30" s="62">
        <f t="shared" si="145"/>
        <v>0</v>
      </c>
      <c r="W30" s="62"/>
      <c r="X30" s="74" t="s">
        <v>34</v>
      </c>
      <c r="Y30" s="7"/>
      <c r="Z30" s="7"/>
      <c r="AA30" s="7"/>
      <c r="AB30" s="13"/>
      <c r="AC30" s="13"/>
      <c r="AD30" s="13"/>
    </row>
    <row r="31" ht="14.25">
      <c r="A31" s="440" t="s">
        <v>39</v>
      </c>
      <c r="B31" s="540" t="s">
        <v>32</v>
      </c>
      <c r="C31" s="540" t="s">
        <v>33</v>
      </c>
      <c r="D31" s="540" t="s">
        <v>32</v>
      </c>
      <c r="E31" s="540" t="s">
        <v>33</v>
      </c>
      <c r="F31" s="540" t="s">
        <v>32</v>
      </c>
      <c r="G31" s="540" t="s">
        <v>33</v>
      </c>
      <c r="H31" s="540" t="s">
        <v>32</v>
      </c>
      <c r="I31" s="540" t="s">
        <v>33</v>
      </c>
      <c r="J31" s="540" t="s">
        <v>32</v>
      </c>
      <c r="K31" s="540" t="s">
        <v>33</v>
      </c>
      <c r="L31" s="541"/>
      <c r="M31" s="541"/>
      <c r="N31" s="541"/>
      <c r="O31" s="541"/>
      <c r="P31" s="253">
        <f t="shared" si="140"/>
        <v>40</v>
      </c>
      <c r="Q31" s="62">
        <f t="shared" si="146"/>
        <v>112</v>
      </c>
      <c r="R31" s="461" t="str">
        <f t="shared" si="141"/>
        <v>Игумнов</v>
      </c>
      <c r="S31" s="76" t="s">
        <v>10</v>
      </c>
      <c r="T31" s="77" t="s">
        <v>9</v>
      </c>
      <c r="U31" s="90">
        <f t="shared" si="144"/>
        <v>0</v>
      </c>
      <c r="V31" s="62">
        <f t="shared" si="145"/>
        <v>0</v>
      </c>
      <c r="W31" s="62"/>
      <c r="X31" s="79" t="s">
        <v>34</v>
      </c>
      <c r="Y31" s="7"/>
      <c r="Z31" s="80"/>
      <c r="AA31" s="80"/>
      <c r="AB31" s="13"/>
      <c r="AC31" s="13"/>
      <c r="AD31" s="13"/>
    </row>
    <row r="32" ht="14.25">
      <c r="A32" s="440" t="s">
        <v>40</v>
      </c>
      <c r="B32" s="540" t="s">
        <v>32</v>
      </c>
      <c r="C32" s="540" t="s">
        <v>33</v>
      </c>
      <c r="D32" s="540" t="s">
        <v>32</v>
      </c>
      <c r="E32" s="540" t="s">
        <v>33</v>
      </c>
      <c r="F32" s="540" t="s">
        <v>32</v>
      </c>
      <c r="G32" s="540" t="s">
        <v>33</v>
      </c>
      <c r="H32" s="540" t="s">
        <v>32</v>
      </c>
      <c r="I32" s="540" t="s">
        <v>33</v>
      </c>
      <c r="J32" s="540" t="s">
        <v>32</v>
      </c>
      <c r="K32" s="540" t="s">
        <v>33</v>
      </c>
      <c r="L32" s="541"/>
      <c r="M32" s="541"/>
      <c r="N32" s="541"/>
      <c r="O32" s="541"/>
      <c r="P32" s="253">
        <f t="shared" si="140"/>
        <v>40</v>
      </c>
      <c r="Q32" s="62">
        <f t="shared" si="146"/>
        <v>112</v>
      </c>
      <c r="R32" s="461" t="str">
        <f t="shared" si="141"/>
        <v>Душин</v>
      </c>
      <c r="S32" s="76" t="s">
        <v>10</v>
      </c>
      <c r="T32" s="77" t="s">
        <v>9</v>
      </c>
      <c r="U32" s="90">
        <f t="shared" si="144"/>
        <v>0</v>
      </c>
      <c r="V32" s="62">
        <f t="shared" si="145"/>
        <v>0</v>
      </c>
      <c r="W32" s="62"/>
      <c r="X32" s="74" t="s">
        <v>38</v>
      </c>
      <c r="Y32" s="80"/>
      <c r="Z32" s="80"/>
      <c r="AA32" s="80"/>
      <c r="AB32" s="13"/>
      <c r="AC32" s="13"/>
      <c r="AD32" s="13"/>
    </row>
    <row r="33" ht="14.25">
      <c r="A33" s="440" t="s">
        <v>31</v>
      </c>
      <c r="B33" s="540" t="s">
        <v>32</v>
      </c>
      <c r="C33" s="540" t="s">
        <v>33</v>
      </c>
      <c r="D33" s="540" t="s">
        <v>32</v>
      </c>
      <c r="E33" s="540" t="s">
        <v>33</v>
      </c>
      <c r="F33" s="540" t="s">
        <v>32</v>
      </c>
      <c r="G33" s="540" t="s">
        <v>33</v>
      </c>
      <c r="H33" s="540" t="s">
        <v>32</v>
      </c>
      <c r="I33" s="540" t="s">
        <v>33</v>
      </c>
      <c r="J33" s="540" t="s">
        <v>32</v>
      </c>
      <c r="K33" s="540" t="s">
        <v>33</v>
      </c>
      <c r="L33" s="541"/>
      <c r="M33" s="541"/>
      <c r="N33" s="541"/>
      <c r="O33" s="541"/>
      <c r="P33" s="253">
        <f t="shared" si="140"/>
        <v>40</v>
      </c>
      <c r="Q33" s="62">
        <f t="shared" si="146"/>
        <v>112</v>
      </c>
      <c r="R33" s="461" t="str">
        <f t="shared" si="141"/>
        <v>Нетронин</v>
      </c>
      <c r="S33" s="76" t="s">
        <v>58</v>
      </c>
      <c r="T33" s="77" t="s">
        <v>59</v>
      </c>
      <c r="U33" s="90">
        <f t="shared" si="144"/>
        <v>0</v>
      </c>
      <c r="V33" s="62">
        <f t="shared" si="145"/>
        <v>0</v>
      </c>
      <c r="W33" s="62"/>
      <c r="X33" s="74" t="s">
        <v>34</v>
      </c>
      <c r="Y33" s="80"/>
      <c r="Z33" s="80"/>
      <c r="AA33" s="80"/>
      <c r="AB33" s="13"/>
      <c r="AC33" s="13"/>
      <c r="AD33" s="13"/>
    </row>
    <row r="34" ht="14.25">
      <c r="A34" s="440" t="s">
        <v>42</v>
      </c>
      <c r="B34" s="543" t="s">
        <v>32</v>
      </c>
      <c r="C34" s="540" t="s">
        <v>33</v>
      </c>
      <c r="D34" s="543" t="s">
        <v>32</v>
      </c>
      <c r="E34" s="540" t="s">
        <v>33</v>
      </c>
      <c r="F34" s="540" t="s">
        <v>32</v>
      </c>
      <c r="G34" s="540" t="s">
        <v>33</v>
      </c>
      <c r="H34" s="540" t="s">
        <v>32</v>
      </c>
      <c r="I34" s="540" t="s">
        <v>33</v>
      </c>
      <c r="J34" s="543" t="s">
        <v>32</v>
      </c>
      <c r="K34" s="540" t="s">
        <v>33</v>
      </c>
      <c r="L34" s="544"/>
      <c r="M34" s="541"/>
      <c r="N34" s="544"/>
      <c r="O34" s="541"/>
      <c r="P34" s="253">
        <f t="shared" si="140"/>
        <v>40</v>
      </c>
      <c r="Q34" s="62">
        <f>Q20-P34</f>
        <v>112</v>
      </c>
      <c r="R34" s="461" t="str">
        <f t="shared" si="141"/>
        <v>Юращик</v>
      </c>
      <c r="S34" s="76" t="s">
        <v>10</v>
      </c>
      <c r="T34" s="77" t="s">
        <v>9</v>
      </c>
      <c r="U34" s="90">
        <f t="shared" si="144"/>
        <v>0</v>
      </c>
      <c r="V34" s="62">
        <f t="shared" si="145"/>
        <v>0</v>
      </c>
      <c r="W34" s="62"/>
      <c r="X34" s="74" t="s">
        <v>38</v>
      </c>
      <c r="Y34" s="80"/>
      <c r="Z34" s="80"/>
      <c r="AA34" s="80"/>
      <c r="AB34" s="13"/>
      <c r="AC34" s="13"/>
      <c r="AD34" s="13"/>
    </row>
    <row r="35" s="21" customFormat="1" ht="14.25">
      <c r="A35" s="278" t="s">
        <v>43</v>
      </c>
      <c r="B35" s="72" t="s">
        <v>11</v>
      </c>
      <c r="C35" s="656" t="s">
        <v>81</v>
      </c>
      <c r="D35" s="72" t="s">
        <v>11</v>
      </c>
      <c r="E35" s="657" t="s">
        <v>81</v>
      </c>
      <c r="F35" s="658"/>
      <c r="G35" s="652"/>
      <c r="H35" s="659"/>
      <c r="I35" s="660"/>
      <c r="J35" s="72" t="s">
        <v>11</v>
      </c>
      <c r="K35" s="661" t="s">
        <v>81</v>
      </c>
      <c r="L35" s="72" t="s">
        <v>11</v>
      </c>
      <c r="M35" s="662" t="s">
        <v>81</v>
      </c>
      <c r="N35" s="72" t="s">
        <v>11</v>
      </c>
      <c r="O35" s="194" t="s">
        <v>81</v>
      </c>
      <c r="P35" s="253">
        <f t="shared" si="140"/>
        <v>55</v>
      </c>
      <c r="Q35" s="62">
        <f>Q24-P35</f>
        <v>97</v>
      </c>
      <c r="R35" s="461" t="str">
        <f t="shared" si="141"/>
        <v>Дащенко</v>
      </c>
      <c r="S35" s="71" t="s">
        <v>12</v>
      </c>
      <c r="T35" s="72" t="s">
        <v>11</v>
      </c>
      <c r="U35" s="90">
        <f t="shared" si="144"/>
        <v>0</v>
      </c>
      <c r="V35" s="62">
        <f t="shared" si="145"/>
        <v>0</v>
      </c>
      <c r="W35" s="62"/>
      <c r="X35" s="80" t="s">
        <v>44</v>
      </c>
      <c r="Y35" s="7"/>
      <c r="Z35" s="7"/>
      <c r="AA35" s="7"/>
      <c r="AB35" s="13"/>
      <c r="AC35" s="13"/>
      <c r="AD35" s="13"/>
    </row>
    <row r="36" ht="14.25">
      <c r="A36" s="361" t="s">
        <v>45</v>
      </c>
      <c r="B36" s="663"/>
      <c r="C36" s="559"/>
      <c r="D36" s="663"/>
      <c r="E36" s="664"/>
      <c r="F36" s="76" t="s">
        <v>10</v>
      </c>
      <c r="G36" s="665">
        <v>11</v>
      </c>
      <c r="H36" s="76" t="s">
        <v>10</v>
      </c>
      <c r="I36" s="666">
        <v>11</v>
      </c>
      <c r="J36" s="663"/>
      <c r="K36" s="559"/>
      <c r="L36" s="663"/>
      <c r="M36" s="664"/>
      <c r="N36" s="76" t="s">
        <v>10</v>
      </c>
      <c r="O36" s="666">
        <v>11</v>
      </c>
      <c r="P36" s="253">
        <f t="shared" si="140"/>
        <v>33</v>
      </c>
      <c r="Q36" s="62">
        <f>Q21-P36</f>
        <v>108</v>
      </c>
      <c r="R36" s="461" t="str">
        <f t="shared" si="141"/>
        <v>Пузырь</v>
      </c>
      <c r="S36" s="76" t="s">
        <v>10</v>
      </c>
      <c r="T36" s="77" t="s">
        <v>9</v>
      </c>
      <c r="U36" s="90">
        <f t="shared" si="144"/>
        <v>0</v>
      </c>
      <c r="V36" s="62">
        <f t="shared" si="145"/>
        <v>0</v>
      </c>
      <c r="W36" s="62"/>
      <c r="X36" s="74" t="s">
        <v>34</v>
      </c>
      <c r="Y36" s="80"/>
      <c r="Z36" s="7"/>
      <c r="AA36" s="7"/>
      <c r="AB36" s="13"/>
      <c r="AC36" s="13"/>
      <c r="AD36" s="13"/>
    </row>
    <row r="37" ht="14.25">
      <c r="A37" s="361" t="s">
        <v>46</v>
      </c>
      <c r="B37" s="667"/>
      <c r="C37" s="559"/>
      <c r="D37" s="668"/>
      <c r="E37" s="664"/>
      <c r="F37" s="77" t="s">
        <v>9</v>
      </c>
      <c r="G37" s="669">
        <v>11</v>
      </c>
      <c r="H37" s="77" t="s">
        <v>9</v>
      </c>
      <c r="I37" s="670">
        <v>11</v>
      </c>
      <c r="J37" s="667"/>
      <c r="K37" s="559"/>
      <c r="L37" s="667"/>
      <c r="M37" s="664"/>
      <c r="N37" s="76" t="s">
        <v>10</v>
      </c>
      <c r="O37" s="666">
        <v>11</v>
      </c>
      <c r="P37" s="253">
        <f t="shared" si="140"/>
        <v>33</v>
      </c>
      <c r="Q37" s="62">
        <f t="shared" ref="Q37:Q41" si="147">Q19-P37</f>
        <v>108</v>
      </c>
      <c r="R37" s="461" t="str">
        <f t="shared" si="141"/>
        <v>Голышев</v>
      </c>
      <c r="S37" s="76" t="s">
        <v>10</v>
      </c>
      <c r="T37" s="77" t="s">
        <v>9</v>
      </c>
      <c r="U37" s="90">
        <f t="shared" si="144"/>
        <v>0</v>
      </c>
      <c r="V37" s="62">
        <f t="shared" si="145"/>
        <v>0</v>
      </c>
      <c r="W37" s="62"/>
      <c r="X37" s="74" t="s">
        <v>34</v>
      </c>
      <c r="Y37" s="80"/>
      <c r="Z37" s="7"/>
      <c r="AA37" s="7"/>
      <c r="AB37" s="13"/>
      <c r="AC37" s="13"/>
      <c r="AD37" s="13"/>
    </row>
    <row r="38" ht="14.25">
      <c r="A38" s="361" t="s">
        <v>47</v>
      </c>
      <c r="B38" s="668"/>
      <c r="C38" s="664"/>
      <c r="D38" s="76" t="s">
        <v>10</v>
      </c>
      <c r="E38" s="665">
        <v>11</v>
      </c>
      <c r="F38" s="76" t="s">
        <v>10</v>
      </c>
      <c r="G38" s="665">
        <v>11</v>
      </c>
      <c r="H38" s="291"/>
      <c r="I38" s="291"/>
      <c r="J38" s="671"/>
      <c r="K38" s="559"/>
      <c r="L38" s="668"/>
      <c r="M38" s="559"/>
      <c r="N38" s="672"/>
      <c r="O38" s="673">
        <v>11</v>
      </c>
      <c r="P38" s="253">
        <f t="shared" si="140"/>
        <v>33</v>
      </c>
      <c r="Q38" s="62">
        <f t="shared" si="147"/>
        <v>119</v>
      </c>
      <c r="R38" s="461" t="str">
        <f t="shared" si="141"/>
        <v>Торубара</v>
      </c>
      <c r="S38" s="76" t="s">
        <v>10</v>
      </c>
      <c r="T38" s="77" t="s">
        <v>9</v>
      </c>
      <c r="U38" s="90">
        <f t="shared" si="144"/>
        <v>0</v>
      </c>
      <c r="V38" s="62">
        <f t="shared" si="145"/>
        <v>0</v>
      </c>
      <c r="W38" s="62"/>
      <c r="X38" s="74" t="s">
        <v>34</v>
      </c>
      <c r="Y38" s="7"/>
      <c r="Z38" s="7"/>
      <c r="AA38" s="7"/>
      <c r="AB38" s="13"/>
      <c r="AC38" s="13"/>
      <c r="AD38" s="13"/>
    </row>
    <row r="39" ht="14.25">
      <c r="A39" s="278" t="s">
        <v>48</v>
      </c>
      <c r="B39" s="71" t="s">
        <v>8</v>
      </c>
      <c r="C39" s="665">
        <v>11</v>
      </c>
      <c r="D39" s="550"/>
      <c r="E39" s="550"/>
      <c r="F39" s="674"/>
      <c r="G39" s="664"/>
      <c r="H39" s="72" t="s">
        <v>7</v>
      </c>
      <c r="I39" s="669">
        <v>11</v>
      </c>
      <c r="J39" s="72" t="s">
        <v>7</v>
      </c>
      <c r="K39" s="675">
        <v>11</v>
      </c>
      <c r="L39" s="72" t="s">
        <v>7</v>
      </c>
      <c r="M39" s="676">
        <v>11</v>
      </c>
      <c r="N39" s="667"/>
      <c r="O39" s="559"/>
      <c r="P39" s="253">
        <f t="shared" si="140"/>
        <v>44</v>
      </c>
      <c r="Q39" s="62">
        <f t="shared" si="147"/>
        <v>97</v>
      </c>
      <c r="R39" s="461" t="str">
        <f t="shared" si="141"/>
        <v>Стрыгин</v>
      </c>
      <c r="S39" s="71" t="s">
        <v>8</v>
      </c>
      <c r="T39" s="72" t="s">
        <v>7</v>
      </c>
      <c r="U39" s="90">
        <f t="shared" si="144"/>
        <v>0</v>
      </c>
      <c r="V39" s="62">
        <f t="shared" si="145"/>
        <v>0</v>
      </c>
      <c r="W39" s="62"/>
      <c r="X39" s="74" t="s">
        <v>49</v>
      </c>
      <c r="Y39" s="7"/>
      <c r="Z39" s="7"/>
      <c r="AA39" s="7"/>
      <c r="AB39" s="13"/>
      <c r="AC39" s="13"/>
      <c r="AD39" s="13"/>
    </row>
    <row r="40" ht="14.25">
      <c r="A40" s="278" t="s">
        <v>50</v>
      </c>
      <c r="B40" s="71" t="s">
        <v>12</v>
      </c>
      <c r="C40" s="677">
        <v>11</v>
      </c>
      <c r="D40" s="71" t="s">
        <v>12</v>
      </c>
      <c r="E40" s="678">
        <v>11</v>
      </c>
      <c r="F40" s="667"/>
      <c r="G40" s="559"/>
      <c r="H40" s="679"/>
      <c r="I40" s="664"/>
      <c r="J40" s="71" t="s">
        <v>12</v>
      </c>
      <c r="K40" s="680">
        <v>11</v>
      </c>
      <c r="L40" s="71" t="s">
        <v>12</v>
      </c>
      <c r="M40" s="681">
        <v>11</v>
      </c>
      <c r="N40" s="668"/>
      <c r="O40" s="682"/>
      <c r="P40" s="253">
        <f t="shared" si="140"/>
        <v>44</v>
      </c>
      <c r="Q40" s="62">
        <f t="shared" si="147"/>
        <v>108</v>
      </c>
      <c r="R40" s="461" t="str">
        <f t="shared" si="141"/>
        <v>Фрик</v>
      </c>
      <c r="S40" s="71" t="s">
        <v>12</v>
      </c>
      <c r="T40" s="72" t="s">
        <v>11</v>
      </c>
      <c r="U40" s="90">
        <f t="shared" si="144"/>
        <v>0</v>
      </c>
      <c r="V40" s="62">
        <f t="shared" si="145"/>
        <v>0</v>
      </c>
      <c r="W40" s="62"/>
      <c r="X40" s="74" t="s">
        <v>44</v>
      </c>
      <c r="Y40" s="7"/>
      <c r="Z40" s="7"/>
      <c r="AA40" s="7"/>
      <c r="AB40" s="13"/>
      <c r="AC40" s="13"/>
      <c r="AD40" s="13"/>
    </row>
    <row r="41" ht="14.25">
      <c r="A41" s="683" t="s">
        <v>51</v>
      </c>
      <c r="B41" s="77" t="s">
        <v>9</v>
      </c>
      <c r="C41" s="131">
        <v>11</v>
      </c>
      <c r="D41" s="77" t="s">
        <v>9</v>
      </c>
      <c r="E41" s="329">
        <v>11</v>
      </c>
      <c r="F41" s="684"/>
      <c r="G41" s="685"/>
      <c r="H41" s="76" t="s">
        <v>10</v>
      </c>
      <c r="I41" s="680">
        <v>11</v>
      </c>
      <c r="J41" s="76" t="s">
        <v>10</v>
      </c>
      <c r="K41" s="680">
        <v>11</v>
      </c>
      <c r="L41" s="87"/>
      <c r="M41" s="293"/>
      <c r="N41" s="87"/>
      <c r="O41" s="87"/>
      <c r="P41" s="285">
        <f t="shared" si="140"/>
        <v>44</v>
      </c>
      <c r="Q41" s="62">
        <f t="shared" si="147"/>
        <v>97</v>
      </c>
      <c r="R41" s="461" t="str">
        <f t="shared" si="141"/>
        <v>Истрашкин</v>
      </c>
      <c r="S41" s="71" t="s">
        <v>10</v>
      </c>
      <c r="T41" s="72" t="s">
        <v>9</v>
      </c>
      <c r="U41" s="90">
        <f t="shared" si="144"/>
        <v>0</v>
      </c>
      <c r="V41" s="62">
        <f t="shared" si="145"/>
        <v>0</v>
      </c>
      <c r="W41" s="62"/>
      <c r="X41" s="74" t="s">
        <v>34</v>
      </c>
      <c r="Y41" s="7"/>
      <c r="Z41" s="7"/>
      <c r="AA41" s="7"/>
      <c r="AB41" s="13"/>
      <c r="AC41" s="13"/>
      <c r="AD41" s="13"/>
    </row>
    <row r="42" ht="14.25">
      <c r="A42" s="245"/>
      <c r="B42" s="500">
        <v>46055</v>
      </c>
      <c r="C42" s="686"/>
      <c r="D42" s="500">
        <v>46056</v>
      </c>
      <c r="E42" s="686"/>
      <c r="F42" s="526">
        <v>46057</v>
      </c>
      <c r="G42" s="528"/>
      <c r="H42" s="500">
        <v>46058</v>
      </c>
      <c r="I42" s="528"/>
      <c r="J42" s="500">
        <v>46059</v>
      </c>
      <c r="K42" s="528"/>
      <c r="L42" s="500">
        <v>46060</v>
      </c>
      <c r="M42" s="686"/>
      <c r="N42" s="500">
        <v>46061</v>
      </c>
      <c r="O42" s="686"/>
      <c r="P42" s="246"/>
      <c r="Q42" s="247"/>
      <c r="R42" s="164"/>
      <c r="S42" s="589"/>
      <c r="T42" s="589"/>
      <c r="U42" s="100"/>
      <c r="V42" s="100"/>
      <c r="W42" s="100"/>
      <c r="X42" s="7"/>
      <c r="Y42" s="7"/>
      <c r="Z42" s="7"/>
      <c r="AA42" s="7"/>
      <c r="AB42" s="13"/>
      <c r="AC42" s="13"/>
      <c r="AD42" s="13"/>
    </row>
    <row r="43" ht="14.25">
      <c r="A43" s="245"/>
      <c r="B43" s="245"/>
      <c r="C43" s="245"/>
      <c r="D43" s="245"/>
      <c r="E43" s="245"/>
      <c r="F43" s="245"/>
      <c r="G43" s="245"/>
      <c r="H43" s="245"/>
      <c r="I43" s="245"/>
      <c r="J43" s="245"/>
      <c r="K43" s="245"/>
      <c r="L43" s="245"/>
      <c r="M43" s="245"/>
      <c r="N43" s="245"/>
      <c r="O43" s="245"/>
      <c r="P43" s="245"/>
      <c r="Q43" s="245"/>
      <c r="R43" s="99"/>
      <c r="S43" s="165"/>
      <c r="T43" s="165"/>
      <c r="U43" s="100"/>
      <c r="V43" s="100"/>
      <c r="W43" s="100"/>
      <c r="X43" s="51"/>
      <c r="Y43" s="7"/>
      <c r="Z43" s="7"/>
      <c r="AA43" s="7"/>
      <c r="AB43" s="13"/>
      <c r="AC43" s="13"/>
      <c r="AD43" s="13"/>
    </row>
    <row r="44" ht="14.25">
      <c r="A44" s="143"/>
      <c r="B44" s="214" t="s">
        <v>17</v>
      </c>
      <c r="C44" s="492"/>
      <c r="D44" s="214" t="s">
        <v>18</v>
      </c>
      <c r="E44" s="492"/>
      <c r="F44" s="214" t="s">
        <v>19</v>
      </c>
      <c r="G44" s="214"/>
      <c r="H44" s="214" t="s">
        <v>20</v>
      </c>
      <c r="I44" s="492"/>
      <c r="J44" s="214" t="s">
        <v>21</v>
      </c>
      <c r="K44" s="214"/>
      <c r="L44" s="214" t="s">
        <v>22</v>
      </c>
      <c r="M44" s="214"/>
      <c r="N44" s="214" t="s">
        <v>23</v>
      </c>
      <c r="O44" s="214"/>
      <c r="P44" s="214" t="s">
        <v>24</v>
      </c>
      <c r="Q44" s="214"/>
      <c r="R44" s="117"/>
      <c r="S44" s="143"/>
      <c r="T44" s="143"/>
      <c r="U44" s="62"/>
      <c r="V44" s="62"/>
      <c r="W44" s="62"/>
      <c r="X44" s="63"/>
      <c r="Y44" s="7"/>
      <c r="Z44" s="7"/>
      <c r="AA44" s="7"/>
      <c r="AB44" s="13"/>
      <c r="AC44" s="13"/>
      <c r="AD44" s="13"/>
    </row>
    <row r="45" ht="14.25">
      <c r="A45" s="143"/>
      <c r="B45" s="526">
        <v>46062</v>
      </c>
      <c r="C45" s="528"/>
      <c r="D45" s="526">
        <v>46063</v>
      </c>
      <c r="E45" s="528"/>
      <c r="F45" s="526">
        <v>46064</v>
      </c>
      <c r="G45" s="528"/>
      <c r="H45" s="526">
        <v>46065</v>
      </c>
      <c r="I45" s="528"/>
      <c r="J45" s="526">
        <v>46066</v>
      </c>
      <c r="K45" s="528"/>
      <c r="L45" s="526">
        <v>46067</v>
      </c>
      <c r="M45" s="528"/>
      <c r="N45" s="526">
        <v>46068</v>
      </c>
      <c r="O45" s="528"/>
      <c r="P45" s="213" t="s">
        <v>25</v>
      </c>
      <c r="Q45" s="214" t="s">
        <v>26</v>
      </c>
      <c r="R45" s="287"/>
      <c r="S45" s="141"/>
      <c r="T45" s="141"/>
      <c r="U45" s="60" t="s">
        <v>27</v>
      </c>
      <c r="V45" s="61" t="s">
        <v>28</v>
      </c>
      <c r="W45" s="62" t="s">
        <v>29</v>
      </c>
      <c r="X45" s="63" t="s">
        <v>30</v>
      </c>
      <c r="Y45" s="7"/>
      <c r="Z45" s="7"/>
      <c r="AA45" s="7"/>
      <c r="AB45" s="13"/>
      <c r="AC45" s="13"/>
      <c r="AD45" s="13"/>
    </row>
    <row r="46" ht="14.25">
      <c r="A46" s="440" t="s">
        <v>61</v>
      </c>
      <c r="B46" s="540" t="s">
        <v>32</v>
      </c>
      <c r="C46" s="540" t="s">
        <v>33</v>
      </c>
      <c r="D46" s="198" t="s">
        <v>32</v>
      </c>
      <c r="E46" s="540" t="s">
        <v>33</v>
      </c>
      <c r="F46" s="198" t="s">
        <v>32</v>
      </c>
      <c r="G46" s="540" t="s">
        <v>33</v>
      </c>
      <c r="H46" s="198" t="s">
        <v>32</v>
      </c>
      <c r="I46" s="540" t="s">
        <v>33</v>
      </c>
      <c r="J46" s="198" t="s">
        <v>32</v>
      </c>
      <c r="K46" s="540" t="s">
        <v>33</v>
      </c>
      <c r="L46" s="273"/>
      <c r="M46" s="641"/>
      <c r="N46" s="273"/>
      <c r="O46" s="641"/>
      <c r="P46" s="504">
        <f t="shared" si="140"/>
        <v>40</v>
      </c>
      <c r="Q46" s="62">
        <f t="shared" ref="Q46:Q51" si="148">Q29-P46</f>
        <v>72</v>
      </c>
      <c r="R46" s="219" t="str">
        <f t="shared" si="141"/>
        <v>Раимова</v>
      </c>
      <c r="S46" s="76" t="s">
        <v>10</v>
      </c>
      <c r="T46" s="77" t="s">
        <v>9</v>
      </c>
      <c r="U46" s="85">
        <f>COUNTIF(T44,B44)+COUNTIF(T44,D44)+COUNTIF(T44,F44)+COUNTIF(T44,H44)+COUNTIF(T44,J44)+COUNTIF(T44,L44)+COUNTIF(T44,N44)</f>
        <v>0</v>
      </c>
      <c r="V46" s="227">
        <f>COUNTIF(S44,B44)+COUNTIF(S44,D44)+COUNTIF(S44,F44)+COUNTIF(S44,H44)+COUNTIF(S44,J44)+COUNTIF(S44,L44)+COUNTIF(S44,N44)</f>
        <v>0</v>
      </c>
      <c r="W46" s="86"/>
      <c r="X46" s="74" t="s">
        <v>34</v>
      </c>
      <c r="Y46" s="7"/>
      <c r="Z46" s="7"/>
      <c r="AA46" s="7"/>
      <c r="AB46" s="13"/>
      <c r="AC46" s="13"/>
      <c r="AD46" s="13"/>
    </row>
    <row r="47" ht="14.25">
      <c r="A47" s="538" t="s">
        <v>35</v>
      </c>
      <c r="B47" s="540" t="s">
        <v>32</v>
      </c>
      <c r="C47" s="540" t="s">
        <v>33</v>
      </c>
      <c r="D47" s="540" t="s">
        <v>32</v>
      </c>
      <c r="E47" s="540" t="s">
        <v>33</v>
      </c>
      <c r="F47" s="540" t="s">
        <v>32</v>
      </c>
      <c r="G47" s="540" t="s">
        <v>33</v>
      </c>
      <c r="H47" s="540" t="s">
        <v>32</v>
      </c>
      <c r="I47" s="540" t="s">
        <v>33</v>
      </c>
      <c r="J47" s="540" t="s">
        <v>32</v>
      </c>
      <c r="K47" s="540" t="s">
        <v>33</v>
      </c>
      <c r="L47" s="541"/>
      <c r="M47" s="541"/>
      <c r="N47" s="541"/>
      <c r="O47" s="541" t="s">
        <v>83</v>
      </c>
      <c r="P47" s="253">
        <f t="shared" si="140"/>
        <v>42.5</v>
      </c>
      <c r="Q47" s="62">
        <f t="shared" si="148"/>
        <v>69.5</v>
      </c>
      <c r="R47" s="461" t="str">
        <f t="shared" si="141"/>
        <v>Рычков</v>
      </c>
      <c r="S47" s="76" t="s">
        <v>10</v>
      </c>
      <c r="T47" s="77" t="s">
        <v>9</v>
      </c>
      <c r="U47" s="90">
        <f t="shared" si="144"/>
        <v>0</v>
      </c>
      <c r="V47" s="62">
        <f t="shared" si="145"/>
        <v>0</v>
      </c>
      <c r="W47" s="62"/>
      <c r="X47" s="74" t="s">
        <v>34</v>
      </c>
      <c r="Y47" s="7"/>
      <c r="Z47" s="7"/>
      <c r="AA47" s="7"/>
      <c r="AB47" s="13"/>
      <c r="AC47" s="13"/>
      <c r="AD47" s="13"/>
    </row>
    <row r="48" ht="14.25">
      <c r="A48" s="440" t="s">
        <v>39</v>
      </c>
      <c r="B48" s="540" t="s">
        <v>32</v>
      </c>
      <c r="C48" s="540" t="s">
        <v>33</v>
      </c>
      <c r="D48" s="540" t="s">
        <v>32</v>
      </c>
      <c r="E48" s="540" t="s">
        <v>33</v>
      </c>
      <c r="F48" s="540" t="s">
        <v>32</v>
      </c>
      <c r="G48" s="540" t="s">
        <v>33</v>
      </c>
      <c r="H48" s="540" t="s">
        <v>32</v>
      </c>
      <c r="I48" s="540" t="s">
        <v>33</v>
      </c>
      <c r="J48" s="540" t="s">
        <v>32</v>
      </c>
      <c r="K48" s="540" t="s">
        <v>33</v>
      </c>
      <c r="L48" s="541"/>
      <c r="M48" s="541"/>
      <c r="N48" s="541"/>
      <c r="O48" s="541"/>
      <c r="P48" s="253">
        <f t="shared" si="140"/>
        <v>40</v>
      </c>
      <c r="Q48" s="62">
        <f t="shared" si="148"/>
        <v>72</v>
      </c>
      <c r="R48" s="461" t="str">
        <f t="shared" si="141"/>
        <v>Игумнов</v>
      </c>
      <c r="S48" s="76" t="s">
        <v>10</v>
      </c>
      <c r="T48" s="77" t="s">
        <v>9</v>
      </c>
      <c r="U48" s="90">
        <f t="shared" si="144"/>
        <v>0</v>
      </c>
      <c r="V48" s="62">
        <f t="shared" si="145"/>
        <v>0</v>
      </c>
      <c r="W48" s="62"/>
      <c r="X48" s="79" t="s">
        <v>34</v>
      </c>
      <c r="Y48" s="7"/>
      <c r="Z48" s="7"/>
      <c r="AA48" s="7"/>
      <c r="AB48" s="13"/>
      <c r="AC48" s="13"/>
      <c r="AD48" s="13"/>
    </row>
    <row r="49" ht="14.25">
      <c r="A49" s="440" t="s">
        <v>40</v>
      </c>
      <c r="B49" s="540" t="s">
        <v>32</v>
      </c>
      <c r="C49" s="540" t="s">
        <v>33</v>
      </c>
      <c r="D49" s="540" t="s">
        <v>32</v>
      </c>
      <c r="E49" s="540" t="s">
        <v>33</v>
      </c>
      <c r="F49" s="687" t="s">
        <v>1</v>
      </c>
      <c r="G49" s="5">
        <v>8</v>
      </c>
      <c r="H49" s="687" t="s">
        <v>1</v>
      </c>
      <c r="I49" s="5">
        <v>8</v>
      </c>
      <c r="J49" s="687" t="s">
        <v>1</v>
      </c>
      <c r="K49" s="5">
        <v>8</v>
      </c>
      <c r="L49" s="541"/>
      <c r="M49" s="541"/>
      <c r="N49" s="541"/>
      <c r="O49" s="541"/>
      <c r="P49" s="253">
        <f t="shared" si="140"/>
        <v>40</v>
      </c>
      <c r="Q49" s="62">
        <f t="shared" si="148"/>
        <v>72</v>
      </c>
      <c r="R49" s="461" t="str">
        <f t="shared" si="141"/>
        <v>Душин</v>
      </c>
      <c r="S49" s="76" t="s">
        <v>10</v>
      </c>
      <c r="T49" s="77" t="s">
        <v>9</v>
      </c>
      <c r="U49" s="90">
        <f t="shared" si="144"/>
        <v>0</v>
      </c>
      <c r="V49" s="62">
        <f t="shared" si="145"/>
        <v>0</v>
      </c>
      <c r="W49" s="62"/>
      <c r="X49" s="74" t="s">
        <v>38</v>
      </c>
      <c r="Y49" s="7"/>
      <c r="Z49" s="7"/>
      <c r="AA49" s="7"/>
      <c r="AB49" s="13"/>
      <c r="AC49" s="13"/>
      <c r="AD49" s="13"/>
    </row>
    <row r="50" ht="14.25">
      <c r="A50" s="440" t="s">
        <v>31</v>
      </c>
      <c r="B50" s="540" t="s">
        <v>32</v>
      </c>
      <c r="C50" s="540" t="s">
        <v>33</v>
      </c>
      <c r="D50" s="540" t="s">
        <v>32</v>
      </c>
      <c r="E50" s="540" t="s">
        <v>33</v>
      </c>
      <c r="F50" s="540" t="s">
        <v>32</v>
      </c>
      <c r="G50" s="540" t="s">
        <v>33</v>
      </c>
      <c r="H50" s="540" t="s">
        <v>32</v>
      </c>
      <c r="I50" s="540" t="s">
        <v>33</v>
      </c>
      <c r="J50" s="540" t="s">
        <v>32</v>
      </c>
      <c r="K50" s="540" t="s">
        <v>33</v>
      </c>
      <c r="L50" s="541"/>
      <c r="M50" s="541"/>
      <c r="N50" s="541"/>
      <c r="O50" s="541"/>
      <c r="P50" s="253">
        <f t="shared" si="140"/>
        <v>40</v>
      </c>
      <c r="Q50" s="62">
        <f t="shared" si="148"/>
        <v>72</v>
      </c>
      <c r="R50" s="461" t="str">
        <f t="shared" si="141"/>
        <v>Нетронин</v>
      </c>
      <c r="S50" s="76" t="s">
        <v>58</v>
      </c>
      <c r="T50" s="77" t="s">
        <v>59</v>
      </c>
      <c r="U50" s="90"/>
      <c r="V50" s="62"/>
      <c r="W50" s="62"/>
      <c r="X50" s="74" t="s">
        <v>34</v>
      </c>
      <c r="Y50" s="7"/>
      <c r="Z50" s="7"/>
      <c r="AA50" s="7"/>
      <c r="AB50" s="13"/>
      <c r="AC50" s="13"/>
      <c r="AD50" s="13"/>
    </row>
    <row r="51" ht="14.25">
      <c r="A51" s="440" t="s">
        <v>42</v>
      </c>
      <c r="B51" s="540" t="s">
        <v>32</v>
      </c>
      <c r="C51" s="540" t="s">
        <v>33</v>
      </c>
      <c r="D51" s="540" t="s">
        <v>32</v>
      </c>
      <c r="E51" s="540" t="s">
        <v>33</v>
      </c>
      <c r="F51" s="540" t="s">
        <v>32</v>
      </c>
      <c r="G51" s="540" t="s">
        <v>33</v>
      </c>
      <c r="H51" s="540" t="s">
        <v>32</v>
      </c>
      <c r="I51" s="540" t="s">
        <v>33</v>
      </c>
      <c r="J51" s="540" t="s">
        <v>32</v>
      </c>
      <c r="K51" s="540" t="s">
        <v>33</v>
      </c>
      <c r="L51" s="541"/>
      <c r="M51" s="541"/>
      <c r="N51" s="541"/>
      <c r="O51" s="541"/>
      <c r="P51" s="253">
        <f t="shared" si="140"/>
        <v>40</v>
      </c>
      <c r="Q51" s="62">
        <f t="shared" si="148"/>
        <v>72</v>
      </c>
      <c r="R51" s="461" t="str">
        <f t="shared" si="141"/>
        <v>Юращик</v>
      </c>
      <c r="S51" s="76" t="s">
        <v>10</v>
      </c>
      <c r="T51" s="77" t="s">
        <v>9</v>
      </c>
      <c r="U51" s="90"/>
      <c r="V51" s="62"/>
      <c r="W51" s="62"/>
      <c r="X51" s="74" t="s">
        <v>38</v>
      </c>
      <c r="Y51" s="7"/>
      <c r="Z51" s="7"/>
      <c r="AA51" s="7"/>
      <c r="AB51" s="13"/>
      <c r="AC51" s="13"/>
      <c r="AD51" s="13"/>
    </row>
    <row r="52" ht="14.4" hidden="1">
      <c r="A52" s="688" t="s">
        <v>84</v>
      </c>
      <c r="B52" s="254"/>
      <c r="C52" s="254"/>
      <c r="D52" s="689"/>
      <c r="E52" s="689"/>
      <c r="F52" s="690"/>
      <c r="G52" s="247"/>
      <c r="H52" s="691"/>
      <c r="I52" s="691"/>
      <c r="J52" s="691"/>
      <c r="K52" s="254"/>
      <c r="L52" s="544"/>
      <c r="M52" s="541"/>
      <c r="N52" s="541"/>
      <c r="O52" s="541"/>
      <c r="P52" s="253">
        <f t="shared" si="140"/>
        <v>0</v>
      </c>
      <c r="Q52" s="62" t="e">
        <f>#REF!-P52</f>
        <v>#REF!</v>
      </c>
      <c r="R52" s="461" t="str">
        <f t="shared" si="141"/>
        <v>Будовская</v>
      </c>
      <c r="S52" s="76" t="s">
        <v>10</v>
      </c>
      <c r="T52" s="77" t="s">
        <v>9</v>
      </c>
      <c r="U52" s="90">
        <f t="shared" si="144"/>
        <v>0</v>
      </c>
      <c r="V52" s="62">
        <f t="shared" si="145"/>
        <v>0</v>
      </c>
      <c r="W52" s="62"/>
      <c r="X52" s="74" t="s">
        <v>38</v>
      </c>
      <c r="Y52" s="7"/>
      <c r="Z52" s="7"/>
      <c r="AA52" s="7"/>
      <c r="AB52" s="13"/>
      <c r="AC52" s="13"/>
      <c r="AD52" s="13"/>
    </row>
    <row r="53" s="21" customFormat="1" ht="14.25">
      <c r="A53" s="361" t="s">
        <v>43</v>
      </c>
      <c r="B53" s="692"/>
      <c r="C53" s="637"/>
      <c r="D53" s="691"/>
      <c r="E53" s="693"/>
      <c r="F53" s="71" t="s">
        <v>12</v>
      </c>
      <c r="G53" s="694">
        <v>11</v>
      </c>
      <c r="H53" s="87"/>
      <c r="I53" s="87"/>
      <c r="J53" s="72" t="s">
        <v>11</v>
      </c>
      <c r="K53" s="661" t="s">
        <v>81</v>
      </c>
      <c r="L53" s="72" t="s">
        <v>11</v>
      </c>
      <c r="M53" s="194" t="s">
        <v>81</v>
      </c>
      <c r="N53" s="254"/>
      <c r="O53" s="254"/>
      <c r="P53" s="253">
        <f t="shared" si="140"/>
        <v>33</v>
      </c>
      <c r="Q53" s="62">
        <f t="shared" ref="Q53:Q95" si="149">Q35-P53</f>
        <v>64</v>
      </c>
      <c r="R53" s="461" t="str">
        <f t="shared" si="141"/>
        <v>Дащенко</v>
      </c>
      <c r="S53" s="71" t="s">
        <v>12</v>
      </c>
      <c r="T53" s="72" t="s">
        <v>11</v>
      </c>
      <c r="U53" s="90">
        <f t="shared" si="144"/>
        <v>0</v>
      </c>
      <c r="V53" s="62">
        <f t="shared" si="145"/>
        <v>0</v>
      </c>
      <c r="W53" s="62"/>
      <c r="X53" s="80" t="s">
        <v>44</v>
      </c>
      <c r="Y53" s="7"/>
      <c r="Z53" s="7"/>
      <c r="AA53" s="7"/>
      <c r="AB53" s="13"/>
      <c r="AC53" s="13"/>
      <c r="AD53" s="13"/>
    </row>
    <row r="54" ht="14.25">
      <c r="A54" s="278" t="s">
        <v>45</v>
      </c>
      <c r="B54" s="76" t="s">
        <v>10</v>
      </c>
      <c r="C54" s="665">
        <v>11</v>
      </c>
      <c r="D54" s="87"/>
      <c r="E54" s="87"/>
      <c r="F54" s="674"/>
      <c r="G54" s="664"/>
      <c r="H54" s="76" t="s">
        <v>10</v>
      </c>
      <c r="I54" s="695">
        <v>11</v>
      </c>
      <c r="J54" s="76" t="s">
        <v>10</v>
      </c>
      <c r="K54" s="666">
        <v>11</v>
      </c>
      <c r="L54" s="696"/>
      <c r="M54" s="697"/>
      <c r="N54" s="668"/>
      <c r="O54" s="559"/>
      <c r="P54" s="253">
        <f t="shared" si="140"/>
        <v>33</v>
      </c>
      <c r="Q54" s="62">
        <f t="shared" si="149"/>
        <v>75</v>
      </c>
      <c r="R54" s="461" t="str">
        <f t="shared" si="141"/>
        <v>Пузырь</v>
      </c>
      <c r="S54" s="76" t="s">
        <v>10</v>
      </c>
      <c r="T54" s="77" t="s">
        <v>9</v>
      </c>
      <c r="U54" s="90">
        <f t="shared" si="144"/>
        <v>0</v>
      </c>
      <c r="V54" s="62">
        <f t="shared" si="145"/>
        <v>0</v>
      </c>
      <c r="W54" s="62"/>
      <c r="X54" s="74" t="s">
        <v>34</v>
      </c>
      <c r="Y54" s="7"/>
      <c r="Z54" s="7"/>
      <c r="AA54" s="7"/>
      <c r="AB54" s="13"/>
      <c r="AC54" s="13"/>
      <c r="AD54" s="13"/>
    </row>
    <row r="55" ht="14.25">
      <c r="A55" s="278" t="s">
        <v>46</v>
      </c>
      <c r="B55" s="76" t="s">
        <v>10</v>
      </c>
      <c r="C55" s="666">
        <v>11</v>
      </c>
      <c r="D55" s="679"/>
      <c r="E55" s="698"/>
      <c r="F55" s="667"/>
      <c r="G55" s="664"/>
      <c r="H55" s="77" t="s">
        <v>32</v>
      </c>
      <c r="I55" s="699">
        <v>9</v>
      </c>
      <c r="J55" s="700"/>
      <c r="K55" s="685"/>
      <c r="L55" s="76" t="s">
        <v>10</v>
      </c>
      <c r="M55" s="665">
        <v>11</v>
      </c>
      <c r="N55" s="76" t="s">
        <v>10</v>
      </c>
      <c r="O55" s="666">
        <v>11</v>
      </c>
      <c r="P55" s="253">
        <f t="shared" si="140"/>
        <v>42</v>
      </c>
      <c r="Q55" s="62">
        <f t="shared" si="149"/>
        <v>66</v>
      </c>
      <c r="R55" s="461" t="str">
        <f t="shared" si="141"/>
        <v>Голышев</v>
      </c>
      <c r="S55" s="76" t="s">
        <v>10</v>
      </c>
      <c r="T55" s="77" t="s">
        <v>9</v>
      </c>
      <c r="U55" s="90">
        <f t="shared" si="144"/>
        <v>0</v>
      </c>
      <c r="V55" s="62">
        <f t="shared" si="145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278" t="s">
        <v>47</v>
      </c>
      <c r="B56" s="77" t="s">
        <v>9</v>
      </c>
      <c r="C56" s="669">
        <v>11</v>
      </c>
      <c r="D56" s="77" t="s">
        <v>9</v>
      </c>
      <c r="E56" s="701">
        <v>11</v>
      </c>
      <c r="F56" s="668"/>
      <c r="G56" s="559"/>
      <c r="H56" s="702"/>
      <c r="I56" s="703"/>
      <c r="J56" s="76" t="s">
        <v>10</v>
      </c>
      <c r="K56" s="665">
        <v>11</v>
      </c>
      <c r="L56" s="76" t="s">
        <v>10</v>
      </c>
      <c r="M56" s="666">
        <v>11</v>
      </c>
      <c r="N56" s="679"/>
      <c r="O56" s="559"/>
      <c r="P56" s="253">
        <f t="shared" si="140"/>
        <v>44</v>
      </c>
      <c r="Q56" s="62">
        <f t="shared" si="149"/>
        <v>75</v>
      </c>
      <c r="R56" s="461" t="str">
        <f t="shared" si="141"/>
        <v>Торубара</v>
      </c>
      <c r="S56" s="76" t="s">
        <v>10</v>
      </c>
      <c r="T56" s="77" t="s">
        <v>9</v>
      </c>
      <c r="U56" s="90">
        <f t="shared" si="144"/>
        <v>0</v>
      </c>
      <c r="V56" s="62">
        <f t="shared" si="145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25">
      <c r="A57" s="361" t="s">
        <v>48</v>
      </c>
      <c r="B57" s="663"/>
      <c r="C57" s="664"/>
      <c r="D57" s="87"/>
      <c r="E57" s="87"/>
      <c r="F57" s="72" t="s">
        <v>7</v>
      </c>
      <c r="G57" s="699">
        <v>11</v>
      </c>
      <c r="H57" s="667"/>
      <c r="I57" s="559"/>
      <c r="J57" s="663"/>
      <c r="K57" s="559"/>
      <c r="L57" s="679"/>
      <c r="M57" s="664"/>
      <c r="N57" s="71" t="s">
        <v>8</v>
      </c>
      <c r="O57" s="666">
        <v>11</v>
      </c>
      <c r="P57" s="253">
        <f t="shared" si="140"/>
        <v>22</v>
      </c>
      <c r="Q57" s="62">
        <f t="shared" si="149"/>
        <v>75</v>
      </c>
      <c r="R57" s="461" t="str">
        <f t="shared" si="141"/>
        <v>Стрыгин</v>
      </c>
      <c r="S57" s="71" t="s">
        <v>8</v>
      </c>
      <c r="T57" s="72" t="s">
        <v>7</v>
      </c>
      <c r="U57" s="90">
        <f t="shared" si="144"/>
        <v>0</v>
      </c>
      <c r="V57" s="62">
        <f t="shared" si="145"/>
        <v>0</v>
      </c>
      <c r="W57" s="62"/>
      <c r="X57" s="74" t="s">
        <v>49</v>
      </c>
      <c r="Y57" s="7"/>
      <c r="Z57" s="7"/>
      <c r="AA57" s="7"/>
      <c r="AB57" s="13"/>
      <c r="AC57" s="13"/>
      <c r="AD57" s="13"/>
    </row>
    <row r="58" ht="14.25">
      <c r="A58" s="361" t="s">
        <v>50</v>
      </c>
      <c r="B58" s="668"/>
      <c r="C58" s="664"/>
      <c r="D58" s="71" t="s">
        <v>12</v>
      </c>
      <c r="E58" s="695">
        <v>11</v>
      </c>
      <c r="F58" s="71" t="s">
        <v>12</v>
      </c>
      <c r="G58" s="666">
        <v>11</v>
      </c>
      <c r="H58" s="668"/>
      <c r="I58" s="559"/>
      <c r="J58" s="668"/>
      <c r="K58" s="664"/>
      <c r="L58" s="72" t="s">
        <v>11</v>
      </c>
      <c r="M58" s="704">
        <v>11</v>
      </c>
      <c r="N58" s="72" t="s">
        <v>11</v>
      </c>
      <c r="O58" s="699">
        <v>11</v>
      </c>
      <c r="P58" s="253">
        <f t="shared" si="140"/>
        <v>44</v>
      </c>
      <c r="Q58" s="62">
        <f t="shared" si="149"/>
        <v>64</v>
      </c>
      <c r="R58" s="461" t="str">
        <f t="shared" si="141"/>
        <v>Фрик</v>
      </c>
      <c r="S58" s="71" t="s">
        <v>12</v>
      </c>
      <c r="T58" s="72" t="s">
        <v>11</v>
      </c>
      <c r="U58" s="90">
        <f t="shared" si="144"/>
        <v>0</v>
      </c>
      <c r="V58" s="62">
        <f t="shared" si="145"/>
        <v>0</v>
      </c>
      <c r="W58" s="62"/>
      <c r="X58" s="74" t="s">
        <v>44</v>
      </c>
      <c r="Y58" s="7"/>
      <c r="Z58" s="7"/>
      <c r="AA58" s="7"/>
      <c r="AB58" s="13"/>
      <c r="AC58" s="13"/>
      <c r="AD58" s="13"/>
    </row>
    <row r="59" ht="14.25">
      <c r="A59" s="278" t="s">
        <v>51</v>
      </c>
      <c r="B59" s="77" t="s">
        <v>9</v>
      </c>
      <c r="C59" s="699">
        <v>11</v>
      </c>
      <c r="D59" s="663"/>
      <c r="E59" s="559"/>
      <c r="F59" s="663"/>
      <c r="G59" s="664"/>
      <c r="H59" s="77" t="s">
        <v>9</v>
      </c>
      <c r="I59" s="669">
        <v>11</v>
      </c>
      <c r="J59" s="77" t="s">
        <v>9</v>
      </c>
      <c r="K59" s="669">
        <v>11</v>
      </c>
      <c r="L59" s="87"/>
      <c r="M59" s="87"/>
      <c r="N59" s="674"/>
      <c r="O59" s="559"/>
      <c r="P59" s="253">
        <f t="shared" si="140"/>
        <v>33</v>
      </c>
      <c r="Q59" s="62">
        <f t="shared" si="149"/>
        <v>64</v>
      </c>
      <c r="R59" s="461" t="str">
        <f t="shared" si="141"/>
        <v>Истрашкин</v>
      </c>
      <c r="S59" s="71" t="s">
        <v>10</v>
      </c>
      <c r="T59" s="72" t="s">
        <v>9</v>
      </c>
      <c r="U59" s="90">
        <f t="shared" si="144"/>
        <v>0</v>
      </c>
      <c r="V59" s="62">
        <f t="shared" si="145"/>
        <v>0</v>
      </c>
      <c r="W59" s="62"/>
      <c r="X59" s="74" t="s">
        <v>34</v>
      </c>
      <c r="Y59" s="7"/>
      <c r="Z59" s="7"/>
      <c r="AA59" s="7"/>
      <c r="AB59" s="13"/>
      <c r="AC59" s="13"/>
      <c r="AD59" s="13"/>
    </row>
    <row r="60" ht="14.25">
      <c r="A60" s="207"/>
      <c r="B60" s="500">
        <v>46062</v>
      </c>
      <c r="C60" s="528"/>
      <c r="D60" s="526">
        <v>46063</v>
      </c>
      <c r="E60" s="528"/>
      <c r="F60" s="526">
        <v>46064</v>
      </c>
      <c r="G60" s="528"/>
      <c r="H60" s="500">
        <v>46064</v>
      </c>
      <c r="I60" s="528"/>
      <c r="J60" s="500">
        <v>46066</v>
      </c>
      <c r="K60" s="528"/>
      <c r="L60" s="500">
        <v>46067</v>
      </c>
      <c r="M60" s="686"/>
      <c r="N60" s="526">
        <v>46068</v>
      </c>
      <c r="O60" s="528"/>
      <c r="P60" s="253"/>
      <c r="Q60" s="254"/>
      <c r="R60" s="297"/>
      <c r="S60" s="134"/>
      <c r="T60" s="134"/>
      <c r="U60" s="60" t="s">
        <v>27</v>
      </c>
      <c r="V60" s="61" t="s">
        <v>28</v>
      </c>
      <c r="W60" s="62" t="s">
        <v>29</v>
      </c>
      <c r="X60" s="7"/>
      <c r="Y60" s="7"/>
      <c r="Z60" s="7"/>
      <c r="AA60" s="7"/>
      <c r="AB60" s="13"/>
      <c r="AC60" s="13"/>
      <c r="AD60" s="13"/>
    </row>
    <row r="61" ht="14.25">
      <c r="A61" s="165"/>
      <c r="B61" s="165"/>
      <c r="C61" s="165"/>
      <c r="D61" s="165"/>
      <c r="E61" s="165"/>
      <c r="F61" s="165"/>
      <c r="G61" s="165"/>
      <c r="H61" s="165"/>
      <c r="I61" s="165"/>
      <c r="J61" s="165"/>
      <c r="K61" s="165"/>
      <c r="L61" s="165"/>
      <c r="M61" s="165"/>
      <c r="N61" s="165"/>
      <c r="O61" s="165"/>
      <c r="P61" s="165"/>
      <c r="Q61" s="165"/>
      <c r="R61" s="127"/>
      <c r="S61" s="127"/>
      <c r="T61" s="127"/>
      <c r="U61" s="127"/>
      <c r="V61" s="127"/>
      <c r="W61" s="128"/>
      <c r="X61" s="7"/>
      <c r="Y61" s="7"/>
      <c r="Z61" s="7"/>
      <c r="AA61" s="7"/>
      <c r="AB61" s="13"/>
      <c r="AC61" s="13"/>
      <c r="AD61" s="13"/>
    </row>
    <row r="62" ht="14.25">
      <c r="A62" s="143"/>
      <c r="B62" s="214" t="s">
        <v>17</v>
      </c>
      <c r="C62" s="492"/>
      <c r="D62" s="214" t="s">
        <v>18</v>
      </c>
      <c r="E62" s="492"/>
      <c r="F62" s="214" t="s">
        <v>19</v>
      </c>
      <c r="G62" s="214"/>
      <c r="H62" s="214" t="s">
        <v>20</v>
      </c>
      <c r="I62" s="492"/>
      <c r="J62" s="493" t="s">
        <v>21</v>
      </c>
      <c r="K62" s="493"/>
      <c r="L62" s="214" t="s">
        <v>22</v>
      </c>
      <c r="M62" s="214"/>
      <c r="N62" s="214" t="s">
        <v>23</v>
      </c>
      <c r="O62" s="214"/>
      <c r="P62" s="214" t="s">
        <v>24</v>
      </c>
      <c r="Q62" s="214"/>
      <c r="R62" s="117"/>
      <c r="S62" s="143"/>
      <c r="T62" s="143"/>
      <c r="U62" s="62"/>
      <c r="V62" s="62"/>
      <c r="W62" s="62"/>
      <c r="X62" s="51"/>
      <c r="Y62" s="7"/>
      <c r="Z62" s="7"/>
      <c r="AA62" s="7"/>
      <c r="AB62" s="13"/>
      <c r="AC62" s="13"/>
      <c r="AD62" s="13"/>
    </row>
    <row r="63" ht="14.25">
      <c r="A63" s="143"/>
      <c r="B63" s="526">
        <v>46069</v>
      </c>
      <c r="C63" s="528"/>
      <c r="D63" s="526">
        <v>46070</v>
      </c>
      <c r="E63" s="528"/>
      <c r="F63" s="526">
        <v>46071</v>
      </c>
      <c r="G63" s="528"/>
      <c r="H63" s="526">
        <v>46072</v>
      </c>
      <c r="I63" s="528"/>
      <c r="J63" s="526">
        <v>46073</v>
      </c>
      <c r="K63" s="528"/>
      <c r="L63" s="526">
        <v>46074</v>
      </c>
      <c r="M63" s="528"/>
      <c r="N63" s="526">
        <v>46075</v>
      </c>
      <c r="O63" s="528"/>
      <c r="P63" s="213" t="s">
        <v>25</v>
      </c>
      <c r="Q63" s="214" t="s">
        <v>26</v>
      </c>
      <c r="R63" s="287"/>
      <c r="S63" s="141"/>
      <c r="T63" s="141"/>
      <c r="U63" s="60" t="s">
        <v>27</v>
      </c>
      <c r="V63" s="61" t="s">
        <v>28</v>
      </c>
      <c r="W63" s="62" t="s">
        <v>29</v>
      </c>
      <c r="X63" s="63" t="s">
        <v>30</v>
      </c>
      <c r="Y63" s="7"/>
      <c r="Z63" s="7"/>
      <c r="AA63" s="7"/>
      <c r="AB63" s="13"/>
      <c r="AC63" s="13"/>
      <c r="AD63" s="13"/>
    </row>
    <row r="64" ht="14.25">
      <c r="A64" s="440" t="s">
        <v>61</v>
      </c>
      <c r="B64" s="540" t="s">
        <v>32</v>
      </c>
      <c r="C64" s="540" t="s">
        <v>33</v>
      </c>
      <c r="D64" s="198" t="s">
        <v>32</v>
      </c>
      <c r="E64" s="540" t="s">
        <v>33</v>
      </c>
      <c r="F64" s="198" t="s">
        <v>32</v>
      </c>
      <c r="G64" s="540" t="s">
        <v>33</v>
      </c>
      <c r="H64" s="198" t="s">
        <v>32</v>
      </c>
      <c r="I64" s="540" t="s">
        <v>33</v>
      </c>
      <c r="J64" s="198" t="s">
        <v>32</v>
      </c>
      <c r="K64" s="540" t="s">
        <v>33</v>
      </c>
      <c r="L64" s="273"/>
      <c r="M64" s="641"/>
      <c r="N64" s="273"/>
      <c r="O64" s="641"/>
      <c r="P64" s="504">
        <f t="shared" si="140"/>
        <v>40</v>
      </c>
      <c r="Q64" s="62">
        <f t="shared" si="149"/>
        <v>32</v>
      </c>
      <c r="R64" s="219" t="str">
        <f t="shared" si="141"/>
        <v>Раимова</v>
      </c>
      <c r="S64" s="76" t="s">
        <v>10</v>
      </c>
      <c r="T64" s="77" t="s">
        <v>9</v>
      </c>
      <c r="U64" s="85">
        <f>COUNTIF(T62,B62)+COUNTIF(T62,D62)+COUNTIF(T62,F62)+COUNTIF(T62,H62)+COUNTIF(T62,J62)+COUNTIF(T62,L62)+COUNTIF(T62,N62)</f>
        <v>0</v>
      </c>
      <c r="V64" s="227">
        <f>COUNTIF(S62,B62)+COUNTIF(S62,D62)+COUNTIF(S62,F62)+COUNTIF(S62,H62)+COUNTIF(S62,J62)+COUNTIF(S62,L62)+COUNTIF(S62,N62)</f>
        <v>0</v>
      </c>
      <c r="W64" s="86"/>
      <c r="X64" s="74" t="s">
        <v>34</v>
      </c>
      <c r="Y64" s="7"/>
      <c r="Z64" s="7"/>
      <c r="AA64" s="7"/>
      <c r="AB64" s="13"/>
      <c r="AC64" s="13"/>
      <c r="AD64" s="13"/>
    </row>
    <row r="65" ht="14.25">
      <c r="A65" s="538" t="s">
        <v>35</v>
      </c>
      <c r="B65" s="540" t="s">
        <v>32</v>
      </c>
      <c r="C65" s="540" t="s">
        <v>33</v>
      </c>
      <c r="D65" s="540" t="s">
        <v>32</v>
      </c>
      <c r="E65" s="540" t="s">
        <v>33</v>
      </c>
      <c r="F65" s="540" t="s">
        <v>32</v>
      </c>
      <c r="G65" s="540" t="s">
        <v>33</v>
      </c>
      <c r="H65" s="540" t="s">
        <v>32</v>
      </c>
      <c r="I65" s="540" t="s">
        <v>33</v>
      </c>
      <c r="J65" s="540" t="s">
        <v>32</v>
      </c>
      <c r="K65" s="540" t="s">
        <v>33</v>
      </c>
      <c r="L65" s="541"/>
      <c r="M65" s="541"/>
      <c r="N65" s="541"/>
      <c r="O65" s="541"/>
      <c r="P65" s="253">
        <f t="shared" si="140"/>
        <v>40</v>
      </c>
      <c r="Q65" s="62">
        <f t="shared" si="149"/>
        <v>29.5</v>
      </c>
      <c r="R65" s="461" t="str">
        <f t="shared" si="141"/>
        <v>Рычков</v>
      </c>
      <c r="S65" s="76" t="s">
        <v>10</v>
      </c>
      <c r="T65" s="77" t="s">
        <v>9</v>
      </c>
      <c r="U65" s="90">
        <f t="shared" si="144"/>
        <v>0</v>
      </c>
      <c r="V65" s="62">
        <f t="shared" si="145"/>
        <v>0</v>
      </c>
      <c r="W65" s="62"/>
      <c r="X65" s="74" t="s">
        <v>34</v>
      </c>
      <c r="Y65" s="7"/>
      <c r="Z65" s="7"/>
      <c r="AA65" s="7"/>
      <c r="AB65" s="13"/>
      <c r="AC65" s="13"/>
      <c r="AD65" s="13"/>
    </row>
    <row r="66" ht="14.25">
      <c r="A66" s="440" t="s">
        <v>39</v>
      </c>
      <c r="B66" s="540" t="s">
        <v>32</v>
      </c>
      <c r="C66" s="540" t="s">
        <v>33</v>
      </c>
      <c r="D66" s="540" t="s">
        <v>32</v>
      </c>
      <c r="E66" s="540" t="s">
        <v>33</v>
      </c>
      <c r="F66" s="540" t="s">
        <v>32</v>
      </c>
      <c r="G66" s="540" t="s">
        <v>33</v>
      </c>
      <c r="H66" s="540" t="s">
        <v>32</v>
      </c>
      <c r="I66" s="540" t="s">
        <v>33</v>
      </c>
      <c r="J66" s="540" t="s">
        <v>32</v>
      </c>
      <c r="K66" s="540" t="s">
        <v>33</v>
      </c>
      <c r="L66" s="541"/>
      <c r="M66" s="541"/>
      <c r="N66" s="541"/>
      <c r="O66" s="541"/>
      <c r="P66" s="253">
        <f t="shared" si="140"/>
        <v>40</v>
      </c>
      <c r="Q66" s="62">
        <f t="shared" si="149"/>
        <v>32</v>
      </c>
      <c r="R66" s="113" t="str">
        <f t="shared" si="141"/>
        <v>Игумнов</v>
      </c>
      <c r="S66" s="76" t="s">
        <v>10</v>
      </c>
      <c r="T66" s="77" t="s">
        <v>9</v>
      </c>
      <c r="U66" s="73">
        <f t="shared" si="144"/>
        <v>0</v>
      </c>
      <c r="V66" s="227">
        <f t="shared" si="145"/>
        <v>0</v>
      </c>
      <c r="W66" s="62"/>
      <c r="X66" s="79" t="s">
        <v>34</v>
      </c>
      <c r="Y66" s="7"/>
      <c r="Z66" s="7"/>
      <c r="AA66" s="7"/>
      <c r="AB66" s="13"/>
      <c r="AC66" s="13"/>
      <c r="AD66" s="13"/>
    </row>
    <row r="67" ht="14.25">
      <c r="A67" s="440" t="s">
        <v>40</v>
      </c>
      <c r="B67" s="4" t="s">
        <v>1</v>
      </c>
      <c r="C67" s="705">
        <v>8</v>
      </c>
      <c r="D67" s="4" t="s">
        <v>1</v>
      </c>
      <c r="E67" s="705">
        <v>8</v>
      </c>
      <c r="F67" s="540" t="s">
        <v>32</v>
      </c>
      <c r="G67" s="540" t="s">
        <v>33</v>
      </c>
      <c r="H67" s="540" t="s">
        <v>32</v>
      </c>
      <c r="I67" s="540" t="s">
        <v>33</v>
      </c>
      <c r="J67" s="540" t="s">
        <v>32</v>
      </c>
      <c r="K67" s="540" t="s">
        <v>33</v>
      </c>
      <c r="L67" s="541"/>
      <c r="M67" s="541"/>
      <c r="N67" s="541"/>
      <c r="O67" s="541"/>
      <c r="P67" s="253">
        <f t="shared" si="140"/>
        <v>40</v>
      </c>
      <c r="Q67" s="62">
        <f t="shared" si="149"/>
        <v>32</v>
      </c>
      <c r="R67" s="461" t="str">
        <f t="shared" si="141"/>
        <v>Душин</v>
      </c>
      <c r="S67" s="76" t="s">
        <v>10</v>
      </c>
      <c r="T67" s="77" t="s">
        <v>9</v>
      </c>
      <c r="U67" s="90">
        <f t="shared" si="144"/>
        <v>0</v>
      </c>
      <c r="V67" s="90">
        <f>COUNTIF(U67,C67)+COUNTIF(U67,E67)+COUNTIF(U67,G67)+COUNTIF(U67,I67)+COUNTIF(U67,K67)+COUNTIF(U67,M67)+COUNTIF(U67,O67)</f>
        <v>0</v>
      </c>
      <c r="W67" s="62"/>
      <c r="X67" s="74" t="s">
        <v>38</v>
      </c>
      <c r="Y67" s="7"/>
      <c r="Z67" s="7"/>
      <c r="AA67" s="7"/>
      <c r="AB67" s="13"/>
      <c r="AC67" s="13"/>
      <c r="AD67" s="13"/>
    </row>
    <row r="68" ht="14.25">
      <c r="A68" s="440" t="s">
        <v>31</v>
      </c>
      <c r="B68" s="540" t="s">
        <v>32</v>
      </c>
      <c r="C68" s="540" t="s">
        <v>33</v>
      </c>
      <c r="D68" s="540" t="s">
        <v>32</v>
      </c>
      <c r="E68" s="540" t="s">
        <v>33</v>
      </c>
      <c r="F68" s="540" t="s">
        <v>32</v>
      </c>
      <c r="G68" s="540" t="s">
        <v>33</v>
      </c>
      <c r="H68" s="540" t="s">
        <v>32</v>
      </c>
      <c r="I68" s="540" t="s">
        <v>33</v>
      </c>
      <c r="J68" s="540" t="s">
        <v>32</v>
      </c>
      <c r="K68" s="540" t="s">
        <v>33</v>
      </c>
      <c r="L68" s="541"/>
      <c r="M68" s="541"/>
      <c r="N68" s="541"/>
      <c r="O68" s="541"/>
      <c r="P68" s="253">
        <f t="shared" si="140"/>
        <v>40</v>
      </c>
      <c r="Q68" s="62">
        <f t="shared" si="149"/>
        <v>32</v>
      </c>
      <c r="R68" s="461" t="str">
        <f t="shared" si="141"/>
        <v>Нетронин</v>
      </c>
      <c r="S68" s="76" t="s">
        <v>58</v>
      </c>
      <c r="T68" s="77" t="s">
        <v>59</v>
      </c>
      <c r="U68" s="90"/>
      <c r="V68" s="62"/>
      <c r="W68" s="62"/>
      <c r="X68" s="74" t="s">
        <v>34</v>
      </c>
      <c r="Y68" s="7"/>
      <c r="Z68" s="7"/>
      <c r="AA68" s="7"/>
      <c r="AB68" s="13"/>
      <c r="AC68" s="13"/>
      <c r="AD68" s="13"/>
    </row>
    <row r="69" ht="14.25">
      <c r="A69" s="440" t="s">
        <v>42</v>
      </c>
      <c r="B69" s="540" t="s">
        <v>32</v>
      </c>
      <c r="C69" s="540" t="s">
        <v>33</v>
      </c>
      <c r="D69" s="540" t="s">
        <v>32</v>
      </c>
      <c r="E69" s="540" t="s">
        <v>33</v>
      </c>
      <c r="F69" s="540" t="s">
        <v>32</v>
      </c>
      <c r="G69" s="540" t="s">
        <v>33</v>
      </c>
      <c r="H69" s="540" t="s">
        <v>32</v>
      </c>
      <c r="I69" s="540" t="s">
        <v>33</v>
      </c>
      <c r="J69" s="540" t="s">
        <v>32</v>
      </c>
      <c r="K69" s="540" t="s">
        <v>33</v>
      </c>
      <c r="L69" s="541"/>
      <c r="M69" s="541"/>
      <c r="N69" s="541"/>
      <c r="O69" s="541"/>
      <c r="P69" s="253">
        <f t="shared" si="140"/>
        <v>40</v>
      </c>
      <c r="Q69" s="62">
        <f t="shared" si="149"/>
        <v>32</v>
      </c>
      <c r="R69" s="461" t="str">
        <f t="shared" si="141"/>
        <v>Юращик</v>
      </c>
      <c r="S69" s="76" t="s">
        <v>10</v>
      </c>
      <c r="T69" s="77" t="s">
        <v>9</v>
      </c>
      <c r="U69" s="90"/>
      <c r="V69" s="62"/>
      <c r="W69" s="62"/>
      <c r="X69" s="74" t="s">
        <v>38</v>
      </c>
      <c r="Y69" s="7"/>
      <c r="Z69" s="7"/>
      <c r="AA69" s="7"/>
      <c r="AB69" s="13"/>
      <c r="AC69" s="13"/>
      <c r="AD69" s="13"/>
    </row>
    <row r="70" ht="14.4" hidden="1">
      <c r="A70" s="361" t="s">
        <v>84</v>
      </c>
      <c r="B70" s="544"/>
      <c r="C70" s="541"/>
      <c r="D70" s="544"/>
      <c r="E70" s="541"/>
      <c r="F70" s="689"/>
      <c r="G70" s="689"/>
      <c r="H70" s="690"/>
      <c r="I70" s="247"/>
      <c r="J70" s="544"/>
      <c r="K70" s="544"/>
      <c r="L70" s="541"/>
      <c r="M70" s="541"/>
      <c r="N70" s="541"/>
      <c r="O70" s="541"/>
      <c r="P70" s="253">
        <f t="shared" si="140"/>
        <v>0</v>
      </c>
      <c r="Q70" s="62" t="e">
        <f t="shared" si="149"/>
        <v>#REF!</v>
      </c>
      <c r="R70" s="461" t="str">
        <f t="shared" si="141"/>
        <v>Будовская</v>
      </c>
      <c r="S70" s="76" t="s">
        <v>10</v>
      </c>
      <c r="T70" s="77" t="s">
        <v>9</v>
      </c>
      <c r="U70" s="90">
        <f t="shared" si="144"/>
        <v>0</v>
      </c>
      <c r="V70" s="62">
        <f t="shared" ref="V70:V94" si="150">COUNTIF(S70,B70)+COUNTIF(S70,D70)+COUNTIF(S70,F70)+COUNTIF(S70,H70)+COUNTIF(S70,J70)+COUNTIF(S70,L70)+COUNTIF(S70,N70)</f>
        <v>0</v>
      </c>
      <c r="W70" s="62"/>
      <c r="X70" s="74" t="s">
        <v>38</v>
      </c>
      <c r="Y70" s="7"/>
      <c r="Z70" s="7"/>
      <c r="AA70" s="7"/>
      <c r="AB70" s="13"/>
      <c r="AC70" s="13"/>
      <c r="AD70" s="13"/>
    </row>
    <row r="71" s="21" customFormat="1" ht="14.25">
      <c r="A71" s="278" t="s">
        <v>43</v>
      </c>
      <c r="B71" s="72" t="s">
        <v>11</v>
      </c>
      <c r="C71" s="656" t="s">
        <v>81</v>
      </c>
      <c r="D71" s="72" t="s">
        <v>71</v>
      </c>
      <c r="E71" s="251" t="s">
        <v>55</v>
      </c>
      <c r="F71" s="658"/>
      <c r="G71" s="706"/>
      <c r="H71" s="72" t="s">
        <v>11</v>
      </c>
      <c r="I71" s="661" t="s">
        <v>81</v>
      </c>
      <c r="J71" s="291"/>
      <c r="K71" s="291"/>
      <c r="L71" s="707"/>
      <c r="M71" s="254"/>
      <c r="N71" s="691"/>
      <c r="O71" s="691"/>
      <c r="P71" s="253">
        <f t="shared" si="140"/>
        <v>31</v>
      </c>
      <c r="Q71" s="62">
        <f t="shared" si="149"/>
        <v>33</v>
      </c>
      <c r="R71" s="461" t="str">
        <f t="shared" si="141"/>
        <v>Дащенко</v>
      </c>
      <c r="S71" s="71" t="s">
        <v>12</v>
      </c>
      <c r="T71" s="72" t="s">
        <v>11</v>
      </c>
      <c r="U71" s="90">
        <f t="shared" si="144"/>
        <v>0</v>
      </c>
      <c r="V71" s="62">
        <f t="shared" si="150"/>
        <v>0</v>
      </c>
      <c r="W71" s="62"/>
      <c r="X71" s="80" t="s">
        <v>44</v>
      </c>
      <c r="Y71" s="7"/>
      <c r="Z71" s="7"/>
      <c r="AA71" s="7"/>
      <c r="AB71" s="13"/>
      <c r="AC71" s="13"/>
      <c r="AD71" s="13"/>
    </row>
    <row r="72" ht="14.25">
      <c r="A72" s="278" t="s">
        <v>45</v>
      </c>
      <c r="B72" s="77" t="s">
        <v>9</v>
      </c>
      <c r="C72" s="708">
        <v>11</v>
      </c>
      <c r="D72" s="67"/>
      <c r="E72" s="709"/>
      <c r="F72" s="87"/>
      <c r="G72" s="87"/>
      <c r="H72" s="710"/>
      <c r="I72" s="711"/>
      <c r="J72" s="76" t="s">
        <v>10</v>
      </c>
      <c r="K72" s="680">
        <v>11</v>
      </c>
      <c r="L72" s="76" t="s">
        <v>10</v>
      </c>
      <c r="M72" s="680">
        <v>11</v>
      </c>
      <c r="N72" s="87"/>
      <c r="O72" s="87"/>
      <c r="P72" s="285">
        <f t="shared" si="140"/>
        <v>33</v>
      </c>
      <c r="Q72" s="62">
        <f t="shared" si="149"/>
        <v>42</v>
      </c>
      <c r="R72" s="461" t="str">
        <f t="shared" si="141"/>
        <v>Пузырь</v>
      </c>
      <c r="S72" s="76" t="s">
        <v>10</v>
      </c>
      <c r="T72" s="77" t="s">
        <v>9</v>
      </c>
      <c r="U72" s="90">
        <f t="shared" si="144"/>
        <v>0</v>
      </c>
      <c r="V72" s="62">
        <f t="shared" si="150"/>
        <v>0</v>
      </c>
      <c r="W72" s="62"/>
      <c r="X72" s="74" t="s">
        <v>34</v>
      </c>
      <c r="Y72" s="7"/>
      <c r="Z72" s="7"/>
      <c r="AA72" s="7"/>
      <c r="AB72" s="13"/>
      <c r="AC72" s="13"/>
      <c r="AD72" s="13"/>
    </row>
    <row r="73" ht="14.25">
      <c r="A73" s="361" t="s">
        <v>46</v>
      </c>
      <c r="B73" s="663"/>
      <c r="C73" s="664"/>
      <c r="D73" s="76" t="s">
        <v>10</v>
      </c>
      <c r="E73" s="665">
        <v>11</v>
      </c>
      <c r="F73" s="76" t="s">
        <v>10</v>
      </c>
      <c r="G73" s="712">
        <v>11</v>
      </c>
      <c r="H73" s="667"/>
      <c r="I73" s="559"/>
      <c r="J73" s="679"/>
      <c r="K73" s="713"/>
      <c r="L73" s="77" t="s">
        <v>9</v>
      </c>
      <c r="M73" s="669">
        <v>11</v>
      </c>
      <c r="N73" s="77" t="s">
        <v>9</v>
      </c>
      <c r="O73" s="714">
        <v>11</v>
      </c>
      <c r="P73" s="253">
        <f t="shared" si="140"/>
        <v>44</v>
      </c>
      <c r="Q73" s="62">
        <f t="shared" si="149"/>
        <v>22</v>
      </c>
      <c r="R73" s="461" t="str">
        <f t="shared" si="141"/>
        <v>Голышев</v>
      </c>
      <c r="S73" s="76" t="s">
        <v>10</v>
      </c>
      <c r="T73" s="77" t="s">
        <v>9</v>
      </c>
      <c r="U73" s="90">
        <f t="shared" si="144"/>
        <v>0</v>
      </c>
      <c r="V73" s="62">
        <f t="shared" si="150"/>
        <v>0</v>
      </c>
      <c r="W73" s="62"/>
      <c r="X73" s="74" t="s">
        <v>34</v>
      </c>
      <c r="Y73" s="7"/>
      <c r="Z73" s="7"/>
      <c r="AA73" s="7"/>
      <c r="AB73" s="13"/>
      <c r="AC73" s="13"/>
      <c r="AD73" s="13"/>
    </row>
    <row r="74" ht="14.25">
      <c r="A74" s="361" t="s">
        <v>47</v>
      </c>
      <c r="B74" s="668"/>
      <c r="C74" s="664"/>
      <c r="D74" s="76" t="s">
        <v>10</v>
      </c>
      <c r="E74" s="665">
        <v>11</v>
      </c>
      <c r="F74" s="76" t="s">
        <v>10</v>
      </c>
      <c r="G74" s="666">
        <v>11</v>
      </c>
      <c r="H74" s="668"/>
      <c r="I74" s="664"/>
      <c r="J74" s="87"/>
      <c r="K74" s="87"/>
      <c r="L74" s="77" t="s">
        <v>9</v>
      </c>
      <c r="M74" s="715">
        <v>11</v>
      </c>
      <c r="N74" s="77" t="s">
        <v>9</v>
      </c>
      <c r="O74" s="716">
        <v>11</v>
      </c>
      <c r="P74" s="253">
        <f t="shared" si="140"/>
        <v>44</v>
      </c>
      <c r="Q74" s="62">
        <f t="shared" si="149"/>
        <v>31</v>
      </c>
      <c r="R74" s="461" t="str">
        <f t="shared" si="141"/>
        <v>Торубара</v>
      </c>
      <c r="S74" s="76" t="s">
        <v>10</v>
      </c>
      <c r="T74" s="77" t="s">
        <v>9</v>
      </c>
      <c r="U74" s="90">
        <f>COUNTIF(T74,B74)+COUNTIF(T74,D74)+COUNTIF(T74,F74)+COUNTIF(T74,H74)+COUNTIF(T74,N74)+COUNTIF(T74,L74)+COUNTIF(T74,#REF!)</f>
        <v>0</v>
      </c>
      <c r="V74" s="62">
        <f>COUNTIF(S74,B74)+COUNTIF(S74,D74)+COUNTIF(S74,F74)+COUNTIF(S74,H74)+COUNTIF(S74,N74)+COUNTIF(S74,L74)+COUNTIF(S74,#REF!)</f>
        <v>0</v>
      </c>
      <c r="W74" s="62"/>
      <c r="X74" s="74" t="s">
        <v>34</v>
      </c>
      <c r="Y74" s="7"/>
      <c r="Z74" s="7"/>
      <c r="AA74" s="7"/>
      <c r="AB74" s="13"/>
      <c r="AC74" s="13"/>
      <c r="AD74" s="13"/>
    </row>
    <row r="75" ht="14.25">
      <c r="A75" s="278" t="s">
        <v>48</v>
      </c>
      <c r="B75" s="71" t="s">
        <v>8</v>
      </c>
      <c r="C75" s="717">
        <v>11</v>
      </c>
      <c r="D75" s="663"/>
      <c r="E75" s="559"/>
      <c r="F75" s="679"/>
      <c r="G75" s="664"/>
      <c r="H75" s="71" t="s">
        <v>8</v>
      </c>
      <c r="I75" s="665">
        <v>11</v>
      </c>
      <c r="J75" s="71" t="s">
        <v>8</v>
      </c>
      <c r="K75" s="357">
        <v>11</v>
      </c>
      <c r="L75" s="663"/>
      <c r="M75" s="559"/>
      <c r="N75" s="663"/>
      <c r="O75" s="718"/>
      <c r="P75" s="253">
        <f t="shared" si="140"/>
        <v>33</v>
      </c>
      <c r="Q75" s="62">
        <f t="shared" si="149"/>
        <v>42</v>
      </c>
      <c r="R75" s="461" t="str">
        <f t="shared" si="141"/>
        <v>Стрыгин</v>
      </c>
      <c r="S75" s="71" t="s">
        <v>8</v>
      </c>
      <c r="T75" s="72" t="s">
        <v>7</v>
      </c>
      <c r="U75" s="90">
        <f>COUNTIF(T75,B75)+COUNTIF(T75,D75)+COUNTIF(T75,F75)+COUNTIF(T75,#REF!)+COUNTIF(T75,H75)+COUNTIF(T75,L75)+COUNTIF(T75,N75)</f>
        <v>0</v>
      </c>
      <c r="V75" s="62">
        <f>COUNTIF(S75,B75)+COUNTIF(S75,D75)+COUNTIF(S75,F75)+COUNTIF(S75,#REF!)+COUNTIF(S75,H75)+COUNTIF(S75,L75)+COUNTIF(S75,N75)</f>
        <v>0</v>
      </c>
      <c r="W75" s="62"/>
      <c r="X75" s="74" t="s">
        <v>49</v>
      </c>
      <c r="Y75" s="7"/>
      <c r="Z75" s="7"/>
      <c r="AA75" s="7"/>
      <c r="AB75" s="13"/>
      <c r="AC75" s="13"/>
      <c r="AD75" s="13"/>
    </row>
    <row r="76" ht="14.25">
      <c r="A76" s="278" t="s">
        <v>50</v>
      </c>
      <c r="B76" s="87"/>
      <c r="C76" s="87"/>
      <c r="D76" s="671"/>
      <c r="E76" s="664"/>
      <c r="F76" s="72" t="s">
        <v>71</v>
      </c>
      <c r="G76" s="669">
        <v>9</v>
      </c>
      <c r="H76" s="72" t="s">
        <v>11</v>
      </c>
      <c r="I76" s="715">
        <v>11</v>
      </c>
      <c r="J76" s="72" t="s">
        <v>11</v>
      </c>
      <c r="K76" s="716">
        <v>11</v>
      </c>
      <c r="L76" s="719"/>
      <c r="M76" s="697"/>
      <c r="N76" s="668"/>
      <c r="O76" s="718"/>
      <c r="P76" s="253">
        <f t="shared" ref="P76:P95" si="151">C76+E76+G76+I76+K76+M76+O76</f>
        <v>31</v>
      </c>
      <c r="Q76" s="62">
        <f t="shared" si="149"/>
        <v>33</v>
      </c>
      <c r="R76" s="461" t="str">
        <f t="shared" ref="R76:R95" si="152">A76</f>
        <v>Фрик</v>
      </c>
      <c r="S76" s="71" t="s">
        <v>12</v>
      </c>
      <c r="T76" s="72" t="s">
        <v>11</v>
      </c>
      <c r="U76" s="90">
        <f t="shared" si="144"/>
        <v>0</v>
      </c>
      <c r="V76" s="62">
        <f t="shared" si="150"/>
        <v>0</v>
      </c>
      <c r="W76" s="62"/>
      <c r="X76" s="74" t="s">
        <v>44</v>
      </c>
      <c r="Y76" s="7"/>
      <c r="Z76" s="7"/>
      <c r="AA76" s="7"/>
      <c r="AB76" s="13"/>
      <c r="AC76" s="13"/>
      <c r="AD76" s="13"/>
    </row>
    <row r="77" ht="14.25">
      <c r="A77" s="576" t="s">
        <v>51</v>
      </c>
      <c r="B77" s="663"/>
      <c r="C77" s="720"/>
      <c r="D77" s="77" t="s">
        <v>9</v>
      </c>
      <c r="E77" s="669">
        <v>11</v>
      </c>
      <c r="F77" s="77" t="s">
        <v>9</v>
      </c>
      <c r="G77" s="699">
        <v>11</v>
      </c>
      <c r="H77" s="663"/>
      <c r="I77" s="559"/>
      <c r="J77" s="663"/>
      <c r="K77" s="664"/>
      <c r="L77" s="76" t="s">
        <v>10</v>
      </c>
      <c r="M77" s="665">
        <v>11</v>
      </c>
      <c r="N77" s="76" t="s">
        <v>10</v>
      </c>
      <c r="O77" s="721">
        <v>11</v>
      </c>
      <c r="P77" s="253">
        <f t="shared" si="151"/>
        <v>44</v>
      </c>
      <c r="Q77" s="62">
        <f t="shared" si="149"/>
        <v>20</v>
      </c>
      <c r="R77" s="461" t="str">
        <f t="shared" si="152"/>
        <v>Истрашкин</v>
      </c>
      <c r="S77" s="71" t="s">
        <v>10</v>
      </c>
      <c r="T77" s="72" t="s">
        <v>9</v>
      </c>
      <c r="U77" s="90">
        <f t="shared" si="144"/>
        <v>0</v>
      </c>
      <c r="V77" s="62">
        <f t="shared" si="150"/>
        <v>0</v>
      </c>
      <c r="W77" s="62"/>
      <c r="X77" s="74" t="s">
        <v>34</v>
      </c>
      <c r="Y77" s="7"/>
      <c r="Z77" s="7"/>
      <c r="AA77" s="7"/>
      <c r="AB77" s="13"/>
      <c r="AC77" s="13"/>
      <c r="AD77" s="13"/>
    </row>
    <row r="78" ht="14.25">
      <c r="A78" s="207"/>
      <c r="B78" s="526">
        <v>46069</v>
      </c>
      <c r="C78" s="528"/>
      <c r="D78" s="500">
        <v>46070</v>
      </c>
      <c r="E78" s="528"/>
      <c r="F78" s="500">
        <v>46071</v>
      </c>
      <c r="G78" s="528"/>
      <c r="H78" s="526">
        <v>46072</v>
      </c>
      <c r="I78" s="528"/>
      <c r="J78" s="526">
        <v>46073</v>
      </c>
      <c r="K78" s="528"/>
      <c r="L78" s="500">
        <v>46074</v>
      </c>
      <c r="M78" s="528"/>
      <c r="N78" s="500">
        <v>46075</v>
      </c>
      <c r="O78" s="528"/>
      <c r="P78" s="253"/>
      <c r="Q78" s="254"/>
      <c r="R78" s="297"/>
      <c r="S78" s="134"/>
      <c r="T78" s="134"/>
      <c r="U78" s="60" t="s">
        <v>27</v>
      </c>
      <c r="V78" s="61" t="s">
        <v>28</v>
      </c>
      <c r="W78" s="62" t="s">
        <v>29</v>
      </c>
      <c r="X78" s="7"/>
      <c r="Y78" s="7"/>
      <c r="Z78" s="7"/>
      <c r="AA78" s="7"/>
      <c r="AB78" s="13"/>
      <c r="AC78" s="13"/>
      <c r="AD78" s="13"/>
    </row>
    <row r="79" ht="14.25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165"/>
      <c r="R79" s="139"/>
      <c r="S79" s="139"/>
      <c r="T79" s="139"/>
      <c r="U79" s="127"/>
      <c r="V79" s="127"/>
      <c r="W79" s="128"/>
      <c r="X79" s="7"/>
      <c r="Y79" s="7"/>
      <c r="Z79" s="7"/>
      <c r="AA79" s="7"/>
      <c r="AB79" s="13"/>
      <c r="AC79" s="13"/>
      <c r="AD79" s="13"/>
    </row>
    <row r="80" ht="14.25">
      <c r="A80" s="143"/>
      <c r="B80" s="214" t="s">
        <v>17</v>
      </c>
      <c r="C80" s="492"/>
      <c r="D80" s="214" t="s">
        <v>18</v>
      </c>
      <c r="E80" s="492"/>
      <c r="F80" s="214" t="s">
        <v>19</v>
      </c>
      <c r="G80" s="214"/>
      <c r="H80" s="214" t="s">
        <v>20</v>
      </c>
      <c r="I80" s="492"/>
      <c r="J80" s="493" t="s">
        <v>21</v>
      </c>
      <c r="K80" s="493"/>
      <c r="L80" s="214" t="s">
        <v>22</v>
      </c>
      <c r="M80" s="214"/>
      <c r="N80" s="214" t="s">
        <v>23</v>
      </c>
      <c r="O80" s="214"/>
      <c r="P80" s="214" t="s">
        <v>24</v>
      </c>
      <c r="Q80" s="214"/>
      <c r="R80" s="117"/>
      <c r="S80" s="143"/>
      <c r="T80" s="143"/>
      <c r="U80" s="62"/>
      <c r="V80" s="62"/>
      <c r="W80" s="62"/>
      <c r="X80" s="51"/>
      <c r="Y80" s="7"/>
      <c r="Z80" s="7"/>
      <c r="AA80" s="7"/>
      <c r="AB80" s="13"/>
      <c r="AC80" s="13"/>
      <c r="AD80" s="13"/>
    </row>
    <row r="81" ht="14.25">
      <c r="A81" s="143"/>
      <c r="B81" s="722">
        <v>46076</v>
      </c>
      <c r="C81" s="723"/>
      <c r="D81" s="526">
        <v>46077</v>
      </c>
      <c r="E81" s="528"/>
      <c r="F81" s="526">
        <v>46078</v>
      </c>
      <c r="G81" s="528"/>
      <c r="H81" s="526">
        <v>46079</v>
      </c>
      <c r="I81" s="528"/>
      <c r="J81" s="526">
        <v>46080</v>
      </c>
      <c r="K81" s="528"/>
      <c r="L81" s="526">
        <v>46081</v>
      </c>
      <c r="M81" s="528"/>
      <c r="N81" s="526">
        <v>46082</v>
      </c>
      <c r="O81" s="528"/>
      <c r="P81" s="213" t="s">
        <v>25</v>
      </c>
      <c r="Q81" s="214" t="s">
        <v>26</v>
      </c>
      <c r="R81" s="287"/>
      <c r="S81" s="141"/>
      <c r="T81" s="141"/>
      <c r="U81" s="60" t="s">
        <v>27</v>
      </c>
      <c r="V81" s="61" t="s">
        <v>28</v>
      </c>
      <c r="W81" s="62" t="s">
        <v>29</v>
      </c>
      <c r="X81" s="63" t="s">
        <v>30</v>
      </c>
      <c r="Y81" s="7"/>
      <c r="Z81" s="7"/>
      <c r="AA81" s="7"/>
      <c r="AB81" s="13"/>
      <c r="AC81" s="13"/>
      <c r="AD81" s="13"/>
    </row>
    <row r="82" ht="14.25">
      <c r="A82" s="440" t="s">
        <v>61</v>
      </c>
      <c r="B82" s="539"/>
      <c r="C82" s="539"/>
      <c r="D82" s="198" t="s">
        <v>32</v>
      </c>
      <c r="E82" s="540" t="s">
        <v>33</v>
      </c>
      <c r="F82" s="198" t="s">
        <v>32</v>
      </c>
      <c r="G82" s="540" t="s">
        <v>33</v>
      </c>
      <c r="H82" s="198" t="s">
        <v>32</v>
      </c>
      <c r="I82" s="540" t="s">
        <v>33</v>
      </c>
      <c r="J82" s="198" t="s">
        <v>32</v>
      </c>
      <c r="K82" s="540" t="s">
        <v>33</v>
      </c>
      <c r="L82" s="273"/>
      <c r="M82" s="641"/>
      <c r="N82" s="273"/>
      <c r="O82" s="641"/>
      <c r="P82" s="504">
        <f t="shared" si="151"/>
        <v>32</v>
      </c>
      <c r="Q82" s="62">
        <f t="shared" si="149"/>
        <v>0</v>
      </c>
      <c r="R82" s="219" t="str">
        <f t="shared" si="152"/>
        <v>Раимова</v>
      </c>
      <c r="S82" s="76" t="s">
        <v>10</v>
      </c>
      <c r="T82" s="77" t="s">
        <v>9</v>
      </c>
      <c r="U82" s="85">
        <f>COUNTIF(T80,B80)+COUNTIF(T80,D80)+COUNTIF(T80,F80)+COUNTIF(T80,H80)+COUNTIF(T80,J80)+COUNTIF(T80,L80)+COUNTIF(T80,N80)</f>
        <v>0</v>
      </c>
      <c r="V82" s="227">
        <f>COUNTIF(S80,B80)+COUNTIF(S80,D80)+COUNTIF(S80,F80)+COUNTIF(S80,H80)+COUNTIF(S80,J80)+COUNTIF(S80,L80)+COUNTIF(S80,N80)</f>
        <v>0</v>
      </c>
      <c r="W82" s="86"/>
      <c r="X82" s="74" t="s">
        <v>34</v>
      </c>
      <c r="Y82" s="7"/>
      <c r="Z82" s="7"/>
      <c r="AA82" s="7"/>
      <c r="AB82" s="13"/>
      <c r="AC82" s="13"/>
      <c r="AD82" s="13"/>
    </row>
    <row r="83" ht="14.25">
      <c r="A83" s="538" t="s">
        <v>35</v>
      </c>
      <c r="B83" s="539"/>
      <c r="C83" s="539"/>
      <c r="D83" s="540" t="s">
        <v>32</v>
      </c>
      <c r="E83" s="540" t="s">
        <v>33</v>
      </c>
      <c r="F83" s="540" t="s">
        <v>32</v>
      </c>
      <c r="G83" s="540" t="s">
        <v>33</v>
      </c>
      <c r="H83" s="540" t="s">
        <v>32</v>
      </c>
      <c r="I83" s="540" t="s">
        <v>33</v>
      </c>
      <c r="J83" s="540" t="s">
        <v>32</v>
      </c>
      <c r="K83" s="540" t="s">
        <v>33</v>
      </c>
      <c r="L83" s="541"/>
      <c r="M83" s="541"/>
      <c r="N83" s="541"/>
      <c r="O83" s="541"/>
      <c r="P83" s="253">
        <f t="shared" si="151"/>
        <v>32</v>
      </c>
      <c r="Q83" s="62">
        <f t="shared" si="149"/>
        <v>-2.5</v>
      </c>
      <c r="R83" s="461" t="str">
        <f t="shared" si="152"/>
        <v>Рычков</v>
      </c>
      <c r="S83" s="76" t="s">
        <v>10</v>
      </c>
      <c r="T83" s="77" t="s">
        <v>9</v>
      </c>
      <c r="U83" s="90">
        <f t="shared" ref="U83:U94" si="153">COUNTIF(T83,B83)+COUNTIF(T83,D83)+COUNTIF(T83,F83)+COUNTIF(T83,H83)+COUNTIF(T83,J83)+COUNTIF(T83,L83)+COUNTIF(T83,N83)</f>
        <v>0</v>
      </c>
      <c r="V83" s="62">
        <f t="shared" si="150"/>
        <v>0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 ht="14.25">
      <c r="A84" s="440" t="s">
        <v>39</v>
      </c>
      <c r="B84" s="539"/>
      <c r="C84" s="539"/>
      <c r="D84" s="540" t="s">
        <v>32</v>
      </c>
      <c r="E84" s="540" t="s">
        <v>33</v>
      </c>
      <c r="F84" s="540" t="s">
        <v>32</v>
      </c>
      <c r="G84" s="540" t="s">
        <v>33</v>
      </c>
      <c r="H84" s="540" t="s">
        <v>32</v>
      </c>
      <c r="I84" s="540" t="s">
        <v>33</v>
      </c>
      <c r="J84" s="540" t="s">
        <v>32</v>
      </c>
      <c r="K84" s="540" t="s">
        <v>33</v>
      </c>
      <c r="L84" s="541"/>
      <c r="M84" s="541"/>
      <c r="N84" s="541"/>
      <c r="O84" s="541"/>
      <c r="P84" s="253">
        <f t="shared" si="151"/>
        <v>32</v>
      </c>
      <c r="Q84" s="62">
        <f t="shared" si="149"/>
        <v>0</v>
      </c>
      <c r="R84" s="461" t="str">
        <f t="shared" si="152"/>
        <v>Игумнов</v>
      </c>
      <c r="S84" s="76" t="s">
        <v>10</v>
      </c>
      <c r="T84" s="77" t="s">
        <v>9</v>
      </c>
      <c r="U84" s="90">
        <f t="shared" si="153"/>
        <v>0</v>
      </c>
      <c r="V84" s="62">
        <f t="shared" si="150"/>
        <v>0</v>
      </c>
      <c r="W84" s="62"/>
      <c r="X84" s="79" t="s">
        <v>34</v>
      </c>
      <c r="Y84" s="7"/>
      <c r="Z84" s="7"/>
      <c r="AA84" s="7"/>
      <c r="AB84" s="13"/>
      <c r="AC84" s="13"/>
      <c r="AD84" s="13"/>
    </row>
    <row r="85" ht="14.25">
      <c r="A85" s="440" t="s">
        <v>40</v>
      </c>
      <c r="B85" s="539"/>
      <c r="C85" s="539"/>
      <c r="D85" s="540" t="s">
        <v>32</v>
      </c>
      <c r="E85" s="540" t="s">
        <v>33</v>
      </c>
      <c r="F85" s="540" t="s">
        <v>32</v>
      </c>
      <c r="G85" s="540" t="s">
        <v>33</v>
      </c>
      <c r="H85" s="540" t="s">
        <v>32</v>
      </c>
      <c r="I85" s="540" t="s">
        <v>33</v>
      </c>
      <c r="J85" s="540" t="s">
        <v>32</v>
      </c>
      <c r="K85" s="540" t="s">
        <v>33</v>
      </c>
      <c r="L85" s="541"/>
      <c r="M85" s="541"/>
      <c r="N85" s="541"/>
      <c r="O85" s="541"/>
      <c r="P85" s="253">
        <f t="shared" si="151"/>
        <v>32</v>
      </c>
      <c r="Q85" s="62">
        <f t="shared" si="149"/>
        <v>0</v>
      </c>
      <c r="R85" s="461" t="str">
        <f t="shared" si="152"/>
        <v>Душин</v>
      </c>
      <c r="S85" s="76" t="s">
        <v>10</v>
      </c>
      <c r="T85" s="77" t="s">
        <v>9</v>
      </c>
      <c r="U85" s="90">
        <f t="shared" si="153"/>
        <v>0</v>
      </c>
      <c r="V85" s="62">
        <f t="shared" si="150"/>
        <v>0</v>
      </c>
      <c r="W85" s="62"/>
      <c r="X85" s="74" t="s">
        <v>38</v>
      </c>
      <c r="Y85" s="7"/>
      <c r="Z85" s="7"/>
      <c r="AA85" s="7"/>
      <c r="AB85" s="13"/>
      <c r="AC85" s="13"/>
      <c r="AD85" s="13"/>
    </row>
    <row r="86" ht="14.25">
      <c r="A86" s="440" t="s">
        <v>31</v>
      </c>
      <c r="B86" s="539"/>
      <c r="C86" s="539"/>
      <c r="D86" s="540" t="s">
        <v>32</v>
      </c>
      <c r="E86" s="540" t="s">
        <v>33</v>
      </c>
      <c r="F86" s="540" t="s">
        <v>32</v>
      </c>
      <c r="G86" s="540" t="s">
        <v>33</v>
      </c>
      <c r="H86" s="540" t="s">
        <v>32</v>
      </c>
      <c r="I86" s="540" t="s">
        <v>33</v>
      </c>
      <c r="J86" s="540" t="s">
        <v>32</v>
      </c>
      <c r="K86" s="540" t="s">
        <v>33</v>
      </c>
      <c r="L86" s="541"/>
      <c r="M86" s="541"/>
      <c r="N86" s="541"/>
      <c r="O86" s="541"/>
      <c r="P86" s="253">
        <f t="shared" si="151"/>
        <v>32</v>
      </c>
      <c r="Q86" s="62">
        <f t="shared" si="149"/>
        <v>0</v>
      </c>
      <c r="R86" s="461" t="str">
        <f t="shared" si="152"/>
        <v>Нетронин</v>
      </c>
      <c r="S86" s="76" t="s">
        <v>58</v>
      </c>
      <c r="T86" s="77" t="s">
        <v>59</v>
      </c>
      <c r="U86" s="90"/>
      <c r="V86" s="62"/>
      <c r="W86" s="62"/>
      <c r="X86" s="74" t="s">
        <v>34</v>
      </c>
      <c r="Y86" s="7"/>
      <c r="Z86" s="7"/>
      <c r="AA86" s="7"/>
      <c r="AB86" s="13"/>
      <c r="AC86" s="13"/>
      <c r="AD86" s="13"/>
    </row>
    <row r="87" ht="14.25">
      <c r="A87" s="440" t="s">
        <v>42</v>
      </c>
      <c r="B87" s="539"/>
      <c r="C87" s="539"/>
      <c r="D87" s="540" t="s">
        <v>32</v>
      </c>
      <c r="E87" s="540" t="s">
        <v>33</v>
      </c>
      <c r="F87" s="540" t="s">
        <v>32</v>
      </c>
      <c r="G87" s="540" t="s">
        <v>33</v>
      </c>
      <c r="H87" s="540" t="s">
        <v>32</v>
      </c>
      <c r="I87" s="540" t="s">
        <v>33</v>
      </c>
      <c r="J87" s="540" t="s">
        <v>32</v>
      </c>
      <c r="K87" s="540" t="s">
        <v>33</v>
      </c>
      <c r="L87" s="541"/>
      <c r="M87" s="541"/>
      <c r="N87" s="541"/>
      <c r="O87" s="541"/>
      <c r="P87" s="253">
        <f t="shared" si="151"/>
        <v>32</v>
      </c>
      <c r="Q87" s="62">
        <f t="shared" si="149"/>
        <v>0</v>
      </c>
      <c r="R87" s="461" t="str">
        <f t="shared" si="152"/>
        <v>Юращик</v>
      </c>
      <c r="S87" s="76" t="s">
        <v>10</v>
      </c>
      <c r="T87" s="77" t="s">
        <v>9</v>
      </c>
      <c r="U87" s="90"/>
      <c r="V87" s="62"/>
      <c r="W87" s="62"/>
      <c r="X87" s="74" t="s">
        <v>38</v>
      </c>
      <c r="Y87" s="7"/>
      <c r="Z87" s="7"/>
      <c r="AA87" s="7"/>
      <c r="AB87" s="13"/>
      <c r="AC87" s="13"/>
      <c r="AD87" s="13"/>
    </row>
    <row r="88" ht="14.4" hidden="1">
      <c r="A88" s="361" t="s">
        <v>84</v>
      </c>
      <c r="B88" s="690"/>
      <c r="C88" s="247"/>
      <c r="D88" s="691"/>
      <c r="E88" s="254"/>
      <c r="F88" s="254"/>
      <c r="G88" s="254"/>
      <c r="H88" s="690"/>
      <c r="I88" s="690"/>
      <c r="J88" s="692"/>
      <c r="K88" s="637"/>
      <c r="L88" s="691"/>
      <c r="M88" s="254"/>
      <c r="N88" s="254"/>
      <c r="O88" s="254"/>
      <c r="P88" s="253">
        <f t="shared" si="151"/>
        <v>0</v>
      </c>
      <c r="Q88" s="62" t="e">
        <f t="shared" si="149"/>
        <v>#REF!</v>
      </c>
      <c r="R88" s="461" t="str">
        <f t="shared" si="152"/>
        <v>Будовская</v>
      </c>
      <c r="S88" s="76" t="s">
        <v>10</v>
      </c>
      <c r="T88" s="77" t="s">
        <v>9</v>
      </c>
      <c r="U88" s="90">
        <f t="shared" si="153"/>
        <v>0</v>
      </c>
      <c r="V88" s="62">
        <f t="shared" si="150"/>
        <v>0</v>
      </c>
      <c r="W88" s="62"/>
      <c r="X88" s="74" t="s">
        <v>38</v>
      </c>
      <c r="Y88" s="7"/>
      <c r="Z88" s="7"/>
      <c r="AA88" s="7"/>
      <c r="AB88" s="13"/>
      <c r="AC88" s="13"/>
      <c r="AD88" s="13"/>
    </row>
    <row r="89" s="21" customFormat="1" ht="14.25">
      <c r="A89" s="278" t="s">
        <v>43</v>
      </c>
      <c r="B89" s="72" t="s">
        <v>11</v>
      </c>
      <c r="C89" s="656" t="s">
        <v>81</v>
      </c>
      <c r="D89" s="465"/>
      <c r="E89" s="724"/>
      <c r="F89" s="658"/>
      <c r="G89" s="706"/>
      <c r="H89" s="87"/>
      <c r="I89" s="87"/>
      <c r="J89" s="71" t="s">
        <v>12</v>
      </c>
      <c r="K89" s="725" t="s">
        <v>81</v>
      </c>
      <c r="L89" s="71" t="s">
        <v>12</v>
      </c>
      <c r="M89" s="726" t="s">
        <v>81</v>
      </c>
      <c r="N89" s="254"/>
      <c r="O89" s="254"/>
      <c r="P89" s="253">
        <f t="shared" si="151"/>
        <v>33</v>
      </c>
      <c r="Q89" s="62">
        <f t="shared" si="149"/>
        <v>0</v>
      </c>
      <c r="R89" s="461" t="str">
        <f t="shared" si="152"/>
        <v>Дащенко</v>
      </c>
      <c r="S89" s="71" t="s">
        <v>12</v>
      </c>
      <c r="T89" s="72" t="s">
        <v>11</v>
      </c>
      <c r="U89" s="90">
        <f t="shared" si="153"/>
        <v>0</v>
      </c>
      <c r="V89" s="62">
        <f t="shared" si="150"/>
        <v>0</v>
      </c>
      <c r="W89" s="62"/>
      <c r="X89" s="80" t="s">
        <v>44</v>
      </c>
      <c r="Y89" s="7"/>
      <c r="Z89" s="7"/>
      <c r="AA89" s="7"/>
      <c r="AB89" s="13"/>
      <c r="AC89" s="13"/>
      <c r="AD89" s="13"/>
    </row>
    <row r="90" ht="14.25">
      <c r="A90" s="278" t="s">
        <v>45</v>
      </c>
      <c r="B90" s="77" t="s">
        <v>9</v>
      </c>
      <c r="C90" s="704">
        <v>11</v>
      </c>
      <c r="D90" s="77" t="s">
        <v>32</v>
      </c>
      <c r="E90" s="727">
        <v>9</v>
      </c>
      <c r="F90" s="87"/>
      <c r="G90" s="87"/>
      <c r="H90" s="77" t="s">
        <v>9</v>
      </c>
      <c r="I90" s="728">
        <v>11</v>
      </c>
      <c r="J90" s="77" t="s">
        <v>9</v>
      </c>
      <c r="K90" s="699">
        <v>11</v>
      </c>
      <c r="L90" s="663"/>
      <c r="M90" s="559"/>
      <c r="N90" s="729"/>
      <c r="O90" s="730"/>
      <c r="P90" s="253">
        <f t="shared" si="151"/>
        <v>42</v>
      </c>
      <c r="Q90" s="62">
        <f t="shared" si="149"/>
        <v>0</v>
      </c>
      <c r="R90" s="461" t="str">
        <f t="shared" si="152"/>
        <v>Пузырь</v>
      </c>
      <c r="S90" s="76" t="s">
        <v>10</v>
      </c>
      <c r="T90" s="77" t="s">
        <v>9</v>
      </c>
      <c r="U90" s="90">
        <f t="shared" si="153"/>
        <v>0</v>
      </c>
      <c r="V90" s="62">
        <f t="shared" si="150"/>
        <v>0</v>
      </c>
      <c r="W90" s="62"/>
      <c r="X90" s="74" t="s">
        <v>34</v>
      </c>
      <c r="Y90" s="7"/>
      <c r="Z90" s="7"/>
      <c r="AA90" s="7"/>
      <c r="AB90" s="13"/>
      <c r="AC90" s="13"/>
      <c r="AD90" s="13"/>
    </row>
    <row r="91" ht="14.25">
      <c r="A91" s="278" t="s">
        <v>46</v>
      </c>
      <c r="B91" s="562"/>
      <c r="C91" s="330"/>
      <c r="D91" s="562"/>
      <c r="E91" s="731"/>
      <c r="F91" s="76" t="s">
        <v>10</v>
      </c>
      <c r="G91" s="695">
        <v>11</v>
      </c>
      <c r="H91" s="76" t="s">
        <v>10</v>
      </c>
      <c r="I91" s="717">
        <v>11</v>
      </c>
      <c r="J91" s="663"/>
      <c r="K91" s="559"/>
      <c r="L91" s="668"/>
      <c r="M91" s="559"/>
      <c r="N91" s="732"/>
      <c r="O91" s="733"/>
      <c r="P91" s="253">
        <f t="shared" si="151"/>
        <v>22</v>
      </c>
      <c r="Q91" s="62">
        <f t="shared" si="149"/>
        <v>0</v>
      </c>
      <c r="R91" s="461" t="str">
        <f t="shared" si="152"/>
        <v>Голышев</v>
      </c>
      <c r="S91" s="76" t="s">
        <v>10</v>
      </c>
      <c r="T91" s="77" t="s">
        <v>9</v>
      </c>
      <c r="U91" s="90">
        <f t="shared" si="153"/>
        <v>0</v>
      </c>
      <c r="V91" s="62">
        <f t="shared" si="150"/>
        <v>0</v>
      </c>
      <c r="W91" s="62"/>
      <c r="X91" s="74" t="s">
        <v>34</v>
      </c>
      <c r="Y91" s="7"/>
      <c r="Z91" s="7"/>
      <c r="AA91" s="7"/>
      <c r="AB91" s="13"/>
      <c r="AC91" s="13"/>
      <c r="AD91" s="13"/>
    </row>
    <row r="92" ht="14.25">
      <c r="A92" s="278" t="s">
        <v>47</v>
      </c>
      <c r="B92" s="562"/>
      <c r="C92" s="330"/>
      <c r="D92" s="87"/>
      <c r="E92" s="87"/>
      <c r="F92" s="77" t="s">
        <v>32</v>
      </c>
      <c r="G92" s="669">
        <v>9</v>
      </c>
      <c r="H92" s="77" t="s">
        <v>9</v>
      </c>
      <c r="I92" s="329">
        <v>11</v>
      </c>
      <c r="J92" s="671"/>
      <c r="K92" s="664"/>
      <c r="L92" s="77" t="s">
        <v>9</v>
      </c>
      <c r="M92" s="699">
        <v>11</v>
      </c>
      <c r="N92" s="734"/>
      <c r="O92" s="735"/>
      <c r="P92" s="253">
        <f t="shared" si="151"/>
        <v>31</v>
      </c>
      <c r="Q92" s="62">
        <f t="shared" si="149"/>
        <v>0</v>
      </c>
      <c r="R92" s="461" t="str">
        <f t="shared" si="152"/>
        <v>Торубара</v>
      </c>
      <c r="S92" s="76" t="s">
        <v>10</v>
      </c>
      <c r="T92" s="77" t="s">
        <v>9</v>
      </c>
      <c r="U92" s="90">
        <f>COUNTIF(T92,B92)+COUNTIF(T92,H92)+COUNTIF(T92,F92)+COUNTIF(T92,#REF!)+COUNTIF(T92,J92)+COUNTIF(T92,L92)+COUNTIF(T92,N92)</f>
        <v>0</v>
      </c>
      <c r="V92" s="62">
        <f>COUNTIF(S92,B92)+COUNTIF(S92,H92)+COUNTIF(S92,F92)+COUNTIF(S92,#REF!)+COUNTIF(S92,J92)+COUNTIF(S92,L92)+COUNTIF(S92,N92)</f>
        <v>0</v>
      </c>
      <c r="W92" s="62"/>
      <c r="X92" s="74" t="s">
        <v>34</v>
      </c>
      <c r="Y92" s="7"/>
      <c r="Z92" s="7"/>
      <c r="AA92" s="7"/>
      <c r="AB92" s="13"/>
      <c r="AC92" s="13"/>
      <c r="AD92" s="13"/>
    </row>
    <row r="93" ht="14.25">
      <c r="A93" s="278" t="s">
        <v>48</v>
      </c>
      <c r="B93" s="71" t="s">
        <v>8</v>
      </c>
      <c r="C93" s="324">
        <v>11</v>
      </c>
      <c r="D93" s="71" t="s">
        <v>8</v>
      </c>
      <c r="E93" s="324">
        <v>11</v>
      </c>
      <c r="F93" s="736"/>
      <c r="G93" s="559"/>
      <c r="H93" s="663"/>
      <c r="I93" s="720"/>
      <c r="J93" s="72" t="s">
        <v>54</v>
      </c>
      <c r="K93" s="669">
        <v>9</v>
      </c>
      <c r="L93" s="72" t="s">
        <v>7</v>
      </c>
      <c r="M93" s="699">
        <v>11</v>
      </c>
      <c r="N93" s="737"/>
      <c r="O93" s="280"/>
      <c r="P93" s="253">
        <f t="shared" si="151"/>
        <v>42</v>
      </c>
      <c r="Q93" s="62">
        <f t="shared" si="149"/>
        <v>0</v>
      </c>
      <c r="R93" s="461" t="str">
        <f t="shared" si="152"/>
        <v>Стрыгин</v>
      </c>
      <c r="S93" s="71" t="s">
        <v>8</v>
      </c>
      <c r="T93" s="72" t="s">
        <v>7</v>
      </c>
      <c r="U93" s="90">
        <f t="shared" si="153"/>
        <v>0</v>
      </c>
      <c r="V93" s="62">
        <f t="shared" si="150"/>
        <v>0</v>
      </c>
      <c r="W93" s="62"/>
      <c r="X93" s="74" t="s">
        <v>49</v>
      </c>
      <c r="Y93" s="7"/>
      <c r="Z93" s="7"/>
      <c r="AA93" s="7"/>
      <c r="AB93" s="13"/>
      <c r="AC93" s="13"/>
      <c r="AD93" s="13"/>
    </row>
    <row r="94" ht="14.25">
      <c r="A94" s="278" t="s">
        <v>50</v>
      </c>
      <c r="B94" s="87"/>
      <c r="C94" s="87"/>
      <c r="D94" s="87"/>
      <c r="E94" s="291"/>
      <c r="F94" s="72" t="s">
        <v>11</v>
      </c>
      <c r="G94" s="699">
        <v>11</v>
      </c>
      <c r="H94" s="668"/>
      <c r="I94" s="713"/>
      <c r="J94" s="71" t="s">
        <v>12</v>
      </c>
      <c r="K94" s="665">
        <v>11</v>
      </c>
      <c r="L94" s="71" t="s">
        <v>12</v>
      </c>
      <c r="M94" s="666">
        <v>11</v>
      </c>
      <c r="N94" s="737"/>
      <c r="O94" s="280"/>
      <c r="P94" s="253">
        <f t="shared" si="151"/>
        <v>33</v>
      </c>
      <c r="Q94" s="62">
        <f t="shared" si="149"/>
        <v>0</v>
      </c>
      <c r="R94" s="461" t="str">
        <f t="shared" si="152"/>
        <v>Фрик</v>
      </c>
      <c r="S94" s="71" t="s">
        <v>12</v>
      </c>
      <c r="T94" s="72" t="s">
        <v>11</v>
      </c>
      <c r="U94" s="90">
        <f t="shared" si="153"/>
        <v>0</v>
      </c>
      <c r="V94" s="62">
        <f t="shared" si="150"/>
        <v>0</v>
      </c>
      <c r="W94" s="62"/>
      <c r="X94" s="74" t="s">
        <v>44</v>
      </c>
      <c r="Y94" s="7"/>
      <c r="Z94" s="7"/>
      <c r="AA94" s="7"/>
      <c r="AB94" s="13"/>
      <c r="AC94" s="13"/>
      <c r="AD94" s="13"/>
    </row>
    <row r="95" ht="14.25">
      <c r="A95" s="576" t="s">
        <v>51</v>
      </c>
      <c r="B95" s="663"/>
      <c r="C95" s="720"/>
      <c r="D95" s="87"/>
      <c r="E95" s="87"/>
      <c r="F95" s="76" t="s">
        <v>85</v>
      </c>
      <c r="G95" s="738">
        <v>9</v>
      </c>
      <c r="H95" s="76" t="s">
        <v>10</v>
      </c>
      <c r="I95" s="739">
        <v>11</v>
      </c>
      <c r="J95" s="674"/>
      <c r="K95" s="559"/>
      <c r="L95" s="663"/>
      <c r="M95" s="559"/>
      <c r="N95" s="732"/>
      <c r="O95" s="733"/>
      <c r="P95" s="253">
        <f t="shared" si="151"/>
        <v>20</v>
      </c>
      <c r="Q95" s="62">
        <f t="shared" si="149"/>
        <v>0</v>
      </c>
      <c r="R95" s="461" t="str">
        <f t="shared" si="152"/>
        <v>Истрашкин</v>
      </c>
      <c r="S95" s="71" t="s">
        <v>10</v>
      </c>
      <c r="T95" s="72" t="s">
        <v>9</v>
      </c>
      <c r="U95" s="90">
        <f>COUNTIF(T95,B95)+COUNTIF(T95,#REF!)+COUNTIF(T95,D95)+COUNTIF(T95,F95)+COUNTIF(T95,J95)+COUNTIF(T95,L95)+COUNTIF(T95,N95)</f>
        <v>0</v>
      </c>
      <c r="V95" s="62">
        <f>COUNTIF(S95,B95)+COUNTIF(S95,#REF!)+COUNTIF(S95,D95)+COUNTIF(S95,F95)+COUNTIF(S95,J95)+COUNTIF(S95,L95)+COUNTIF(S95,N95)</f>
        <v>0</v>
      </c>
      <c r="W95" s="62"/>
      <c r="X95" s="74" t="s">
        <v>34</v>
      </c>
      <c r="Y95" s="7"/>
      <c r="Z95" s="7"/>
      <c r="AA95" s="7"/>
      <c r="AB95" s="13"/>
      <c r="AC95" s="13"/>
      <c r="AD95" s="13"/>
    </row>
    <row r="96" ht="14.25">
      <c r="A96" s="207"/>
      <c r="B96" s="722">
        <v>46076</v>
      </c>
      <c r="C96" s="723"/>
      <c r="D96" s="500">
        <v>46077</v>
      </c>
      <c r="E96" s="686"/>
      <c r="F96" s="500">
        <v>46078</v>
      </c>
      <c r="G96" s="528"/>
      <c r="H96" s="500">
        <v>46079</v>
      </c>
      <c r="I96" s="686"/>
      <c r="J96" s="526">
        <v>46080</v>
      </c>
      <c r="K96" s="528"/>
      <c r="L96" s="526">
        <v>46081</v>
      </c>
      <c r="M96" s="528"/>
      <c r="N96" s="526">
        <v>46082</v>
      </c>
      <c r="O96" s="528"/>
      <c r="P96" s="253"/>
      <c r="Q96" s="254"/>
      <c r="R96" s="297"/>
      <c r="S96" s="134"/>
      <c r="T96" s="134"/>
      <c r="U96" s="60" t="s">
        <v>27</v>
      </c>
      <c r="V96" s="61" t="s">
        <v>28</v>
      </c>
      <c r="W96" s="62" t="s">
        <v>29</v>
      </c>
      <c r="X96" s="7"/>
      <c r="Y96" s="7"/>
      <c r="Z96" s="7"/>
      <c r="AA96" s="7"/>
      <c r="AB96" s="13"/>
      <c r="AC96" s="13"/>
      <c r="AD96" s="13"/>
    </row>
    <row r="97" ht="14.25">
      <c r="A97" s="13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139"/>
      <c r="Q97" s="127"/>
      <c r="R97" s="139"/>
      <c r="S97" s="139"/>
      <c r="T97" s="139"/>
      <c r="U97" s="127"/>
      <c r="V97" s="127"/>
      <c r="W97" s="128"/>
      <c r="X97" s="7"/>
      <c r="Y97" s="7"/>
      <c r="Z97" s="7"/>
      <c r="AA97" s="7"/>
      <c r="AB97" s="13"/>
      <c r="AC97" s="13"/>
      <c r="AD97" s="13"/>
    </row>
    <row r="98" ht="14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53"/>
      <c r="R98" s="7"/>
      <c r="S98" s="7"/>
      <c r="T98" s="7"/>
      <c r="U98" s="153"/>
      <c r="V98" s="153"/>
      <c r="W98" s="12"/>
      <c r="X98" s="7"/>
      <c r="Y98" s="7"/>
      <c r="Z98" s="7"/>
      <c r="AA98" s="7"/>
      <c r="AB98" s="13"/>
      <c r="AC98" s="13"/>
      <c r="AD98" s="13"/>
    </row>
    <row r="99" ht="14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153"/>
      <c r="R99" s="7"/>
      <c r="S99" s="7"/>
      <c r="T99" s="7"/>
      <c r="U99" s="153"/>
      <c r="V99" s="153"/>
      <c r="W99" s="12"/>
      <c r="X99" s="7"/>
      <c r="Y99" s="7"/>
      <c r="Z99" s="7"/>
      <c r="AA99" s="7"/>
      <c r="AB99" s="13"/>
      <c r="AC99" s="13"/>
      <c r="AD99" s="13"/>
    </row>
    <row r="100" ht="14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 ht="14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 ht="14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 ht="14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 ht="14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 ht="14.4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 ht="14.4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 ht="14.4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 ht="14.4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 ht="14.4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 ht="14.4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 ht="14.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153"/>
      <c r="R654" s="7"/>
      <c r="S654" s="7"/>
      <c r="T654" s="7"/>
      <c r="U654" s="153"/>
      <c r="V654" s="153"/>
      <c r="W654" s="12"/>
      <c r="X654" s="7"/>
      <c r="Y654" s="7"/>
      <c r="Z654" s="7"/>
      <c r="AA654" s="7"/>
      <c r="AB654" s="13"/>
      <c r="AC654" s="13"/>
      <c r="AD654" s="13"/>
    </row>
    <row r="655" ht="14.4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153"/>
      <c r="R655" s="7"/>
      <c r="S655" s="7"/>
      <c r="T655" s="7"/>
      <c r="U655" s="153"/>
      <c r="V655" s="153"/>
      <c r="W655" s="12"/>
      <c r="X655" s="7"/>
      <c r="Y655" s="7"/>
      <c r="Z655" s="7"/>
      <c r="AA655" s="7"/>
      <c r="AB655" s="13"/>
      <c r="AC655" s="13"/>
      <c r="AD655" s="13"/>
    </row>
    <row r="656" ht="14.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7"/>
      <c r="Q656" s="153"/>
      <c r="R656" s="7"/>
      <c r="S656" s="7"/>
      <c r="T656" s="7"/>
      <c r="U656" s="153"/>
      <c r="V656" s="153"/>
      <c r="W656" s="12"/>
      <c r="X656" s="7"/>
      <c r="Y656" s="7"/>
      <c r="Z656" s="7"/>
      <c r="AA656" s="7"/>
      <c r="AB656" s="13"/>
      <c r="AC656" s="13"/>
      <c r="AD656" s="13"/>
    </row>
    <row r="657" ht="14.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7"/>
      <c r="Q657" s="153"/>
      <c r="R657" s="7"/>
      <c r="S657" s="7"/>
      <c r="T657" s="7"/>
      <c r="U657" s="153"/>
      <c r="V657" s="153"/>
      <c r="W657" s="12"/>
      <c r="X657" s="7"/>
      <c r="Y657" s="7"/>
      <c r="Z657" s="7"/>
      <c r="AA657" s="7"/>
      <c r="AB657" s="13"/>
      <c r="AC657" s="13"/>
      <c r="AD657" s="13"/>
    </row>
    <row r="658" ht="14.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7"/>
      <c r="Q658" s="153"/>
      <c r="R658" s="7"/>
      <c r="S658" s="7"/>
      <c r="T658" s="7"/>
      <c r="U658" s="153"/>
      <c r="V658" s="153"/>
      <c r="W658" s="12"/>
      <c r="X658" s="7"/>
      <c r="Y658" s="7"/>
      <c r="Z658" s="7"/>
      <c r="AA658" s="7"/>
      <c r="AB658" s="13"/>
      <c r="AC658" s="13"/>
      <c r="AD658" s="13"/>
    </row>
    <row r="659" ht="14.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7"/>
      <c r="Q659" s="153"/>
      <c r="R659" s="7"/>
      <c r="S659" s="7"/>
      <c r="T659" s="7"/>
      <c r="U659" s="153"/>
      <c r="V659" s="153"/>
      <c r="W659" s="12"/>
      <c r="X659" s="7"/>
      <c r="Y659" s="7"/>
      <c r="Z659" s="7"/>
      <c r="AA659" s="7"/>
      <c r="AB659" s="13"/>
      <c r="AC659" s="13"/>
      <c r="AD659" s="13"/>
    </row>
    <row r="660" ht="14.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7"/>
      <c r="Q660" s="153"/>
      <c r="R660" s="7"/>
      <c r="S660" s="7"/>
      <c r="T660" s="7"/>
      <c r="U660" s="153"/>
      <c r="V660" s="153"/>
      <c r="W660" s="12"/>
      <c r="X660" s="7"/>
      <c r="Y660" s="7"/>
      <c r="Z660" s="7"/>
      <c r="AA660" s="7"/>
      <c r="AB660" s="13"/>
      <c r="AC660" s="13"/>
      <c r="AD660" s="13"/>
    </row>
    <row r="661" ht="14.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7"/>
      <c r="Q661" s="153"/>
      <c r="R661" s="7"/>
      <c r="S661" s="7"/>
      <c r="T661" s="7"/>
      <c r="U661" s="153"/>
      <c r="V661" s="153"/>
      <c r="W661" s="12"/>
      <c r="X661" s="7"/>
      <c r="Y661" s="7"/>
      <c r="Z661" s="7"/>
      <c r="AA661" s="7"/>
      <c r="AB661" s="13"/>
      <c r="AC661" s="13"/>
      <c r="AD661" s="13"/>
    </row>
    <row r="662" ht="14.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7"/>
      <c r="Q662" s="153"/>
      <c r="R662" s="7"/>
      <c r="S662" s="7"/>
      <c r="T662" s="7"/>
      <c r="U662" s="153"/>
      <c r="V662" s="153"/>
      <c r="W662" s="12"/>
      <c r="X662" s="7"/>
      <c r="Y662" s="7"/>
      <c r="Z662" s="7"/>
      <c r="AA662" s="7"/>
      <c r="AB662" s="13"/>
      <c r="AC662" s="13"/>
      <c r="AD662" s="13"/>
    </row>
    <row r="663" ht="14.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7"/>
      <c r="Q663" s="153"/>
      <c r="R663" s="7"/>
      <c r="S663" s="7"/>
      <c r="T663" s="7"/>
      <c r="U663" s="153"/>
      <c r="V663" s="153"/>
      <c r="W663" s="12"/>
      <c r="X663" s="7"/>
      <c r="Y663" s="7"/>
      <c r="Z663" s="7"/>
      <c r="AA663" s="7"/>
      <c r="AB663" s="13"/>
      <c r="AC663" s="13"/>
      <c r="AD663" s="13"/>
    </row>
    <row r="664" ht="14.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7"/>
      <c r="Q664" s="153"/>
      <c r="R664" s="7"/>
      <c r="S664" s="7"/>
      <c r="T664" s="7"/>
      <c r="U664" s="153"/>
      <c r="V664" s="153"/>
      <c r="W664" s="12"/>
      <c r="X664" s="7"/>
      <c r="Y664" s="7"/>
      <c r="Z664" s="7"/>
      <c r="AA664" s="7"/>
      <c r="AB664" s="13"/>
      <c r="AC664" s="13"/>
      <c r="AD664" s="13"/>
    </row>
    <row r="665" ht="14.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7"/>
      <c r="Q665" s="153"/>
      <c r="R665" s="7"/>
      <c r="S665" s="7"/>
      <c r="T665" s="7"/>
      <c r="U665" s="153"/>
      <c r="V665" s="153"/>
      <c r="W665" s="12"/>
      <c r="X665" s="7"/>
      <c r="Y665" s="7"/>
      <c r="Z665" s="7"/>
      <c r="AA665" s="7"/>
      <c r="AB665" s="13"/>
      <c r="AC665" s="13"/>
      <c r="AD665" s="13"/>
    </row>
    <row r="666" ht="14.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7"/>
      <c r="Q666" s="153"/>
      <c r="R666" s="7"/>
      <c r="S666" s="7"/>
      <c r="T666" s="7"/>
      <c r="U666" s="153"/>
      <c r="V666" s="153"/>
      <c r="W666" s="12"/>
      <c r="X666" s="7"/>
      <c r="Y666" s="7"/>
      <c r="Z666" s="7"/>
      <c r="AA666" s="7"/>
      <c r="AB666" s="13"/>
      <c r="AC666" s="13"/>
      <c r="AD666" s="13"/>
    </row>
    <row r="667" ht="14.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7"/>
      <c r="Q667" s="153"/>
      <c r="R667" s="7"/>
      <c r="S667" s="7"/>
      <c r="T667" s="7"/>
      <c r="U667" s="153"/>
      <c r="V667" s="153"/>
      <c r="W667" s="12"/>
      <c r="X667" s="7"/>
      <c r="Y667" s="7"/>
      <c r="Z667" s="7"/>
      <c r="AA667" s="7"/>
      <c r="AB667" s="13"/>
      <c r="AC667" s="13"/>
      <c r="AD667" s="13"/>
    </row>
    <row r="668" ht="14.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7"/>
      <c r="Q668" s="153"/>
      <c r="R668" s="7"/>
      <c r="S668" s="7"/>
      <c r="T668" s="7"/>
      <c r="U668" s="153"/>
      <c r="V668" s="153"/>
      <c r="W668" s="12"/>
      <c r="X668" s="7"/>
      <c r="Y668" s="7"/>
      <c r="Z668" s="7"/>
      <c r="AA668" s="7"/>
      <c r="AB668" s="13"/>
      <c r="AC668" s="13"/>
      <c r="AD668" s="13"/>
    </row>
    <row r="669" ht="14.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7"/>
      <c r="Q669" s="153"/>
      <c r="R669" s="7"/>
      <c r="S669" s="7"/>
      <c r="T669" s="7"/>
      <c r="U669" s="153"/>
      <c r="V669" s="153"/>
      <c r="W669" s="12"/>
      <c r="X669" s="7"/>
      <c r="Y669" s="7"/>
      <c r="Z669" s="7"/>
      <c r="AA669" s="7"/>
      <c r="AB669" s="13"/>
      <c r="AC669" s="13"/>
      <c r="AD669" s="13"/>
    </row>
    <row r="670" ht="14.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7"/>
      <c r="Q670" s="153"/>
      <c r="R670" s="7"/>
      <c r="S670" s="7"/>
      <c r="T670" s="7"/>
      <c r="U670" s="153"/>
      <c r="V670" s="153"/>
      <c r="W670" s="12"/>
      <c r="X670" s="7"/>
      <c r="Y670" s="7"/>
      <c r="Z670" s="7"/>
      <c r="AA670" s="7"/>
      <c r="AB670" s="13"/>
      <c r="AC670" s="13"/>
      <c r="AD670" s="13"/>
    </row>
    <row r="671" ht="14.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7"/>
      <c r="Q671" s="153"/>
      <c r="R671" s="7"/>
      <c r="S671" s="7"/>
      <c r="T671" s="7"/>
      <c r="U671" s="153"/>
      <c r="V671" s="153"/>
      <c r="W671" s="12"/>
      <c r="X671" s="7"/>
      <c r="Y671" s="7"/>
      <c r="Z671" s="7"/>
      <c r="AA671" s="7"/>
      <c r="AB671" s="13"/>
      <c r="AC671" s="13"/>
      <c r="AD671" s="13"/>
    </row>
    <row r="672" ht="14.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7"/>
      <c r="Q672" s="153"/>
      <c r="R672" s="7"/>
      <c r="S672" s="7"/>
      <c r="T672" s="7"/>
      <c r="U672" s="153"/>
      <c r="V672" s="153"/>
      <c r="W672" s="12"/>
      <c r="X672" s="7"/>
      <c r="Y672" s="7"/>
      <c r="Z672" s="7"/>
      <c r="AA672" s="7"/>
      <c r="AB672" s="13"/>
      <c r="AC672" s="13"/>
      <c r="AD672" s="13"/>
    </row>
    <row r="673" ht="14.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7"/>
      <c r="Q673" s="153"/>
      <c r="R673" s="7"/>
      <c r="S673" s="7"/>
      <c r="T673" s="7"/>
      <c r="U673" s="153"/>
      <c r="V673" s="153"/>
      <c r="W673" s="12"/>
      <c r="X673" s="7"/>
      <c r="Y673" s="7"/>
      <c r="Z673" s="7"/>
      <c r="AA673" s="7"/>
      <c r="AB673" s="13"/>
      <c r="AC673" s="13"/>
      <c r="AD673" s="13"/>
    </row>
    <row r="674" ht="14.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7"/>
      <c r="Q674" s="153"/>
      <c r="R674" s="7"/>
      <c r="S674" s="7"/>
      <c r="T674" s="7"/>
      <c r="U674" s="153"/>
      <c r="V674" s="153"/>
      <c r="W674" s="12"/>
      <c r="X674" s="7"/>
      <c r="Y674" s="7"/>
      <c r="Z674" s="7"/>
      <c r="AA674" s="7"/>
      <c r="AB674" s="13"/>
      <c r="AC674" s="13"/>
      <c r="AD674" s="13"/>
    </row>
    <row r="675" ht="14.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7"/>
      <c r="Q675" s="153"/>
      <c r="R675" s="7"/>
      <c r="S675" s="7"/>
      <c r="T675" s="7"/>
      <c r="U675" s="153"/>
      <c r="V675" s="153"/>
      <c r="W675" s="12"/>
      <c r="X675" s="7"/>
      <c r="Y675" s="7"/>
      <c r="Z675" s="7"/>
      <c r="AA675" s="7"/>
      <c r="AB675" s="13"/>
      <c r="AC675" s="13"/>
      <c r="AD675" s="13"/>
    </row>
    <row r="676" ht="14.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7"/>
      <c r="Q676" s="153"/>
      <c r="R676" s="7"/>
      <c r="S676" s="7"/>
      <c r="T676" s="7"/>
      <c r="U676" s="153"/>
      <c r="V676" s="153"/>
      <c r="W676" s="12"/>
      <c r="X676" s="7"/>
      <c r="Y676" s="7"/>
      <c r="Z676" s="7"/>
      <c r="AA676" s="7"/>
      <c r="AB676" s="13"/>
      <c r="AC676" s="13"/>
      <c r="AD676" s="13"/>
    </row>
    <row r="677" ht="14.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7"/>
      <c r="Q677" s="153"/>
      <c r="R677" s="7"/>
      <c r="S677" s="7"/>
      <c r="T677" s="7"/>
      <c r="U677" s="153"/>
      <c r="V677" s="153"/>
      <c r="W677" s="12"/>
      <c r="X677" s="7"/>
      <c r="Y677" s="7"/>
      <c r="Z677" s="7"/>
      <c r="AA677" s="7"/>
      <c r="AB677" s="13"/>
      <c r="AC677" s="13"/>
      <c r="AD677" s="13"/>
    </row>
    <row r="678" ht="14.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7"/>
      <c r="Q678" s="153"/>
      <c r="R678" s="7"/>
      <c r="S678" s="7"/>
      <c r="T678" s="7"/>
      <c r="U678" s="153"/>
      <c r="V678" s="153"/>
      <c r="W678" s="12"/>
      <c r="X678" s="7"/>
      <c r="Y678" s="7"/>
      <c r="Z678" s="7"/>
      <c r="AA678" s="7"/>
      <c r="AB678" s="13"/>
      <c r="AC678" s="13"/>
      <c r="AD678" s="13"/>
    </row>
    <row r="679" ht="14.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7"/>
      <c r="Q679" s="153"/>
      <c r="R679" s="7"/>
      <c r="S679" s="7"/>
      <c r="T679" s="7"/>
      <c r="U679" s="153"/>
      <c r="V679" s="153"/>
      <c r="W679" s="12"/>
      <c r="X679" s="7"/>
      <c r="Y679" s="7"/>
      <c r="Z679" s="7"/>
      <c r="AA679" s="7"/>
      <c r="AB679" s="13"/>
      <c r="AC679" s="13"/>
      <c r="AD679" s="13"/>
    </row>
    <row r="680" ht="14.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7"/>
      <c r="Q680" s="153"/>
      <c r="R680" s="7"/>
      <c r="S680" s="7"/>
      <c r="T680" s="7"/>
      <c r="U680" s="153"/>
      <c r="V680" s="153"/>
      <c r="W680" s="12"/>
      <c r="X680" s="7"/>
      <c r="Y680" s="7"/>
      <c r="Z680" s="7"/>
      <c r="AA680" s="7"/>
      <c r="AB680" s="13"/>
      <c r="AC680" s="13"/>
      <c r="AD680" s="13"/>
    </row>
    <row r="681" ht="14.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7"/>
      <c r="Q681" s="153"/>
      <c r="R681" s="7"/>
      <c r="S681" s="7"/>
      <c r="T681" s="7"/>
      <c r="U681" s="153"/>
      <c r="V681" s="153"/>
      <c r="W681" s="12"/>
      <c r="X681" s="7"/>
      <c r="Y681" s="7"/>
      <c r="Z681" s="7"/>
      <c r="AA681" s="7"/>
      <c r="AB681" s="13"/>
      <c r="AC681" s="13"/>
      <c r="AD681" s="13"/>
    </row>
    <row r="682" ht="14.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7"/>
      <c r="Q682" s="153"/>
      <c r="R682" s="7"/>
      <c r="S682" s="7"/>
      <c r="T682" s="7"/>
      <c r="U682" s="153"/>
      <c r="V682" s="153"/>
      <c r="W682" s="12"/>
      <c r="X682" s="7"/>
      <c r="Y682" s="7"/>
      <c r="Z682" s="7"/>
      <c r="AA682" s="7"/>
      <c r="AB682" s="13"/>
      <c r="AC682" s="13"/>
      <c r="AD682" s="13"/>
    </row>
    <row r="683" ht="14.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7"/>
      <c r="Q683" s="153"/>
      <c r="R683" s="7"/>
      <c r="S683" s="7"/>
      <c r="T683" s="7"/>
      <c r="U683" s="153"/>
      <c r="V683" s="153"/>
      <c r="W683" s="12"/>
      <c r="X683" s="7"/>
      <c r="Y683" s="7"/>
      <c r="Z683" s="7"/>
      <c r="AA683" s="7"/>
      <c r="AB683" s="13"/>
      <c r="AC683" s="13"/>
      <c r="AD683" s="13"/>
    </row>
    <row r="684" ht="14.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7"/>
      <c r="Q684" s="153"/>
      <c r="R684" s="7"/>
      <c r="S684" s="7"/>
      <c r="T684" s="7"/>
      <c r="U684" s="153"/>
      <c r="V684" s="153"/>
      <c r="W684" s="12"/>
      <c r="X684" s="7"/>
      <c r="Y684" s="7"/>
      <c r="Z684" s="7"/>
      <c r="AA684" s="7"/>
      <c r="AB684" s="13"/>
      <c r="AC684" s="13"/>
      <c r="AD684" s="13"/>
    </row>
    <row r="685" ht="14.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7"/>
      <c r="Q685" s="153"/>
      <c r="R685" s="7"/>
      <c r="S685" s="7"/>
      <c r="T685" s="7"/>
      <c r="U685" s="153"/>
      <c r="V685" s="153"/>
      <c r="W685" s="12"/>
      <c r="X685" s="7"/>
      <c r="Y685" s="7"/>
      <c r="Z685" s="7"/>
      <c r="AA685" s="7"/>
      <c r="AB685" s="13"/>
      <c r="AC685" s="13"/>
      <c r="AD685" s="13"/>
    </row>
    <row r="686" ht="14.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7"/>
      <c r="Q686" s="153"/>
      <c r="R686" s="7"/>
      <c r="S686" s="7"/>
      <c r="T686" s="7"/>
      <c r="U686" s="153"/>
      <c r="V686" s="153"/>
      <c r="W686" s="12"/>
      <c r="X686" s="7"/>
      <c r="Y686" s="7"/>
      <c r="Z686" s="7"/>
      <c r="AA686" s="7"/>
      <c r="AB686" s="13"/>
      <c r="AC686" s="13"/>
      <c r="AD686" s="13"/>
    </row>
    <row r="687" ht="14.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7"/>
      <c r="Q687" s="153"/>
      <c r="R687" s="7"/>
      <c r="S687" s="7"/>
      <c r="T687" s="7"/>
      <c r="U687" s="153"/>
      <c r="V687" s="153"/>
      <c r="W687" s="12"/>
      <c r="X687" s="7"/>
      <c r="Y687" s="7"/>
      <c r="Z687" s="7"/>
      <c r="AA687" s="7"/>
      <c r="AB687" s="13"/>
      <c r="AC687" s="13"/>
      <c r="AD687" s="13"/>
    </row>
    <row r="688" ht="14.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7"/>
      <c r="Q688" s="153"/>
      <c r="R688" s="7"/>
      <c r="S688" s="7"/>
      <c r="T688" s="7"/>
      <c r="U688" s="153"/>
      <c r="V688" s="153"/>
      <c r="W688" s="12"/>
      <c r="X688" s="7"/>
      <c r="Y688" s="7"/>
      <c r="Z688" s="7"/>
      <c r="AA688" s="7"/>
      <c r="AB688" s="13"/>
      <c r="AC688" s="13"/>
      <c r="AD688" s="13"/>
    </row>
    <row r="689" ht="14.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7"/>
      <c r="Q689" s="153"/>
      <c r="R689" s="7"/>
      <c r="S689" s="7"/>
      <c r="T689" s="7"/>
      <c r="U689" s="153"/>
      <c r="V689" s="153"/>
      <c r="W689" s="12"/>
      <c r="X689" s="7"/>
      <c r="Y689" s="7"/>
      <c r="Z689" s="7"/>
      <c r="AA689" s="7"/>
      <c r="AB689" s="13"/>
      <c r="AC689" s="13"/>
      <c r="AD689" s="13"/>
    </row>
    <row r="690" ht="14.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7"/>
      <c r="Q690" s="153"/>
      <c r="R690" s="7"/>
      <c r="S690" s="7"/>
      <c r="T690" s="7"/>
      <c r="U690" s="153"/>
      <c r="V690" s="153"/>
      <c r="W690" s="12"/>
      <c r="X690" s="7"/>
      <c r="Y690" s="7"/>
      <c r="Z690" s="7"/>
      <c r="AA690" s="7"/>
      <c r="AB690" s="13"/>
      <c r="AC690" s="13"/>
      <c r="AD690" s="13"/>
    </row>
    <row r="691" ht="14.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7"/>
      <c r="Q691" s="153"/>
      <c r="R691" s="7"/>
      <c r="S691" s="7"/>
      <c r="T691" s="7"/>
      <c r="U691" s="153"/>
      <c r="V691" s="153"/>
      <c r="W691" s="12"/>
      <c r="X691" s="7"/>
      <c r="Y691" s="7"/>
      <c r="Z691" s="7"/>
      <c r="AA691" s="7"/>
      <c r="AB691" s="13"/>
      <c r="AC691" s="13"/>
      <c r="AD691" s="13"/>
    </row>
    <row r="692" ht="14.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7"/>
      <c r="Q692" s="153"/>
      <c r="R692" s="7"/>
      <c r="S692" s="7"/>
      <c r="T692" s="7"/>
      <c r="U692" s="153"/>
      <c r="V692" s="153"/>
      <c r="W692" s="12"/>
      <c r="X692" s="7"/>
      <c r="Y692" s="7"/>
      <c r="Z692" s="7"/>
      <c r="AA692" s="7"/>
      <c r="AB692" s="13"/>
      <c r="AC692" s="13"/>
      <c r="AD692" s="13"/>
    </row>
    <row r="693" ht="14.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7"/>
      <c r="Q693" s="153"/>
      <c r="R693" s="7"/>
      <c r="S693" s="7"/>
      <c r="T693" s="7"/>
      <c r="U693" s="153"/>
      <c r="V693" s="153"/>
      <c r="W693" s="12"/>
      <c r="X693" s="7"/>
      <c r="Y693" s="7"/>
      <c r="Z693" s="7"/>
      <c r="AA693" s="7"/>
      <c r="AB693" s="13"/>
      <c r="AC693" s="13"/>
      <c r="AD693" s="13"/>
    </row>
    <row r="694" ht="14.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7"/>
      <c r="Q694" s="153"/>
      <c r="R694" s="7"/>
      <c r="S694" s="7"/>
      <c r="T694" s="7"/>
      <c r="U694" s="153"/>
      <c r="V694" s="153"/>
      <c r="W694" s="12"/>
      <c r="X694" s="21"/>
      <c r="Y694" s="7"/>
      <c r="Z694" s="7"/>
      <c r="AA694" s="7"/>
      <c r="AB694" s="13"/>
      <c r="AC694" s="13"/>
      <c r="AD694" s="13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154"/>
      <c r="R818" s="21"/>
      <c r="S818" s="21"/>
      <c r="T818" s="21"/>
      <c r="U818" s="154"/>
      <c r="V818" s="154"/>
      <c r="W818" s="154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154"/>
      <c r="R819" s="21"/>
      <c r="S819" s="21"/>
      <c r="T819" s="21"/>
      <c r="U819" s="154"/>
      <c r="V819" s="154"/>
      <c r="W819" s="154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154"/>
      <c r="R820" s="21"/>
      <c r="S820" s="21"/>
      <c r="T820" s="21"/>
      <c r="U820" s="154"/>
      <c r="V820" s="154"/>
      <c r="W820" s="154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154"/>
      <c r="R821" s="21"/>
      <c r="S821" s="21"/>
      <c r="T821" s="21"/>
      <c r="U821" s="154"/>
      <c r="V821" s="154"/>
      <c r="W821" s="154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154"/>
      <c r="R822" s="21"/>
      <c r="S822" s="21"/>
      <c r="T822" s="21"/>
      <c r="U822" s="154"/>
      <c r="V822" s="154"/>
      <c r="W822" s="154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154"/>
      <c r="R823" s="21"/>
      <c r="S823" s="21"/>
      <c r="T823" s="21"/>
      <c r="U823" s="154"/>
      <c r="V823" s="154"/>
      <c r="W823" s="154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154"/>
      <c r="R824" s="21"/>
      <c r="S824" s="21"/>
      <c r="T824" s="21"/>
      <c r="U824" s="154"/>
      <c r="V824" s="154"/>
      <c r="W824" s="154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154"/>
      <c r="R825" s="21"/>
      <c r="S825" s="21"/>
      <c r="T825" s="21"/>
      <c r="U825" s="154"/>
      <c r="V825" s="154"/>
      <c r="W825" s="154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154"/>
      <c r="R826" s="21"/>
      <c r="S826" s="21"/>
      <c r="T826" s="21"/>
      <c r="U826" s="154"/>
      <c r="V826" s="154"/>
      <c r="W826" s="154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154"/>
      <c r="R827" s="21"/>
      <c r="S827" s="21"/>
      <c r="T827" s="21"/>
      <c r="U827" s="154"/>
      <c r="V827" s="154"/>
      <c r="W827" s="154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154"/>
      <c r="R828" s="21"/>
      <c r="S828" s="21"/>
      <c r="T828" s="21"/>
      <c r="U828" s="154"/>
      <c r="V828" s="154"/>
      <c r="W828" s="154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154"/>
      <c r="R829" s="21"/>
      <c r="S829" s="21"/>
      <c r="T829" s="21"/>
      <c r="U829" s="154"/>
      <c r="V829" s="154"/>
      <c r="W829" s="154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154"/>
      <c r="R830" s="21"/>
      <c r="S830" s="21"/>
      <c r="T830" s="21"/>
      <c r="U830" s="154"/>
      <c r="V830" s="154"/>
      <c r="W830" s="154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154"/>
      <c r="R831" s="21"/>
      <c r="S831" s="21"/>
      <c r="T831" s="21"/>
      <c r="U831" s="154"/>
      <c r="V831" s="154"/>
      <c r="W831" s="154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154"/>
      <c r="R832" s="21"/>
      <c r="S832" s="21"/>
      <c r="T832" s="21"/>
      <c r="U832" s="154"/>
      <c r="V832" s="154"/>
      <c r="W832" s="154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154"/>
      <c r="R833" s="21"/>
      <c r="S833" s="21"/>
      <c r="T833" s="21"/>
      <c r="U833" s="154"/>
      <c r="V833" s="154"/>
      <c r="W833" s="154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154"/>
      <c r="R834" s="21"/>
      <c r="S834" s="21"/>
      <c r="T834" s="21"/>
      <c r="U834" s="154"/>
      <c r="V834" s="154"/>
      <c r="W834" s="154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154"/>
      <c r="R835" s="21"/>
      <c r="S835" s="21"/>
      <c r="T835" s="21"/>
      <c r="U835" s="154"/>
      <c r="V835" s="154"/>
      <c r="W835" s="154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154"/>
      <c r="R836" s="21"/>
      <c r="S836" s="21"/>
      <c r="T836" s="21"/>
      <c r="U836" s="154"/>
      <c r="V836" s="154"/>
      <c r="W836" s="154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154"/>
      <c r="R837" s="21"/>
      <c r="S837" s="21"/>
      <c r="T837" s="21"/>
      <c r="U837" s="154"/>
      <c r="V837" s="154"/>
      <c r="W837" s="154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154"/>
      <c r="R838" s="21"/>
      <c r="S838" s="21"/>
      <c r="T838" s="21"/>
      <c r="U838" s="154"/>
      <c r="V838" s="154"/>
      <c r="W838" s="154"/>
      <c r="X838" s="21"/>
      <c r="Y838" s="21"/>
      <c r="Z838" s="21"/>
      <c r="AA838" s="21"/>
      <c r="AB838" s="21"/>
      <c r="AC838" s="21"/>
      <c r="AD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154"/>
      <c r="R839" s="21"/>
      <c r="S839" s="21"/>
      <c r="T839" s="21"/>
      <c r="U839" s="154"/>
      <c r="V839" s="154"/>
      <c r="W839" s="154"/>
      <c r="X839" s="21"/>
      <c r="Y839" s="21"/>
      <c r="Z839" s="21"/>
      <c r="AA839" s="21"/>
      <c r="AB839" s="21"/>
      <c r="AC839" s="21"/>
      <c r="AD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154"/>
      <c r="R840" s="21"/>
      <c r="S840" s="21"/>
      <c r="T840" s="21"/>
      <c r="U840" s="154"/>
      <c r="V840" s="154"/>
      <c r="W840" s="154"/>
      <c r="X840" s="21"/>
      <c r="Y840" s="21"/>
      <c r="Z840" s="21"/>
      <c r="AA840" s="21"/>
      <c r="AB840" s="21"/>
      <c r="AC840" s="21"/>
      <c r="AD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154"/>
      <c r="R841" s="21"/>
      <c r="S841" s="21"/>
      <c r="T841" s="21"/>
      <c r="U841" s="154"/>
      <c r="V841" s="154"/>
      <c r="W841" s="154"/>
      <c r="X841" s="21"/>
      <c r="Y841" s="21"/>
      <c r="Z841" s="21"/>
      <c r="AA841" s="21"/>
      <c r="AB841" s="21"/>
      <c r="AC841" s="21"/>
      <c r="AD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154"/>
      <c r="R842" s="21"/>
      <c r="S842" s="21"/>
      <c r="T842" s="21"/>
      <c r="U842" s="154"/>
      <c r="V842" s="154"/>
      <c r="W842" s="154"/>
      <c r="X842" s="21"/>
      <c r="Y842" s="21"/>
      <c r="Z842" s="21"/>
      <c r="AA842" s="21"/>
      <c r="AB842" s="21"/>
      <c r="AC842" s="21"/>
      <c r="AD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154"/>
      <c r="R843" s="21"/>
      <c r="S843" s="21"/>
      <c r="T843" s="21"/>
      <c r="U843" s="154"/>
      <c r="V843" s="154"/>
      <c r="W843" s="154"/>
      <c r="X843" s="21"/>
      <c r="Y843" s="21"/>
      <c r="Z843" s="21"/>
      <c r="AA843" s="21"/>
      <c r="AB843" s="21"/>
      <c r="AC843" s="21"/>
      <c r="AD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154"/>
      <c r="R844" s="21"/>
      <c r="S844" s="21"/>
      <c r="T844" s="21"/>
      <c r="U844" s="154"/>
      <c r="V844" s="154"/>
      <c r="W844" s="154"/>
      <c r="X844" s="21"/>
      <c r="Y844" s="21"/>
      <c r="Z844" s="21"/>
      <c r="AA844" s="21"/>
      <c r="AB844" s="21"/>
      <c r="AC844" s="21"/>
      <c r="AD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154"/>
      <c r="R845" s="21"/>
      <c r="S845" s="21"/>
      <c r="T845" s="21"/>
      <c r="U845" s="154"/>
      <c r="V845" s="154"/>
      <c r="W845" s="154"/>
      <c r="X845" s="21"/>
      <c r="Y845" s="21"/>
      <c r="Z845" s="21"/>
      <c r="AA845" s="21"/>
      <c r="AB845" s="21"/>
      <c r="AC845" s="21"/>
      <c r="AD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154"/>
      <c r="R846" s="21"/>
      <c r="S846" s="21"/>
      <c r="T846" s="21"/>
      <c r="U846" s="154"/>
      <c r="V846" s="154"/>
      <c r="W846" s="154"/>
      <c r="X846" s="21"/>
      <c r="Y846" s="21"/>
      <c r="Z846" s="21"/>
      <c r="AA846" s="21"/>
      <c r="AB846" s="21"/>
      <c r="AC846" s="21"/>
      <c r="AD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154"/>
      <c r="R847" s="21"/>
      <c r="S847" s="21"/>
      <c r="T847" s="21"/>
      <c r="U847" s="154"/>
      <c r="V847" s="154"/>
      <c r="W847" s="154"/>
      <c r="X847" s="21"/>
      <c r="Y847" s="21"/>
      <c r="Z847" s="21"/>
      <c r="AA847" s="21"/>
      <c r="AB847" s="21"/>
      <c r="AC847" s="21"/>
      <c r="AD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154"/>
      <c r="R848" s="21"/>
      <c r="S848" s="21"/>
      <c r="T848" s="21"/>
      <c r="U848" s="154"/>
      <c r="V848" s="154"/>
      <c r="W848" s="154"/>
      <c r="X848" s="21"/>
      <c r="Y848" s="21"/>
      <c r="Z848" s="21"/>
      <c r="AA848" s="21"/>
      <c r="AB848" s="21"/>
      <c r="AC848" s="21"/>
      <c r="AD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154"/>
      <c r="R849" s="21"/>
      <c r="S849" s="21"/>
      <c r="T849" s="21"/>
      <c r="U849" s="154"/>
      <c r="V849" s="154"/>
      <c r="W849" s="154"/>
      <c r="X849" s="21"/>
      <c r="Y849" s="21"/>
      <c r="Z849" s="21"/>
      <c r="AA849" s="21"/>
      <c r="AB849" s="21"/>
      <c r="AC849" s="21"/>
      <c r="AD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154"/>
      <c r="R850" s="21"/>
      <c r="S850" s="21"/>
      <c r="T850" s="21"/>
      <c r="U850" s="154"/>
      <c r="V850" s="154"/>
      <c r="W850" s="154"/>
      <c r="X850" s="21"/>
      <c r="Y850" s="21"/>
      <c r="Z850" s="21"/>
      <c r="AA850" s="21"/>
      <c r="AB850" s="21"/>
      <c r="AC850" s="21"/>
      <c r="AD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154"/>
      <c r="R851" s="21"/>
      <c r="S851" s="21"/>
      <c r="T851" s="21"/>
      <c r="U851" s="154"/>
      <c r="V851" s="154"/>
      <c r="W851" s="154"/>
      <c r="X851" s="21"/>
      <c r="Y851" s="21"/>
      <c r="Z851" s="21"/>
      <c r="AA851" s="21"/>
      <c r="AB851" s="21"/>
      <c r="AC851" s="21"/>
      <c r="AD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154"/>
      <c r="R852" s="21"/>
      <c r="S852" s="21"/>
      <c r="T852" s="21"/>
      <c r="U852" s="154"/>
      <c r="V852" s="154"/>
      <c r="W852" s="154"/>
      <c r="X852" s="21"/>
      <c r="Y852" s="21"/>
      <c r="Z852" s="21"/>
      <c r="AA852" s="21"/>
      <c r="AB852" s="21"/>
      <c r="AC852" s="21"/>
      <c r="AD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154"/>
      <c r="R853" s="21"/>
      <c r="S853" s="21"/>
      <c r="T853" s="21"/>
      <c r="U853" s="154"/>
      <c r="V853" s="154"/>
      <c r="W853" s="154"/>
      <c r="X853" s="21"/>
      <c r="Y853" s="21"/>
      <c r="Z853" s="21"/>
      <c r="AA853" s="21"/>
      <c r="AB853" s="21"/>
      <c r="AC853" s="21"/>
      <c r="AD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154"/>
      <c r="R854" s="21"/>
      <c r="S854" s="21"/>
      <c r="T854" s="21"/>
      <c r="U854" s="154"/>
      <c r="V854" s="154"/>
      <c r="W854" s="154"/>
      <c r="X854" s="21"/>
      <c r="Y854" s="21"/>
      <c r="Z854" s="21"/>
      <c r="AA854" s="21"/>
      <c r="AB854" s="21"/>
      <c r="AC854" s="21"/>
      <c r="AD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154"/>
      <c r="R855" s="21"/>
      <c r="S855" s="21"/>
      <c r="T855" s="21"/>
      <c r="U855" s="154"/>
      <c r="V855" s="154"/>
      <c r="W855" s="154"/>
      <c r="X855" s="21"/>
      <c r="Y855" s="21"/>
      <c r="Z855" s="21"/>
      <c r="AA855" s="21"/>
      <c r="AB855" s="21"/>
      <c r="AC855" s="21"/>
      <c r="AD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154"/>
      <c r="R856" s="21"/>
      <c r="S856" s="21"/>
      <c r="T856" s="21"/>
      <c r="U856" s="154"/>
      <c r="V856" s="154"/>
      <c r="W856" s="154"/>
      <c r="X856" s="21"/>
      <c r="Y856" s="21"/>
      <c r="Z856" s="21"/>
      <c r="AA856" s="21"/>
      <c r="AB856" s="21"/>
      <c r="AC856" s="21"/>
      <c r="AD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154"/>
      <c r="R857" s="21"/>
      <c r="S857" s="21"/>
      <c r="T857" s="21"/>
      <c r="U857" s="154"/>
      <c r="V857" s="154"/>
      <c r="W857" s="154"/>
      <c r="X857" s="21"/>
      <c r="Y857" s="21"/>
      <c r="Z857" s="21"/>
      <c r="AA857" s="21"/>
      <c r="AB857" s="21"/>
      <c r="AC857" s="21"/>
      <c r="AD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154"/>
      <c r="R858" s="21"/>
      <c r="S858" s="21"/>
      <c r="T858" s="21"/>
      <c r="U858" s="154"/>
      <c r="V858" s="154"/>
      <c r="W858" s="154"/>
      <c r="X858" s="21"/>
      <c r="Y858" s="21"/>
      <c r="Z858" s="21"/>
      <c r="AA858" s="21"/>
      <c r="AB858" s="21"/>
      <c r="AC858" s="21"/>
      <c r="AD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154"/>
      <c r="R859" s="21"/>
      <c r="S859" s="21"/>
      <c r="T859" s="21"/>
      <c r="U859" s="154"/>
      <c r="V859" s="154"/>
      <c r="W859" s="154"/>
      <c r="X859" s="21"/>
      <c r="Y859" s="21"/>
      <c r="Z859" s="21"/>
      <c r="AA859" s="21"/>
      <c r="AB859" s="21"/>
      <c r="AC859" s="21"/>
      <c r="AD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154"/>
      <c r="R860" s="21"/>
      <c r="S860" s="21"/>
      <c r="T860" s="21"/>
      <c r="U860" s="154"/>
      <c r="V860" s="154"/>
      <c r="W860" s="154"/>
      <c r="X860" s="21"/>
      <c r="Y860" s="21"/>
      <c r="Z860" s="21"/>
      <c r="AA860" s="21"/>
      <c r="AB860" s="21"/>
      <c r="AC860" s="21"/>
      <c r="AD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154"/>
      <c r="R861" s="21"/>
      <c r="S861" s="21"/>
      <c r="T861" s="21"/>
      <c r="U861" s="154"/>
      <c r="V861" s="154"/>
      <c r="W861" s="154"/>
      <c r="X861" s="21"/>
      <c r="Y861" s="21"/>
      <c r="Z861" s="21"/>
      <c r="AA861" s="21"/>
      <c r="AB861" s="21"/>
      <c r="AC861" s="21"/>
      <c r="AD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154"/>
      <c r="R862" s="21"/>
      <c r="S862" s="21"/>
      <c r="T862" s="21"/>
      <c r="U862" s="154"/>
      <c r="V862" s="154"/>
      <c r="W862" s="154"/>
      <c r="X862" s="21"/>
      <c r="Y862" s="21"/>
      <c r="Z862" s="21"/>
      <c r="AA862" s="21"/>
      <c r="AB862" s="21"/>
      <c r="AC862" s="21"/>
      <c r="AD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154"/>
      <c r="R863" s="21"/>
      <c r="S863" s="21"/>
      <c r="T863" s="21"/>
      <c r="U863" s="154"/>
      <c r="V863" s="154"/>
      <c r="W863" s="154"/>
      <c r="X863" s="21"/>
      <c r="Y863" s="21"/>
      <c r="Z863" s="21"/>
      <c r="AA863" s="21"/>
      <c r="AB863" s="21"/>
      <c r="AC863" s="21"/>
      <c r="AD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154"/>
      <c r="R864" s="21"/>
      <c r="S864" s="21"/>
      <c r="T864" s="21"/>
      <c r="U864" s="154"/>
      <c r="V864" s="154"/>
      <c r="W864" s="154"/>
      <c r="X864" s="21"/>
      <c r="Y864" s="21"/>
      <c r="Z864" s="21"/>
      <c r="AA864" s="21"/>
      <c r="AB864" s="21"/>
      <c r="AC864" s="21"/>
      <c r="AD864" s="21"/>
    </row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6:Q26"/>
    <mergeCell ref="P27:Q27"/>
    <mergeCell ref="A43:Q43"/>
    <mergeCell ref="P44:Q44"/>
    <mergeCell ref="P62:Q62"/>
    <mergeCell ref="P80:Q8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38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3" zoomScale="100" workbookViewId="0">
      <selection activeCell="L34" activeCellId="0" sqref="L34"/>
    </sheetView>
  </sheetViews>
  <sheetFormatPr defaultRowHeight="13.5"/>
  <cols>
    <col customWidth="1" min="1" max="1" width="18.44140625"/>
    <col customWidth="1" min="2" max="2" width="12.109375"/>
    <col customWidth="1" min="3" max="3" width="5.109375"/>
    <col customWidth="1" min="4" max="4" width="12.33203125"/>
    <col customWidth="1" min="5" max="5" width="5.109375"/>
    <col customWidth="1" min="6" max="6" width="13.33203125"/>
    <col customWidth="1" min="7" max="7" width="6.109375"/>
    <col customWidth="1" min="8" max="8" width="12.109375"/>
    <col customWidth="1" min="9" max="9" width="6"/>
    <col customWidth="1" min="10" max="10" width="10.6640625"/>
    <col customWidth="1" min="11" max="11" width="5.88671875"/>
    <col customWidth="1" min="12" max="12" width="11.88671875"/>
    <col customWidth="1" min="13" max="13" width="5.109375"/>
    <col customWidth="1" min="14" max="14" width="11"/>
    <col customWidth="1" min="15" max="15" width="5.88671875"/>
    <col bestFit="1" customWidth="1" min="17" max="17" width="9.88671875"/>
    <col customWidth="1" min="18" max="18" width="11.44140625"/>
  </cols>
  <sheetData>
    <row r="1" s="21" customFormat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s="21" customFormat="1" ht="14.25">
      <c r="A2" s="14"/>
      <c r="B2" s="15" t="s">
        <v>3</v>
      </c>
      <c r="C2" s="15" t="s">
        <v>4</v>
      </c>
      <c r="D2" s="16" t="s">
        <v>5</v>
      </c>
      <c r="E2" s="16" t="s">
        <v>4</v>
      </c>
      <c r="F2" s="17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s="21" customFormat="1" ht="14.25">
      <c r="A3" s="14"/>
      <c r="B3" s="15" t="s">
        <v>7</v>
      </c>
      <c r="C3" s="15" t="s">
        <v>4</v>
      </c>
      <c r="D3" s="16" t="s">
        <v>8</v>
      </c>
      <c r="E3" s="16" t="s">
        <v>4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s="21" customFormat="1" ht="14.25">
      <c r="A4" s="14"/>
      <c r="B4" s="15" t="s">
        <v>9</v>
      </c>
      <c r="C4" s="15" t="s">
        <v>4</v>
      </c>
      <c r="D4" s="16" t="s">
        <v>10</v>
      </c>
      <c r="E4" s="16" t="s">
        <v>4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s="21" customFormat="1" ht="14.25">
      <c r="A5" s="14"/>
      <c r="B5" s="15" t="s">
        <v>11</v>
      </c>
      <c r="C5" s="15" t="s">
        <v>4</v>
      </c>
      <c r="D5" s="16" t="s">
        <v>12</v>
      </c>
      <c r="E5" s="16" t="s">
        <v>4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s="21" customFormat="1" ht="14.25">
      <c r="A6" s="6"/>
      <c r="D6" s="22"/>
      <c r="E6" s="22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s="21" customFormat="1" ht="14.25">
      <c r="A7" s="7"/>
      <c r="B7" s="7"/>
      <c r="C7" s="7"/>
      <c r="D7" s="26"/>
      <c r="E7" s="27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30"/>
      <c r="E8" s="30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25">
      <c r="A10" s="49"/>
      <c r="B10" s="214" t="s">
        <v>17</v>
      </c>
      <c r="C10" s="740"/>
      <c r="D10" s="214" t="s">
        <v>18</v>
      </c>
      <c r="E10" s="740"/>
      <c r="F10" s="214" t="s">
        <v>19</v>
      </c>
      <c r="G10" s="740"/>
      <c r="H10" s="214" t="s">
        <v>20</v>
      </c>
      <c r="I10" s="740"/>
      <c r="J10" s="493" t="s">
        <v>21</v>
      </c>
      <c r="K10" s="741"/>
      <c r="L10" s="214" t="s">
        <v>22</v>
      </c>
      <c r="M10" s="740"/>
      <c r="N10" s="214" t="s">
        <v>23</v>
      </c>
      <c r="O10" s="740"/>
      <c r="P10" s="214" t="s">
        <v>24</v>
      </c>
      <c r="Q10" s="214"/>
      <c r="R10" s="742">
        <v>120</v>
      </c>
      <c r="S10" s="49"/>
      <c r="T10" s="49"/>
      <c r="U10" s="50">
        <v>120</v>
      </c>
      <c r="V10" s="50"/>
      <c r="W10" s="50"/>
      <c r="X10" s="51"/>
      <c r="Y10" s="7"/>
      <c r="Z10" s="7"/>
      <c r="AA10" s="7"/>
      <c r="AB10" s="13"/>
      <c r="AC10" s="13"/>
      <c r="AD10" s="13"/>
    </row>
    <row r="11" ht="14.25">
      <c r="A11" s="143"/>
      <c r="B11" s="526">
        <v>46020</v>
      </c>
      <c r="C11" s="526"/>
      <c r="D11" s="526">
        <v>46021</v>
      </c>
      <c r="E11" s="526"/>
      <c r="F11" s="743">
        <v>46022</v>
      </c>
      <c r="G11" s="743"/>
      <c r="H11" s="722">
        <v>46023</v>
      </c>
      <c r="I11" s="722"/>
      <c r="J11" s="722">
        <v>46024</v>
      </c>
      <c r="K11" s="722"/>
      <c r="L11" s="722">
        <v>46025</v>
      </c>
      <c r="M11" s="722"/>
      <c r="N11" s="722">
        <v>46026</v>
      </c>
      <c r="O11" s="723"/>
      <c r="P11" s="213" t="s">
        <v>25</v>
      </c>
      <c r="Q11" s="214" t="s">
        <v>26</v>
      </c>
      <c r="R11" s="744"/>
      <c r="S11" s="42"/>
      <c r="T11" s="42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s="21" customFormat="1" ht="14.25">
      <c r="A12" s="538" t="s">
        <v>35</v>
      </c>
      <c r="B12" s="540"/>
      <c r="C12" s="540"/>
      <c r="D12" s="540"/>
      <c r="E12" s="540"/>
      <c r="F12" s="541"/>
      <c r="G12" s="541"/>
      <c r="H12" s="539"/>
      <c r="I12" s="539"/>
      <c r="J12" s="539"/>
      <c r="K12" s="539"/>
      <c r="L12" s="541"/>
      <c r="M12" s="541"/>
      <c r="N12" s="541"/>
      <c r="O12" s="541"/>
      <c r="P12" s="253">
        <f t="shared" ref="P12:P75" si="154">C12+E12+G12+I12+K12+M12+O12</f>
        <v>0</v>
      </c>
      <c r="Q12" s="62">
        <f>R10-P12</f>
        <v>120</v>
      </c>
      <c r="R12" s="461" t="str">
        <f t="shared" ref="R12:R75" si="155">A12</f>
        <v>Рычков</v>
      </c>
      <c r="S12" s="76" t="s">
        <v>10</v>
      </c>
      <c r="T12" s="77" t="s">
        <v>9</v>
      </c>
      <c r="U12" s="90">
        <f t="shared" ref="U12:U75" si="156">COUNTIF(T12,B12)+COUNTIF(T12,D12)+COUNTIF(T12,F12)+COUNTIF(T12,H12)+COUNTIF(T12,J12)+COUNTIF(T12,L12)+COUNTIF(T12,N12)</f>
        <v>0</v>
      </c>
      <c r="V12" s="62">
        <f t="shared" ref="V12:V69" si="157">COUNTIF(S12,B12)+COUNTIF(S12,D12)+COUNTIF(S12,F12)+COUNTIF(S12,H12)+COUNTIF(S12,J12)+COUNTIF(S12,L12)+COUNTIF(S12,N12)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25">
      <c r="A13" s="440" t="s">
        <v>31</v>
      </c>
      <c r="B13" s="540"/>
      <c r="C13" s="540"/>
      <c r="D13" s="540"/>
      <c r="E13" s="540"/>
      <c r="F13" s="541"/>
      <c r="G13" s="541"/>
      <c r="H13" s="541"/>
      <c r="I13" s="541"/>
      <c r="J13" s="541"/>
      <c r="K13" s="541"/>
      <c r="L13" s="541"/>
      <c r="M13" s="541"/>
      <c r="N13" s="254"/>
      <c r="O13" s="254"/>
      <c r="P13" s="253">
        <f t="shared" si="154"/>
        <v>0</v>
      </c>
      <c r="Q13" s="62">
        <f>R10-P13</f>
        <v>120</v>
      </c>
      <c r="R13" s="461" t="str">
        <f t="shared" si="155"/>
        <v>Нетронин</v>
      </c>
      <c r="S13" s="76" t="s">
        <v>10</v>
      </c>
      <c r="T13" s="77" t="s">
        <v>9</v>
      </c>
      <c r="U13" s="90">
        <f t="shared" si="156"/>
        <v>0</v>
      </c>
      <c r="V13" s="62">
        <f t="shared" si="157"/>
        <v>0</v>
      </c>
      <c r="W13" s="62"/>
      <c r="X13" s="74" t="s">
        <v>34</v>
      </c>
      <c r="Y13" s="7"/>
      <c r="Z13" s="7"/>
      <c r="AA13" s="7"/>
      <c r="AB13" s="13"/>
      <c r="AC13" s="13"/>
      <c r="AD13" s="13"/>
    </row>
    <row r="14" ht="14.4" hidden="1" customHeight="1">
      <c r="A14" s="440" t="s">
        <v>35</v>
      </c>
      <c r="B14" s="540"/>
      <c r="C14" s="540"/>
      <c r="D14" s="540"/>
      <c r="E14" s="540"/>
      <c r="F14" s="541"/>
      <c r="G14" s="541"/>
      <c r="H14" s="541"/>
      <c r="I14" s="541"/>
      <c r="J14" s="541"/>
      <c r="K14" s="541"/>
      <c r="L14" s="541"/>
      <c r="M14" s="541"/>
      <c r="N14" s="541"/>
      <c r="O14" s="541"/>
      <c r="P14" s="253">
        <f t="shared" si="154"/>
        <v>0</v>
      </c>
      <c r="Q14" s="62">
        <f>R10-P14</f>
        <v>120</v>
      </c>
      <c r="R14" s="461" t="str">
        <f t="shared" si="155"/>
        <v>Рычков</v>
      </c>
      <c r="S14" s="76" t="s">
        <v>10</v>
      </c>
      <c r="T14" s="77" t="s">
        <v>9</v>
      </c>
      <c r="U14" s="90">
        <f t="shared" si="156"/>
        <v>0</v>
      </c>
      <c r="V14" s="62">
        <f t="shared" si="157"/>
        <v>0</v>
      </c>
      <c r="W14" s="62"/>
      <c r="X14" s="74" t="s">
        <v>38</v>
      </c>
      <c r="Y14" s="7"/>
      <c r="Z14" s="7"/>
      <c r="AA14" s="7"/>
      <c r="AB14" s="13"/>
      <c r="AC14" s="13"/>
      <c r="AD14" s="13"/>
    </row>
    <row r="15" ht="14.4" hidden="1" customHeight="1">
      <c r="A15" s="538" t="s">
        <v>36</v>
      </c>
      <c r="B15" s="295"/>
      <c r="C15" s="295"/>
      <c r="D15" s="295"/>
      <c r="E15" s="295"/>
      <c r="F15" s="541"/>
      <c r="G15" s="541"/>
      <c r="H15" s="541"/>
      <c r="I15" s="541"/>
      <c r="J15" s="541"/>
      <c r="K15" s="541"/>
      <c r="L15" s="541"/>
      <c r="M15" s="541"/>
      <c r="N15" s="541"/>
      <c r="O15" s="541"/>
      <c r="P15" s="253">
        <f t="shared" si="154"/>
        <v>0</v>
      </c>
      <c r="Q15" s="62">
        <f>R10-P15</f>
        <v>120</v>
      </c>
      <c r="R15" s="461" t="str">
        <f t="shared" si="155"/>
        <v>Колобашкин</v>
      </c>
      <c r="S15" s="76" t="s">
        <v>10</v>
      </c>
      <c r="T15" s="77" t="s">
        <v>9</v>
      </c>
      <c r="U15" s="90">
        <f t="shared" si="156"/>
        <v>0</v>
      </c>
      <c r="V15" s="62">
        <f t="shared" si="157"/>
        <v>0</v>
      </c>
      <c r="W15" s="62"/>
      <c r="X15" s="79" t="s">
        <v>49</v>
      </c>
      <c r="Y15" s="7"/>
      <c r="Z15" s="80"/>
      <c r="AA15" s="80"/>
      <c r="AB15" s="13"/>
      <c r="AC15" s="13"/>
      <c r="AD15" s="13"/>
    </row>
    <row r="16" ht="14.25">
      <c r="A16" s="440" t="s">
        <v>39</v>
      </c>
      <c r="B16" s="540"/>
      <c r="C16" s="540"/>
      <c r="D16" s="540"/>
      <c r="E16" s="540"/>
      <c r="F16" s="541"/>
      <c r="G16" s="541"/>
      <c r="H16" s="541"/>
      <c r="I16" s="541"/>
      <c r="J16" s="541"/>
      <c r="K16" s="541"/>
      <c r="L16" s="541"/>
      <c r="M16" s="541"/>
      <c r="N16" s="541"/>
      <c r="O16" s="541"/>
      <c r="P16" s="253">
        <f t="shared" si="154"/>
        <v>0</v>
      </c>
      <c r="Q16" s="62">
        <f>R10-P16</f>
        <v>120</v>
      </c>
      <c r="R16" s="461" t="str">
        <f t="shared" si="155"/>
        <v>Игумнов</v>
      </c>
      <c r="S16" s="76" t="s">
        <v>10</v>
      </c>
      <c r="T16" s="77" t="s">
        <v>9</v>
      </c>
      <c r="U16" s="90">
        <f t="shared" si="156"/>
        <v>0</v>
      </c>
      <c r="V16" s="62">
        <f t="shared" si="157"/>
        <v>0</v>
      </c>
      <c r="W16" s="62"/>
      <c r="X16" s="79" t="s">
        <v>34</v>
      </c>
      <c r="Y16" s="7"/>
      <c r="Z16" s="80"/>
      <c r="AA16" s="80"/>
      <c r="AB16" s="13"/>
      <c r="AC16" s="13"/>
      <c r="AD16" s="13"/>
    </row>
    <row r="17" ht="14.25">
      <c r="A17" s="440" t="s">
        <v>40</v>
      </c>
      <c r="B17" s="540"/>
      <c r="C17" s="540"/>
      <c r="D17" s="540"/>
      <c r="E17" s="540"/>
      <c r="F17" s="541"/>
      <c r="G17" s="541"/>
      <c r="H17" s="541"/>
      <c r="I17" s="541"/>
      <c r="J17" s="541"/>
      <c r="K17" s="541"/>
      <c r="L17" s="541"/>
      <c r="M17" s="541"/>
      <c r="N17" s="541"/>
      <c r="O17" s="541"/>
      <c r="P17" s="253">
        <f t="shared" si="154"/>
        <v>0</v>
      </c>
      <c r="Q17" s="62">
        <f>R10-P17</f>
        <v>120</v>
      </c>
      <c r="R17" s="461" t="str">
        <f t="shared" si="155"/>
        <v>Душин</v>
      </c>
      <c r="S17" s="76" t="s">
        <v>10</v>
      </c>
      <c r="T17" s="77" t="s">
        <v>9</v>
      </c>
      <c r="U17" s="90">
        <f t="shared" si="156"/>
        <v>0</v>
      </c>
      <c r="V17" s="62">
        <f t="shared" si="157"/>
        <v>0</v>
      </c>
      <c r="W17" s="62"/>
      <c r="X17" s="74" t="s">
        <v>38</v>
      </c>
      <c r="Y17" s="80"/>
      <c r="Z17" s="80"/>
      <c r="AA17" s="80"/>
      <c r="AB17" s="13"/>
      <c r="AC17" s="13"/>
      <c r="AD17" s="13"/>
    </row>
    <row r="18" ht="14.25">
      <c r="A18" s="440" t="s">
        <v>42</v>
      </c>
      <c r="B18" s="540"/>
      <c r="C18" s="540"/>
      <c r="D18" s="540"/>
      <c r="E18" s="540"/>
      <c r="F18" s="541"/>
      <c r="G18" s="541"/>
      <c r="H18" s="541"/>
      <c r="I18" s="541"/>
      <c r="J18" s="541"/>
      <c r="K18" s="541"/>
      <c r="L18" s="544"/>
      <c r="M18" s="544" t="s">
        <v>57</v>
      </c>
      <c r="N18" s="541"/>
      <c r="O18" s="541"/>
      <c r="P18" s="253">
        <f t="shared" si="154"/>
        <v>4</v>
      </c>
      <c r="Q18" s="62">
        <f>R10-P18</f>
        <v>116</v>
      </c>
      <c r="R18" s="461" t="str">
        <f t="shared" si="155"/>
        <v>Юращик</v>
      </c>
      <c r="S18" s="76" t="s">
        <v>58</v>
      </c>
      <c r="T18" s="77" t="s">
        <v>59</v>
      </c>
      <c r="U18" s="90">
        <f t="shared" si="156"/>
        <v>0</v>
      </c>
      <c r="V18" s="62">
        <f t="shared" si="157"/>
        <v>0</v>
      </c>
      <c r="W18" s="62"/>
      <c r="X18" s="74" t="s">
        <v>34</v>
      </c>
      <c r="Y18" s="80"/>
      <c r="Z18" s="80"/>
      <c r="AA18" s="80"/>
      <c r="AB18" s="13"/>
      <c r="AC18" s="13"/>
      <c r="AD18" s="13"/>
    </row>
    <row r="19" ht="14.25">
      <c r="A19" s="361" t="s">
        <v>43</v>
      </c>
      <c r="B19" s="294"/>
      <c r="C19" s="294"/>
      <c r="D19" s="294"/>
      <c r="E19" s="294"/>
      <c r="F19" s="254"/>
      <c r="G19" s="254"/>
      <c r="H19" s="745"/>
      <c r="I19" s="745"/>
      <c r="J19" s="653"/>
      <c r="K19" s="746" t="s">
        <v>4</v>
      </c>
      <c r="L19" s="87"/>
      <c r="M19" s="87"/>
      <c r="N19" s="747"/>
      <c r="O19" s="541"/>
      <c r="P19" s="253">
        <f t="shared" si="154"/>
        <v>12</v>
      </c>
      <c r="Q19" s="62">
        <f>R10-P19</f>
        <v>108</v>
      </c>
      <c r="R19" s="461" t="str">
        <f t="shared" si="155"/>
        <v>Дащенко</v>
      </c>
      <c r="S19" s="76" t="s">
        <v>10</v>
      </c>
      <c r="T19" s="77" t="s">
        <v>9</v>
      </c>
      <c r="U19" s="90">
        <f>COUNTIF(T19,B19)+COUNTIF(T19,D19)+COUNTIF(T19,F19)+COUNTIF(T19,L19)+COUNTIF(T19,J19)+COUNTIF(T19,#REF!)+COUNTIF(T19,N19)</f>
        <v>0</v>
      </c>
      <c r="V19" s="62">
        <f>COUNTIF(S19,B19)+COUNTIF(S19,D19)+COUNTIF(S19,F19)+COUNTIF(S19,L19)+COUNTIF(S19,J19)+COUNTIF(S19,#REF!)+COUNTIF(S19,N19)</f>
        <v>0</v>
      </c>
      <c r="W19" s="62"/>
      <c r="X19" s="74" t="s">
        <v>38</v>
      </c>
      <c r="Y19" s="80"/>
      <c r="Z19" s="80"/>
      <c r="AA19" s="80"/>
      <c r="AB19" s="13"/>
      <c r="AC19" s="13"/>
      <c r="AD19" s="13"/>
    </row>
    <row r="20" ht="14.25">
      <c r="A20" s="361" t="s">
        <v>45</v>
      </c>
      <c r="B20" s="541"/>
      <c r="C20" s="541"/>
      <c r="D20" s="748"/>
      <c r="E20" s="748"/>
      <c r="F20" s="642"/>
      <c r="G20" s="642"/>
      <c r="H20" s="295"/>
      <c r="I20" s="295" t="s">
        <v>4</v>
      </c>
      <c r="J20" s="749"/>
      <c r="K20" s="749" t="s">
        <v>4</v>
      </c>
      <c r="L20" s="750"/>
      <c r="M20" s="750"/>
      <c r="N20" s="653"/>
      <c r="O20" s="653" t="s">
        <v>4</v>
      </c>
      <c r="P20" s="253">
        <f t="shared" si="154"/>
        <v>36</v>
      </c>
      <c r="Q20" s="62">
        <f>U10-P20</f>
        <v>84</v>
      </c>
      <c r="R20" s="461" t="str">
        <f t="shared" si="155"/>
        <v>Пузырь</v>
      </c>
      <c r="S20" s="76" t="s">
        <v>10</v>
      </c>
      <c r="T20" s="77" t="s">
        <v>9</v>
      </c>
      <c r="U20" s="90">
        <f t="shared" si="156"/>
        <v>0</v>
      </c>
      <c r="V20" s="62">
        <f t="shared" si="157"/>
        <v>0</v>
      </c>
      <c r="W20" s="62"/>
      <c r="X20" s="74" t="s">
        <v>38</v>
      </c>
      <c r="Y20" s="80"/>
      <c r="Z20" s="80"/>
      <c r="AA20" s="80"/>
      <c r="AB20" s="13"/>
      <c r="AC20" s="13"/>
      <c r="AD20" s="13"/>
    </row>
    <row r="21" ht="14.25">
      <c r="A21" s="361" t="s">
        <v>46</v>
      </c>
      <c r="B21" s="751"/>
      <c r="C21" s="751"/>
      <c r="D21" s="751"/>
      <c r="E21" s="751"/>
      <c r="F21" s="751"/>
      <c r="G21" s="751"/>
      <c r="H21" s="745"/>
      <c r="I21" s="745"/>
      <c r="J21" s="295"/>
      <c r="K21" s="295" t="s">
        <v>4</v>
      </c>
      <c r="L21" s="295"/>
      <c r="M21" s="295" t="s">
        <v>4</v>
      </c>
      <c r="N21" s="541"/>
      <c r="O21" s="541"/>
      <c r="P21" s="253">
        <f t="shared" si="154"/>
        <v>24</v>
      </c>
      <c r="Q21" s="62">
        <f>U10-P21</f>
        <v>96</v>
      </c>
      <c r="R21" s="461" t="str">
        <f t="shared" si="155"/>
        <v>Голышев</v>
      </c>
      <c r="S21" s="76" t="s">
        <v>10</v>
      </c>
      <c r="T21" s="77" t="s">
        <v>9</v>
      </c>
      <c r="U21" s="90">
        <f t="shared" si="156"/>
        <v>0</v>
      </c>
      <c r="V21" s="62">
        <f t="shared" si="157"/>
        <v>0</v>
      </c>
      <c r="W21" s="62"/>
      <c r="X21" s="74" t="s">
        <v>34</v>
      </c>
      <c r="Y21" s="80"/>
      <c r="Z21" s="80"/>
      <c r="AA21" s="80"/>
      <c r="AB21" s="13"/>
      <c r="AC21" s="13"/>
      <c r="AD21" s="13"/>
    </row>
    <row r="22" ht="14.25">
      <c r="A22" s="361" t="s">
        <v>47</v>
      </c>
      <c r="B22" s="254"/>
      <c r="C22" s="254"/>
      <c r="D22" s="254"/>
      <c r="E22" s="254"/>
      <c r="F22" s="632"/>
      <c r="G22" s="632"/>
      <c r="H22" s="632"/>
      <c r="I22" s="632"/>
      <c r="J22" s="541"/>
      <c r="K22" s="541"/>
      <c r="L22" s="295"/>
      <c r="M22" s="295" t="s">
        <v>4</v>
      </c>
      <c r="N22" s="295"/>
      <c r="O22" s="295" t="s">
        <v>4</v>
      </c>
      <c r="P22" s="253">
        <f t="shared" si="154"/>
        <v>24</v>
      </c>
      <c r="Q22" s="62">
        <f>U10-P22</f>
        <v>96</v>
      </c>
      <c r="R22" s="461" t="str">
        <f t="shared" si="155"/>
        <v>Торубара</v>
      </c>
      <c r="S22" s="76" t="s">
        <v>10</v>
      </c>
      <c r="T22" s="77" t="s">
        <v>9</v>
      </c>
      <c r="U22" s="90">
        <f t="shared" si="156"/>
        <v>0</v>
      </c>
      <c r="V22" s="62">
        <f t="shared" si="157"/>
        <v>0</v>
      </c>
      <c r="W22" s="62"/>
      <c r="X22" s="74" t="s">
        <v>34</v>
      </c>
      <c r="Y22" s="80"/>
      <c r="Z22" s="7"/>
      <c r="AA22" s="7"/>
      <c r="AB22" s="13"/>
      <c r="AC22" s="13"/>
      <c r="AD22" s="13"/>
    </row>
    <row r="23" ht="14.25">
      <c r="A23" s="361" t="s">
        <v>48</v>
      </c>
      <c r="B23" s="748"/>
      <c r="C23" s="748"/>
      <c r="D23" s="541"/>
      <c r="E23" s="541"/>
      <c r="F23" s="653"/>
      <c r="G23" s="653"/>
      <c r="H23" s="653"/>
      <c r="I23" s="653" t="s">
        <v>4</v>
      </c>
      <c r="J23" s="247"/>
      <c r="K23" s="247"/>
      <c r="L23" s="541"/>
      <c r="M23" s="541"/>
      <c r="N23" s="295"/>
      <c r="O23" s="295" t="s">
        <v>4</v>
      </c>
      <c r="P23" s="253">
        <f t="shared" si="154"/>
        <v>24</v>
      </c>
      <c r="Q23" s="62">
        <f>U10-P23</f>
        <v>96</v>
      </c>
      <c r="R23" s="461" t="str">
        <f t="shared" si="155"/>
        <v>Стрыгин</v>
      </c>
      <c r="S23" s="76" t="s">
        <v>10</v>
      </c>
      <c r="T23" s="77" t="s">
        <v>9</v>
      </c>
      <c r="U23" s="90">
        <f t="shared" si="156"/>
        <v>0</v>
      </c>
      <c r="V23" s="62">
        <f t="shared" si="157"/>
        <v>0</v>
      </c>
      <c r="W23" s="62"/>
      <c r="X23" s="74" t="s">
        <v>38</v>
      </c>
      <c r="Y23" s="7"/>
      <c r="Z23" s="7"/>
      <c r="AA23" s="7"/>
      <c r="AB23" s="13"/>
      <c r="AC23" s="13"/>
      <c r="AD23" s="13"/>
    </row>
    <row r="24" ht="14.25">
      <c r="A24" s="361" t="s">
        <v>50</v>
      </c>
      <c r="B24" s="752"/>
      <c r="C24" s="752"/>
      <c r="D24" s="752"/>
      <c r="E24" s="752"/>
      <c r="F24" s="753"/>
      <c r="G24" s="753"/>
      <c r="H24" s="754"/>
      <c r="I24" s="754" t="s">
        <v>4</v>
      </c>
      <c r="J24" s="653"/>
      <c r="K24" s="653" t="s">
        <v>4</v>
      </c>
      <c r="L24" s="755"/>
      <c r="M24" s="755" t="s">
        <v>33</v>
      </c>
      <c r="N24" s="247"/>
      <c r="O24" s="247"/>
      <c r="P24" s="253">
        <f t="shared" si="154"/>
        <v>32</v>
      </c>
      <c r="Q24" s="62">
        <f>U10-P24</f>
        <v>88</v>
      </c>
      <c r="R24" s="461" t="str">
        <f t="shared" si="155"/>
        <v>Фрик</v>
      </c>
      <c r="S24" s="76" t="s">
        <v>10</v>
      </c>
      <c r="T24" s="77" t="s">
        <v>9</v>
      </c>
      <c r="U24" s="90">
        <f t="shared" si="156"/>
        <v>0</v>
      </c>
      <c r="V24" s="62">
        <f t="shared" si="157"/>
        <v>0</v>
      </c>
      <c r="W24" s="62"/>
      <c r="X24" s="74" t="s">
        <v>34</v>
      </c>
      <c r="Y24" s="7"/>
      <c r="Z24" s="7"/>
      <c r="AA24" s="7"/>
      <c r="AB24" s="13"/>
      <c r="AC24" s="13"/>
      <c r="AD24" s="13"/>
    </row>
    <row r="25" ht="14.25">
      <c r="A25" s="576" t="s">
        <v>51</v>
      </c>
      <c r="B25" s="541"/>
      <c r="C25" s="541"/>
      <c r="D25" s="541"/>
      <c r="E25" s="541"/>
      <c r="F25" s="295"/>
      <c r="G25" s="295"/>
      <c r="H25" s="295"/>
      <c r="I25" s="295" t="s">
        <v>4</v>
      </c>
      <c r="J25" s="541"/>
      <c r="K25" s="643"/>
      <c r="L25" s="87"/>
      <c r="M25" s="87"/>
      <c r="N25" s="756"/>
      <c r="O25" s="653" t="s">
        <v>4</v>
      </c>
      <c r="P25" s="253">
        <f t="shared" si="154"/>
        <v>24</v>
      </c>
      <c r="Q25" s="62">
        <f>U10-P25</f>
        <v>96</v>
      </c>
      <c r="R25" s="461" t="str">
        <f t="shared" si="155"/>
        <v>Истрашкин</v>
      </c>
      <c r="S25" s="71" t="s">
        <v>8</v>
      </c>
      <c r="T25" s="72" t="s">
        <v>7</v>
      </c>
      <c r="U25" s="90">
        <f t="shared" si="156"/>
        <v>0</v>
      </c>
      <c r="V25" s="62">
        <f t="shared" si="157"/>
        <v>0</v>
      </c>
      <c r="W25" s="62"/>
      <c r="X25" s="74" t="s">
        <v>49</v>
      </c>
      <c r="Y25" s="7"/>
      <c r="Z25" s="7"/>
      <c r="AA25" s="7"/>
      <c r="AB25" s="13"/>
      <c r="AC25" s="13"/>
      <c r="AD25" s="13"/>
    </row>
    <row r="26" ht="14.25">
      <c r="A26" s="207"/>
      <c r="B26" s="526">
        <v>46020</v>
      </c>
      <c r="C26" s="526"/>
      <c r="D26" s="526">
        <v>46021</v>
      </c>
      <c r="E26" s="526"/>
      <c r="F26" s="743">
        <v>46022</v>
      </c>
      <c r="G26" s="743"/>
      <c r="H26" s="722">
        <v>46023</v>
      </c>
      <c r="I26" s="722"/>
      <c r="J26" s="722">
        <v>46024</v>
      </c>
      <c r="K26" s="722"/>
      <c r="L26" s="757">
        <v>46025</v>
      </c>
      <c r="M26" s="757"/>
      <c r="N26" s="722">
        <v>46026</v>
      </c>
      <c r="O26" s="723"/>
      <c r="P26" s="253"/>
      <c r="Q26" s="62"/>
      <c r="R26" s="461"/>
      <c r="S26" s="758"/>
      <c r="T26" s="759"/>
      <c r="U26" s="90"/>
      <c r="V26" s="62"/>
      <c r="W26" s="50"/>
      <c r="X26" s="74"/>
      <c r="Y26" s="7"/>
      <c r="Z26" s="7"/>
      <c r="AA26" s="7"/>
      <c r="AB26" s="13"/>
      <c r="AC26" s="13"/>
      <c r="AD26" s="13"/>
    </row>
    <row r="27" ht="14.25">
      <c r="A27" s="245"/>
      <c r="B27" s="245"/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5"/>
      <c r="O27" s="245"/>
      <c r="P27" s="245"/>
      <c r="Q27" s="245"/>
      <c r="R27" s="99"/>
      <c r="S27" s="165"/>
      <c r="T27" s="165"/>
      <c r="U27" s="100"/>
      <c r="V27" s="100"/>
      <c r="W27" s="100"/>
      <c r="X27" s="7"/>
      <c r="Y27" s="7"/>
      <c r="Z27" s="7"/>
      <c r="AA27" s="7"/>
      <c r="AB27" s="13"/>
      <c r="AC27" s="13"/>
      <c r="AD27" s="13"/>
    </row>
    <row r="28" ht="14.25">
      <c r="A28" s="165"/>
      <c r="B28" s="237" t="s">
        <v>17</v>
      </c>
      <c r="C28" s="237"/>
      <c r="D28" s="237" t="s">
        <v>18</v>
      </c>
      <c r="E28" s="237"/>
      <c r="F28" s="237" t="s">
        <v>19</v>
      </c>
      <c r="G28" s="237"/>
      <c r="H28" s="237" t="s">
        <v>20</v>
      </c>
      <c r="I28" s="237"/>
      <c r="J28" s="578" t="s">
        <v>21</v>
      </c>
      <c r="K28" s="578"/>
      <c r="L28" s="237" t="s">
        <v>22</v>
      </c>
      <c r="M28" s="237"/>
      <c r="N28" s="237" t="s">
        <v>23</v>
      </c>
      <c r="O28" s="237"/>
      <c r="P28" s="237" t="s">
        <v>24</v>
      </c>
      <c r="Q28" s="237"/>
      <c r="R28" s="99"/>
      <c r="S28" s="165"/>
      <c r="T28" s="165"/>
      <c r="U28" s="100"/>
      <c r="V28" s="100"/>
      <c r="W28" s="100"/>
      <c r="X28" s="51"/>
      <c r="Y28" s="7"/>
      <c r="Z28" s="7"/>
      <c r="AA28" s="7"/>
      <c r="AB28" s="13"/>
      <c r="AC28" s="13"/>
      <c r="AD28" s="13"/>
    </row>
    <row r="29" ht="14.25">
      <c r="A29" s="165"/>
      <c r="B29" s="743">
        <v>46027</v>
      </c>
      <c r="C29" s="760"/>
      <c r="D29" s="743">
        <v>46028</v>
      </c>
      <c r="E29" s="760"/>
      <c r="F29" s="743">
        <v>46029</v>
      </c>
      <c r="G29" s="760"/>
      <c r="H29" s="722">
        <v>46030</v>
      </c>
      <c r="I29" s="723"/>
      <c r="J29" s="722">
        <v>46031</v>
      </c>
      <c r="K29" s="723"/>
      <c r="L29" s="722">
        <v>46032</v>
      </c>
      <c r="M29" s="723"/>
      <c r="N29" s="722">
        <v>46033</v>
      </c>
      <c r="O29" s="723"/>
      <c r="P29" s="236" t="s">
        <v>25</v>
      </c>
      <c r="Q29" s="237" t="s">
        <v>26</v>
      </c>
      <c r="R29" s="654"/>
      <c r="S29" s="166"/>
      <c r="T29" s="166"/>
      <c r="U29" s="15" t="s">
        <v>27</v>
      </c>
      <c r="V29" s="106" t="s">
        <v>28</v>
      </c>
      <c r="W29" s="100" t="s">
        <v>29</v>
      </c>
      <c r="X29" s="63" t="s">
        <v>30</v>
      </c>
      <c r="Y29" s="7"/>
      <c r="Z29" s="7"/>
      <c r="AA29" s="7"/>
      <c r="AB29" s="13"/>
      <c r="AC29" s="13"/>
      <c r="AD29" s="13"/>
    </row>
    <row r="30" ht="14.25">
      <c r="A30" s="761" t="s">
        <v>35</v>
      </c>
      <c r="B30" s="541"/>
      <c r="C30" s="541"/>
      <c r="D30" s="541"/>
      <c r="E30" s="541"/>
      <c r="F30" s="541"/>
      <c r="G30" s="541"/>
      <c r="H30" s="539"/>
      <c r="I30" s="539"/>
      <c r="J30" s="539"/>
      <c r="K30" s="539"/>
      <c r="L30" s="541"/>
      <c r="M30" s="541"/>
      <c r="N30" s="541"/>
      <c r="O30" s="541" t="s">
        <v>86</v>
      </c>
      <c r="P30" s="253">
        <f t="shared" si="154"/>
        <v>0.5</v>
      </c>
      <c r="Q30" s="62">
        <f t="shared" ref="Q30:Q39" si="158">Q13-P30</f>
        <v>119.5</v>
      </c>
      <c r="R30" s="461" t="str">
        <f t="shared" si="155"/>
        <v>Рычков</v>
      </c>
      <c r="S30" s="76" t="s">
        <v>10</v>
      </c>
      <c r="T30" s="77" t="s">
        <v>9</v>
      </c>
      <c r="U30" s="90">
        <f t="shared" si="156"/>
        <v>0</v>
      </c>
      <c r="V30" s="62">
        <f t="shared" si="157"/>
        <v>0</v>
      </c>
      <c r="W30" s="62"/>
      <c r="X30" s="74" t="s">
        <v>34</v>
      </c>
      <c r="Y30" s="7"/>
      <c r="Z30" s="7"/>
      <c r="AA30" s="7"/>
      <c r="AB30" s="13"/>
      <c r="AC30" s="13"/>
      <c r="AD30" s="13"/>
    </row>
    <row r="31" ht="14.4" hidden="1">
      <c r="A31" s="762"/>
      <c r="B31" s="541"/>
      <c r="C31" s="541"/>
      <c r="D31" s="541"/>
      <c r="E31" s="541"/>
      <c r="F31" s="541"/>
      <c r="G31" s="541"/>
      <c r="H31" s="539"/>
      <c r="I31" s="539"/>
      <c r="J31" s="539"/>
      <c r="K31" s="539"/>
      <c r="L31" s="541"/>
      <c r="M31" s="541"/>
      <c r="N31" s="541"/>
      <c r="O31" s="541"/>
      <c r="P31" s="253">
        <f t="shared" si="154"/>
        <v>0</v>
      </c>
      <c r="Q31" s="62">
        <f t="shared" si="158"/>
        <v>120</v>
      </c>
      <c r="R31" s="461">
        <f t="shared" si="155"/>
        <v>0</v>
      </c>
      <c r="S31" s="76" t="s">
        <v>10</v>
      </c>
      <c r="T31" s="77" t="s">
        <v>9</v>
      </c>
      <c r="U31" s="90">
        <f t="shared" si="156"/>
        <v>0</v>
      </c>
      <c r="V31" s="62">
        <f t="shared" si="157"/>
        <v>0</v>
      </c>
      <c r="W31" s="62"/>
      <c r="X31" s="74" t="s">
        <v>38</v>
      </c>
      <c r="Y31" s="7"/>
      <c r="Z31" s="80"/>
      <c r="AA31" s="80"/>
      <c r="AB31" s="13"/>
      <c r="AC31" s="13"/>
      <c r="AD31" s="13"/>
    </row>
    <row r="32" ht="14.4" hidden="1">
      <c r="A32" s="762"/>
      <c r="B32" s="541"/>
      <c r="C32" s="541"/>
      <c r="D32" s="541"/>
      <c r="E32" s="541"/>
      <c r="F32" s="541"/>
      <c r="G32" s="541"/>
      <c r="H32" s="539"/>
      <c r="I32" s="539"/>
      <c r="J32" s="539"/>
      <c r="K32" s="539"/>
      <c r="L32" s="254"/>
      <c r="M32" s="254"/>
      <c r="N32" s="254"/>
      <c r="O32" s="254"/>
      <c r="P32" s="253">
        <f t="shared" si="154"/>
        <v>0</v>
      </c>
      <c r="Q32" s="62">
        <f t="shared" si="158"/>
        <v>120</v>
      </c>
      <c r="R32" s="461">
        <f t="shared" si="155"/>
        <v>0</v>
      </c>
      <c r="S32" s="76" t="s">
        <v>10</v>
      </c>
      <c r="T32" s="77" t="s">
        <v>9</v>
      </c>
      <c r="U32" s="90">
        <f t="shared" si="156"/>
        <v>0</v>
      </c>
      <c r="V32" s="62">
        <f t="shared" si="157"/>
        <v>0</v>
      </c>
      <c r="W32" s="62"/>
      <c r="X32" s="79" t="s">
        <v>49</v>
      </c>
      <c r="Y32" s="7"/>
      <c r="Z32" s="80"/>
      <c r="AA32" s="80"/>
      <c r="AB32" s="13"/>
      <c r="AC32" s="13"/>
      <c r="AD32" s="13"/>
    </row>
    <row r="33" ht="14.25">
      <c r="A33" s="440" t="s">
        <v>39</v>
      </c>
      <c r="B33" s="541"/>
      <c r="C33" s="541"/>
      <c r="D33" s="541"/>
      <c r="E33" s="541"/>
      <c r="F33" s="541"/>
      <c r="G33" s="541"/>
      <c r="H33" s="539"/>
      <c r="I33" s="539"/>
      <c r="J33" s="539"/>
      <c r="K33" s="539"/>
      <c r="L33" s="541"/>
      <c r="M33" s="541"/>
      <c r="N33" s="541"/>
      <c r="O33" s="541"/>
      <c r="P33" s="253">
        <f t="shared" si="154"/>
        <v>0</v>
      </c>
      <c r="Q33" s="62">
        <f t="shared" si="158"/>
        <v>120</v>
      </c>
      <c r="R33" s="461" t="str">
        <f t="shared" si="155"/>
        <v>Игумнов</v>
      </c>
      <c r="S33" s="76" t="s">
        <v>10</v>
      </c>
      <c r="T33" s="77" t="s">
        <v>9</v>
      </c>
      <c r="U33" s="90">
        <f t="shared" si="156"/>
        <v>0</v>
      </c>
      <c r="V33" s="62">
        <f t="shared" si="157"/>
        <v>0</v>
      </c>
      <c r="W33" s="62"/>
      <c r="X33" s="79" t="s">
        <v>34</v>
      </c>
      <c r="Y33" s="7"/>
      <c r="Z33" s="80"/>
      <c r="AA33" s="80"/>
      <c r="AB33" s="13"/>
      <c r="AC33" s="13"/>
      <c r="AD33" s="13"/>
    </row>
    <row r="34" ht="14.25">
      <c r="A34" s="440" t="s">
        <v>40</v>
      </c>
      <c r="B34" s="541"/>
      <c r="C34" s="541"/>
      <c r="D34" s="541"/>
      <c r="E34" s="541"/>
      <c r="F34" s="541"/>
      <c r="G34" s="541"/>
      <c r="H34" s="539"/>
      <c r="I34" s="539"/>
      <c r="J34" s="539"/>
      <c r="K34" s="539"/>
      <c r="L34" s="541" t="s">
        <v>87</v>
      </c>
      <c r="M34" s="541"/>
      <c r="N34" s="541"/>
      <c r="O34" s="541"/>
      <c r="P34" s="253">
        <f t="shared" si="154"/>
        <v>0</v>
      </c>
      <c r="Q34" s="62">
        <f t="shared" si="158"/>
        <v>120</v>
      </c>
      <c r="R34" s="461" t="str">
        <f t="shared" si="155"/>
        <v>Душин</v>
      </c>
      <c r="S34" s="76" t="s">
        <v>10</v>
      </c>
      <c r="T34" s="77" t="s">
        <v>9</v>
      </c>
      <c r="U34" s="90">
        <f t="shared" si="156"/>
        <v>0</v>
      </c>
      <c r="V34" s="62">
        <f t="shared" si="157"/>
        <v>0</v>
      </c>
      <c r="W34" s="62"/>
      <c r="X34" s="74" t="s">
        <v>38</v>
      </c>
      <c r="Y34" s="80"/>
      <c r="Z34" s="80"/>
      <c r="AA34" s="80"/>
      <c r="AB34" s="13"/>
      <c r="AC34" s="13"/>
      <c r="AD34" s="13"/>
    </row>
    <row r="35" ht="14.25">
      <c r="A35" s="440" t="s">
        <v>31</v>
      </c>
      <c r="B35" s="541"/>
      <c r="C35" s="541"/>
      <c r="D35" s="541"/>
      <c r="E35" s="541"/>
      <c r="F35" s="541"/>
      <c r="G35" s="541"/>
      <c r="H35" s="539"/>
      <c r="I35" s="539"/>
      <c r="J35" s="539"/>
      <c r="K35" s="539"/>
      <c r="L35" s="541"/>
      <c r="M35" s="541"/>
      <c r="N35" s="541"/>
      <c r="O35" s="541"/>
      <c r="P35" s="253">
        <f t="shared" si="154"/>
        <v>0</v>
      </c>
      <c r="Q35" s="62">
        <f t="shared" ref="Q35:Q37" si="159">Q17-P35</f>
        <v>120</v>
      </c>
      <c r="R35" s="461" t="str">
        <f t="shared" si="155"/>
        <v>Нетронин</v>
      </c>
      <c r="S35" s="76" t="s">
        <v>58</v>
      </c>
      <c r="T35" s="77" t="s">
        <v>59</v>
      </c>
      <c r="U35" s="90">
        <f t="shared" si="156"/>
        <v>0</v>
      </c>
      <c r="V35" s="62">
        <f t="shared" si="157"/>
        <v>0</v>
      </c>
      <c r="W35" s="62"/>
      <c r="X35" s="74" t="s">
        <v>34</v>
      </c>
      <c r="Y35" s="80"/>
      <c r="Z35" s="80"/>
      <c r="AA35" s="80"/>
      <c r="AB35" s="13"/>
      <c r="AC35" s="13"/>
      <c r="AD35" s="13"/>
    </row>
    <row r="36" ht="14.25">
      <c r="A36" s="440" t="s">
        <v>42</v>
      </c>
      <c r="B36" s="541"/>
      <c r="C36" s="541"/>
      <c r="D36" s="541"/>
      <c r="E36" s="541"/>
      <c r="F36" s="541"/>
      <c r="G36" s="541"/>
      <c r="H36" s="539"/>
      <c r="I36" s="539"/>
      <c r="J36" s="539"/>
      <c r="K36" s="539"/>
      <c r="L36" s="541"/>
      <c r="M36" s="541"/>
      <c r="N36" s="541"/>
      <c r="O36" s="541"/>
      <c r="P36" s="253">
        <f t="shared" si="154"/>
        <v>0</v>
      </c>
      <c r="Q36" s="62">
        <f t="shared" si="159"/>
        <v>116</v>
      </c>
      <c r="R36" s="461" t="str">
        <f t="shared" si="155"/>
        <v>Юращик</v>
      </c>
      <c r="S36" s="76" t="s">
        <v>10</v>
      </c>
      <c r="T36" s="77" t="s">
        <v>9</v>
      </c>
      <c r="U36" s="90">
        <f t="shared" si="156"/>
        <v>0</v>
      </c>
      <c r="V36" s="62">
        <f t="shared" si="157"/>
        <v>0</v>
      </c>
      <c r="W36" s="62"/>
      <c r="X36" s="74" t="s">
        <v>38</v>
      </c>
      <c r="Y36" s="80"/>
      <c r="Z36" s="80"/>
      <c r="AA36" s="80"/>
      <c r="AB36" s="13"/>
      <c r="AC36" s="13"/>
      <c r="AD36" s="13"/>
    </row>
    <row r="37" ht="14.25">
      <c r="A37" s="361" t="s">
        <v>43</v>
      </c>
      <c r="B37" s="247"/>
      <c r="C37" s="247"/>
      <c r="D37" s="15"/>
      <c r="E37" s="15" t="s">
        <v>4</v>
      </c>
      <c r="F37" s="15"/>
      <c r="G37" s="15" t="s">
        <v>4</v>
      </c>
      <c r="H37" s="254"/>
      <c r="I37" s="254"/>
      <c r="J37" s="637"/>
      <c r="K37" s="637"/>
      <c r="L37" s="763"/>
      <c r="M37" s="763">
        <v>12</v>
      </c>
      <c r="N37" s="650"/>
      <c r="O37" s="650" t="s">
        <v>4</v>
      </c>
      <c r="P37" s="253">
        <f t="shared" si="154"/>
        <v>48</v>
      </c>
      <c r="Q37" s="62">
        <f t="shared" si="159"/>
        <v>60</v>
      </c>
      <c r="R37" s="461" t="str">
        <f t="shared" si="155"/>
        <v>Дащенко</v>
      </c>
      <c r="S37" s="76" t="s">
        <v>10</v>
      </c>
      <c r="T37" s="77" t="s">
        <v>9</v>
      </c>
      <c r="U37" s="90">
        <f t="shared" si="156"/>
        <v>0</v>
      </c>
      <c r="V37" s="62">
        <f t="shared" si="157"/>
        <v>0</v>
      </c>
      <c r="W37" s="62"/>
      <c r="X37" s="74" t="s">
        <v>38</v>
      </c>
      <c r="Y37" s="80"/>
      <c r="Z37" s="7"/>
      <c r="AA37" s="7"/>
      <c r="AB37" s="13"/>
      <c r="AC37" s="13"/>
      <c r="AD37" s="13"/>
    </row>
    <row r="38" ht="14.25">
      <c r="A38" s="361" t="s">
        <v>45</v>
      </c>
      <c r="B38" s="764"/>
      <c r="C38" s="764" t="s">
        <v>4</v>
      </c>
      <c r="D38" s="541"/>
      <c r="E38" s="541"/>
      <c r="F38" s="294"/>
      <c r="G38" s="294" t="s">
        <v>4</v>
      </c>
      <c r="H38" s="294"/>
      <c r="I38" s="294" t="s">
        <v>4</v>
      </c>
      <c r="J38" s="247"/>
      <c r="K38" s="247"/>
      <c r="L38" s="541"/>
      <c r="M38" s="541"/>
      <c r="N38" s="653"/>
      <c r="O38" s="653" t="s">
        <v>4</v>
      </c>
      <c r="P38" s="253">
        <f t="shared" si="154"/>
        <v>48</v>
      </c>
      <c r="Q38" s="62">
        <f t="shared" si="158"/>
        <v>48</v>
      </c>
      <c r="R38" s="461" t="str">
        <f t="shared" si="155"/>
        <v>Пузырь</v>
      </c>
      <c r="S38" s="76" t="s">
        <v>10</v>
      </c>
      <c r="T38" s="77" t="s">
        <v>9</v>
      </c>
      <c r="U38" s="90">
        <f t="shared" si="156"/>
        <v>0</v>
      </c>
      <c r="V38" s="62">
        <f t="shared" si="157"/>
        <v>0</v>
      </c>
      <c r="W38" s="62"/>
      <c r="X38" s="74" t="s">
        <v>34</v>
      </c>
      <c r="Y38" s="80"/>
      <c r="Z38" s="7"/>
      <c r="AA38" s="7"/>
      <c r="AB38" s="13"/>
      <c r="AC38" s="13"/>
      <c r="AD38" s="13"/>
    </row>
    <row r="39" ht="14.25">
      <c r="A39" s="361" t="s">
        <v>46</v>
      </c>
      <c r="B39" s="295"/>
      <c r="C39" s="295" t="s">
        <v>4</v>
      </c>
      <c r="D39" s="295"/>
      <c r="E39" s="295" t="s">
        <v>4</v>
      </c>
      <c r="F39" s="541"/>
      <c r="G39" s="541"/>
      <c r="H39" s="541"/>
      <c r="I39" s="541"/>
      <c r="J39" s="294"/>
      <c r="K39" s="294" t="s">
        <v>4</v>
      </c>
      <c r="L39" s="294"/>
      <c r="M39" s="294" t="s">
        <v>4</v>
      </c>
      <c r="N39" s="635"/>
      <c r="O39" s="635"/>
      <c r="P39" s="253">
        <f t="shared" si="154"/>
        <v>48</v>
      </c>
      <c r="Q39" s="62">
        <f t="shared" si="158"/>
        <v>48</v>
      </c>
      <c r="R39" s="461" t="str">
        <f t="shared" si="155"/>
        <v>Голышев</v>
      </c>
      <c r="S39" s="76" t="s">
        <v>10</v>
      </c>
      <c r="T39" s="77" t="s">
        <v>9</v>
      </c>
      <c r="U39" s="90">
        <f t="shared" si="156"/>
        <v>0</v>
      </c>
      <c r="V39" s="62">
        <f t="shared" si="157"/>
        <v>0</v>
      </c>
      <c r="W39" s="62"/>
      <c r="X39" s="74" t="s">
        <v>34</v>
      </c>
      <c r="Y39" s="80"/>
      <c r="Z39" s="7"/>
      <c r="AA39" s="7"/>
      <c r="AB39" s="13"/>
      <c r="AC39" s="13"/>
      <c r="AD39" s="13"/>
    </row>
    <row r="40" ht="14.25">
      <c r="A40" s="361" t="s">
        <v>47</v>
      </c>
      <c r="B40" s="541"/>
      <c r="C40" s="541"/>
      <c r="D40" s="642"/>
      <c r="E40" s="642"/>
      <c r="F40" s="295"/>
      <c r="G40" s="295" t="s">
        <v>4</v>
      </c>
      <c r="H40" s="646"/>
      <c r="I40" s="646" t="s">
        <v>4</v>
      </c>
      <c r="J40" s="254"/>
      <c r="K40" s="254"/>
      <c r="L40" s="637"/>
      <c r="M40" s="637"/>
      <c r="N40" s="295"/>
      <c r="O40" s="295" t="s">
        <v>4</v>
      </c>
      <c r="P40" s="253">
        <f t="shared" si="154"/>
        <v>36</v>
      </c>
      <c r="Q40" s="62">
        <f t="shared" ref="Q40:Q41" si="160">Q24-P40</f>
        <v>52</v>
      </c>
      <c r="R40" s="461" t="str">
        <f t="shared" si="155"/>
        <v>Торубара</v>
      </c>
      <c r="S40" s="76" t="s">
        <v>10</v>
      </c>
      <c r="T40" s="77" t="s">
        <v>9</v>
      </c>
      <c r="U40" s="90">
        <f t="shared" si="156"/>
        <v>0</v>
      </c>
      <c r="V40" s="62">
        <f t="shared" si="157"/>
        <v>0</v>
      </c>
      <c r="W40" s="62"/>
      <c r="X40" s="74" t="s">
        <v>34</v>
      </c>
      <c r="Y40" s="7"/>
      <c r="Z40" s="7"/>
      <c r="AA40" s="7"/>
      <c r="AB40" s="13"/>
      <c r="AC40" s="13"/>
      <c r="AD40" s="13"/>
    </row>
    <row r="41" ht="14.25">
      <c r="A41" s="361" t="s">
        <v>48</v>
      </c>
      <c r="B41" s="765"/>
      <c r="C41" s="765" t="s">
        <v>4</v>
      </c>
      <c r="D41" s="690"/>
      <c r="E41" s="690"/>
      <c r="F41" s="544"/>
      <c r="G41" s="544"/>
      <c r="H41" s="766"/>
      <c r="I41" s="766" t="s">
        <v>4</v>
      </c>
      <c r="J41" s="766"/>
      <c r="K41" s="766" t="s">
        <v>4</v>
      </c>
      <c r="L41" s="766"/>
      <c r="M41" s="766" t="s">
        <v>4</v>
      </c>
      <c r="N41" s="690"/>
      <c r="O41" s="690"/>
      <c r="P41" s="253">
        <f t="shared" si="154"/>
        <v>48</v>
      </c>
      <c r="Q41" s="62">
        <f t="shared" si="160"/>
        <v>48</v>
      </c>
      <c r="R41" s="461" t="str">
        <f t="shared" si="155"/>
        <v>Стрыгин</v>
      </c>
      <c r="S41" s="71" t="s">
        <v>8</v>
      </c>
      <c r="T41" s="72" t="s">
        <v>7</v>
      </c>
      <c r="U41" s="90">
        <f t="shared" si="156"/>
        <v>0</v>
      </c>
      <c r="V41" s="62">
        <f t="shared" si="157"/>
        <v>0</v>
      </c>
      <c r="W41" s="62"/>
      <c r="X41" s="74" t="s">
        <v>49</v>
      </c>
      <c r="Y41" s="7"/>
      <c r="Z41" s="7"/>
      <c r="AA41" s="7"/>
      <c r="AB41" s="13"/>
      <c r="AC41" s="13"/>
      <c r="AD41" s="13"/>
    </row>
    <row r="42" ht="14.25">
      <c r="A42" s="278" t="s">
        <v>50</v>
      </c>
      <c r="B42" s="87"/>
      <c r="C42" s="87"/>
      <c r="D42" s="87"/>
      <c r="E42" s="87"/>
      <c r="F42" s="87"/>
      <c r="G42" s="293"/>
      <c r="H42" s="15"/>
      <c r="I42" s="15" t="s">
        <v>4</v>
      </c>
      <c r="J42" s="15"/>
      <c r="K42" s="15" t="s">
        <v>4</v>
      </c>
      <c r="L42" s="15"/>
      <c r="M42" s="15" t="s">
        <v>4</v>
      </c>
      <c r="N42" s="767"/>
      <c r="O42" s="87"/>
      <c r="P42" s="285">
        <f t="shared" si="154"/>
        <v>36</v>
      </c>
      <c r="Q42" s="62">
        <f t="shared" ref="Q42:Q54" si="161">Q24-P42</f>
        <v>52</v>
      </c>
      <c r="R42" s="461" t="str">
        <f t="shared" si="155"/>
        <v>Фрик</v>
      </c>
      <c r="S42" s="71" t="s">
        <v>12</v>
      </c>
      <c r="T42" s="72" t="s">
        <v>11</v>
      </c>
      <c r="U42" s="90">
        <f t="shared" si="156"/>
        <v>0</v>
      </c>
      <c r="V42" s="62">
        <f t="shared" si="157"/>
        <v>0</v>
      </c>
      <c r="W42" s="62"/>
      <c r="X42" s="74" t="s">
        <v>44</v>
      </c>
      <c r="Y42" s="7"/>
      <c r="Z42" s="7"/>
      <c r="AA42" s="7"/>
      <c r="AB42" s="13"/>
      <c r="AC42" s="13"/>
      <c r="AD42" s="13"/>
    </row>
    <row r="43" ht="14.25">
      <c r="A43" s="576" t="s">
        <v>51</v>
      </c>
      <c r="B43" s="768"/>
      <c r="C43" s="768"/>
      <c r="D43" s="769"/>
      <c r="E43" s="769" t="s">
        <v>4</v>
      </c>
      <c r="F43" s="770"/>
      <c r="G43" s="771" t="s">
        <v>4</v>
      </c>
      <c r="H43" s="550"/>
      <c r="I43" s="550"/>
      <c r="J43" s="772"/>
      <c r="K43" s="773"/>
      <c r="L43" s="136"/>
      <c r="M43" s="136"/>
      <c r="N43" s="177"/>
      <c r="O43" s="177"/>
      <c r="P43" s="253">
        <f t="shared" si="154"/>
        <v>24</v>
      </c>
      <c r="Q43" s="62">
        <f t="shared" si="161"/>
        <v>72</v>
      </c>
      <c r="R43" s="461" t="str">
        <f t="shared" si="155"/>
        <v>Истрашкин</v>
      </c>
      <c r="S43" s="71" t="s">
        <v>10</v>
      </c>
      <c r="T43" s="72" t="s">
        <v>9</v>
      </c>
      <c r="U43" s="90">
        <f t="shared" si="156"/>
        <v>0</v>
      </c>
      <c r="V43" s="62">
        <f t="shared" si="157"/>
        <v>0</v>
      </c>
      <c r="W43" s="62"/>
      <c r="X43" s="74" t="s">
        <v>34</v>
      </c>
      <c r="Y43" s="7"/>
      <c r="Z43" s="7"/>
      <c r="AA43" s="7"/>
      <c r="AB43" s="13"/>
      <c r="AC43" s="13"/>
      <c r="AD43" s="13"/>
    </row>
    <row r="44" ht="14.25">
      <c r="A44" s="245"/>
      <c r="B44" s="743">
        <v>46027</v>
      </c>
      <c r="C44" s="760"/>
      <c r="D44" s="743">
        <v>46028</v>
      </c>
      <c r="E44" s="760"/>
      <c r="F44" s="743">
        <v>46029</v>
      </c>
      <c r="G44" s="760"/>
      <c r="H44" s="757">
        <v>46030</v>
      </c>
      <c r="I44" s="774"/>
      <c r="J44" s="722">
        <v>46031</v>
      </c>
      <c r="K44" s="723"/>
      <c r="L44" s="722">
        <v>46032</v>
      </c>
      <c r="M44" s="723"/>
      <c r="N44" s="722">
        <v>46033</v>
      </c>
      <c r="O44" s="723"/>
      <c r="P44" s="246"/>
      <c r="Q44" s="247"/>
      <c r="R44" s="164"/>
      <c r="S44" s="589"/>
      <c r="T44" s="589"/>
      <c r="U44" s="100"/>
      <c r="V44" s="100"/>
      <c r="W44" s="100"/>
      <c r="X44" s="7"/>
      <c r="Y44" s="7"/>
      <c r="Z44" s="7"/>
      <c r="AA44" s="7"/>
      <c r="AB44" s="13"/>
      <c r="AC44" s="13"/>
      <c r="AD44" s="13"/>
    </row>
    <row r="45" ht="14.25">
      <c r="A45" s="245"/>
      <c r="B45" s="245"/>
      <c r="C45" s="245"/>
      <c r="D45" s="245"/>
      <c r="E45" s="245"/>
      <c r="F45" s="245"/>
      <c r="G45" s="245"/>
      <c r="H45" s="245"/>
      <c r="I45" s="245"/>
      <c r="J45" s="245"/>
      <c r="K45" s="245"/>
      <c r="L45" s="245"/>
      <c r="M45" s="245"/>
      <c r="N45" s="245"/>
      <c r="O45" s="245"/>
      <c r="P45" s="245"/>
      <c r="Q45" s="245"/>
      <c r="R45" s="99"/>
      <c r="S45" s="165"/>
      <c r="T45" s="165"/>
      <c r="U45" s="100"/>
      <c r="V45" s="100"/>
      <c r="W45" s="100"/>
      <c r="X45" s="51"/>
      <c r="Y45" s="7"/>
      <c r="Z45" s="7"/>
      <c r="AA45" s="7"/>
      <c r="AB45" s="13"/>
      <c r="AC45" s="13"/>
      <c r="AD45" s="13"/>
    </row>
    <row r="46" ht="14.25">
      <c r="A46" s="143"/>
      <c r="B46" s="214" t="s">
        <v>17</v>
      </c>
      <c r="C46" s="492"/>
      <c r="D46" s="214" t="s">
        <v>18</v>
      </c>
      <c r="E46" s="492"/>
      <c r="F46" s="214" t="s">
        <v>19</v>
      </c>
      <c r="G46" s="214"/>
      <c r="H46" s="214" t="s">
        <v>20</v>
      </c>
      <c r="I46" s="492"/>
      <c r="J46" s="214" t="s">
        <v>21</v>
      </c>
      <c r="K46" s="214"/>
      <c r="L46" s="214" t="s">
        <v>22</v>
      </c>
      <c r="M46" s="214"/>
      <c r="N46" s="214" t="s">
        <v>23</v>
      </c>
      <c r="O46" s="214"/>
      <c r="P46" s="214" t="s">
        <v>24</v>
      </c>
      <c r="Q46" s="214"/>
      <c r="R46" s="117"/>
      <c r="S46" s="143"/>
      <c r="T46" s="143"/>
      <c r="U46" s="62"/>
      <c r="V46" s="62"/>
      <c r="W46" s="62"/>
      <c r="X46" s="63"/>
      <c r="Y46" s="7"/>
      <c r="Z46" s="7"/>
      <c r="AA46" s="7"/>
      <c r="AB46" s="13"/>
      <c r="AC46" s="13"/>
      <c r="AD46" s="13"/>
    </row>
    <row r="47" ht="14.25">
      <c r="A47" s="143"/>
      <c r="B47" s="526">
        <v>46034</v>
      </c>
      <c r="C47" s="528"/>
      <c r="D47" s="526">
        <v>46035</v>
      </c>
      <c r="E47" s="528"/>
      <c r="F47" s="526">
        <v>46036</v>
      </c>
      <c r="G47" s="528"/>
      <c r="H47" s="526">
        <v>46037</v>
      </c>
      <c r="I47" s="528"/>
      <c r="J47" s="526">
        <v>46038</v>
      </c>
      <c r="K47" s="528"/>
      <c r="L47" s="526">
        <v>46039</v>
      </c>
      <c r="M47" s="528"/>
      <c r="N47" s="526">
        <v>46040</v>
      </c>
      <c r="O47" s="528"/>
      <c r="P47" s="213" t="s">
        <v>25</v>
      </c>
      <c r="Q47" s="214" t="s">
        <v>26</v>
      </c>
      <c r="R47" s="287"/>
      <c r="S47" s="141"/>
      <c r="T47" s="141"/>
      <c r="U47" s="60" t="s">
        <v>27</v>
      </c>
      <c r="V47" s="61" t="s">
        <v>28</v>
      </c>
      <c r="W47" s="62" t="s">
        <v>29</v>
      </c>
      <c r="X47" s="63" t="s">
        <v>30</v>
      </c>
      <c r="Y47" s="7"/>
      <c r="Z47" s="7"/>
      <c r="AA47" s="7"/>
      <c r="AB47" s="13"/>
      <c r="AC47" s="13"/>
      <c r="AD47" s="13"/>
    </row>
    <row r="48" ht="14.25">
      <c r="A48" s="538" t="s">
        <v>35</v>
      </c>
      <c r="B48" s="540" t="s">
        <v>32</v>
      </c>
      <c r="C48" s="540" t="s">
        <v>33</v>
      </c>
      <c r="D48" s="540" t="s">
        <v>32</v>
      </c>
      <c r="E48" s="540" t="s">
        <v>33</v>
      </c>
      <c r="F48" s="540" t="s">
        <v>32</v>
      </c>
      <c r="G48" s="540" t="s">
        <v>33</v>
      </c>
      <c r="H48" s="540" t="s">
        <v>32</v>
      </c>
      <c r="I48" s="540" t="s">
        <v>33</v>
      </c>
      <c r="J48" s="540" t="s">
        <v>32</v>
      </c>
      <c r="K48" s="540" t="s">
        <v>33</v>
      </c>
      <c r="L48" s="541"/>
      <c r="M48" s="541"/>
      <c r="N48" s="541"/>
      <c r="O48" s="541"/>
      <c r="P48" s="253">
        <f t="shared" si="154"/>
        <v>40</v>
      </c>
      <c r="Q48" s="62">
        <f t="shared" si="161"/>
        <v>79.5</v>
      </c>
      <c r="R48" s="461" t="str">
        <f t="shared" si="155"/>
        <v>Рычков</v>
      </c>
      <c r="S48" s="76" t="s">
        <v>10</v>
      </c>
      <c r="T48" s="77" t="s">
        <v>9</v>
      </c>
      <c r="U48" s="90">
        <f t="shared" si="156"/>
        <v>0</v>
      </c>
      <c r="V48" s="62">
        <f t="shared" si="157"/>
        <v>0</v>
      </c>
      <c r="W48" s="62"/>
      <c r="X48" s="74" t="s">
        <v>34</v>
      </c>
      <c r="Y48" s="7"/>
      <c r="Z48" s="7"/>
      <c r="AA48" s="7"/>
      <c r="AB48" s="13"/>
      <c r="AC48" s="13"/>
      <c r="AD48" s="13"/>
    </row>
    <row r="49" ht="14.4" hidden="1">
      <c r="A49" s="762"/>
      <c r="B49" s="540" t="s">
        <v>32</v>
      </c>
      <c r="C49" s="540" t="s">
        <v>33</v>
      </c>
      <c r="D49" s="540" t="s">
        <v>32</v>
      </c>
      <c r="E49" s="540" t="s">
        <v>33</v>
      </c>
      <c r="F49" s="540" t="s">
        <v>32</v>
      </c>
      <c r="G49" s="540" t="s">
        <v>33</v>
      </c>
      <c r="H49" s="540" t="s">
        <v>32</v>
      </c>
      <c r="I49" s="540" t="s">
        <v>33</v>
      </c>
      <c r="J49" s="540" t="s">
        <v>32</v>
      </c>
      <c r="K49" s="540" t="s">
        <v>33</v>
      </c>
      <c r="L49" s="541"/>
      <c r="M49" s="541"/>
      <c r="N49" s="541"/>
      <c r="O49" s="541"/>
      <c r="P49" s="253">
        <f t="shared" si="154"/>
        <v>40</v>
      </c>
      <c r="Q49" s="62">
        <f t="shared" si="161"/>
        <v>80</v>
      </c>
      <c r="R49" s="461">
        <f t="shared" si="155"/>
        <v>0</v>
      </c>
      <c r="S49" s="76" t="s">
        <v>10</v>
      </c>
      <c r="T49" s="77" t="s">
        <v>9</v>
      </c>
      <c r="U49" s="90">
        <f t="shared" si="156"/>
        <v>0</v>
      </c>
      <c r="V49" s="62">
        <f t="shared" si="157"/>
        <v>0</v>
      </c>
      <c r="W49" s="62"/>
      <c r="X49" s="74" t="s">
        <v>38</v>
      </c>
      <c r="Y49" s="7"/>
      <c r="Z49" s="7"/>
      <c r="AA49" s="7"/>
      <c r="AB49" s="13"/>
      <c r="AC49" s="13"/>
      <c r="AD49" s="13"/>
    </row>
    <row r="50" ht="14.4" hidden="1">
      <c r="A50" s="762"/>
      <c r="B50" s="540" t="s">
        <v>32</v>
      </c>
      <c r="C50" s="540" t="s">
        <v>33</v>
      </c>
      <c r="D50" s="540" t="s">
        <v>32</v>
      </c>
      <c r="E50" s="540" t="s">
        <v>33</v>
      </c>
      <c r="F50" s="540" t="s">
        <v>32</v>
      </c>
      <c r="G50" s="540" t="s">
        <v>33</v>
      </c>
      <c r="H50" s="540" t="s">
        <v>32</v>
      </c>
      <c r="I50" s="540" t="s">
        <v>33</v>
      </c>
      <c r="J50" s="540" t="s">
        <v>32</v>
      </c>
      <c r="K50" s="540" t="s">
        <v>33</v>
      </c>
      <c r="L50" s="254"/>
      <c r="M50" s="254"/>
      <c r="N50" s="254"/>
      <c r="O50" s="254"/>
      <c r="P50" s="253">
        <f t="shared" si="154"/>
        <v>40</v>
      </c>
      <c r="Q50" s="62">
        <f t="shared" si="161"/>
        <v>80</v>
      </c>
      <c r="R50" s="461">
        <f t="shared" si="155"/>
        <v>0</v>
      </c>
      <c r="S50" s="76" t="s">
        <v>10</v>
      </c>
      <c r="T50" s="77" t="s">
        <v>9</v>
      </c>
      <c r="U50" s="90">
        <f t="shared" si="156"/>
        <v>0</v>
      </c>
      <c r="V50" s="62">
        <f t="shared" si="157"/>
        <v>0</v>
      </c>
      <c r="W50" s="62"/>
      <c r="X50" s="79" t="s">
        <v>49</v>
      </c>
      <c r="Y50" s="7"/>
      <c r="Z50" s="7"/>
      <c r="AA50" s="7"/>
      <c r="AB50" s="13"/>
      <c r="AC50" s="13"/>
      <c r="AD50" s="13"/>
    </row>
    <row r="51" ht="14.25">
      <c r="A51" s="440" t="s">
        <v>39</v>
      </c>
      <c r="B51" s="540" t="s">
        <v>32</v>
      </c>
      <c r="C51" s="540" t="s">
        <v>33</v>
      </c>
      <c r="D51" s="540" t="s">
        <v>32</v>
      </c>
      <c r="E51" s="540" t="s">
        <v>33</v>
      </c>
      <c r="F51" s="540" t="s">
        <v>32</v>
      </c>
      <c r="G51" s="540" t="s">
        <v>33</v>
      </c>
      <c r="H51" s="540" t="s">
        <v>32</v>
      </c>
      <c r="I51" s="540" t="s">
        <v>33</v>
      </c>
      <c r="J51" s="540" t="s">
        <v>32</v>
      </c>
      <c r="K51" s="540" t="s">
        <v>33</v>
      </c>
      <c r="L51" s="541"/>
      <c r="M51" s="541"/>
      <c r="N51" s="541"/>
      <c r="O51" s="541"/>
      <c r="P51" s="253">
        <f t="shared" si="154"/>
        <v>40</v>
      </c>
      <c r="Q51" s="62">
        <f t="shared" si="161"/>
        <v>80</v>
      </c>
      <c r="R51" s="461" t="str">
        <f t="shared" si="155"/>
        <v>Игумнов</v>
      </c>
      <c r="S51" s="76" t="s">
        <v>10</v>
      </c>
      <c r="T51" s="77" t="s">
        <v>9</v>
      </c>
      <c r="U51" s="90">
        <f t="shared" si="156"/>
        <v>0</v>
      </c>
      <c r="V51" s="62">
        <f t="shared" si="157"/>
        <v>0</v>
      </c>
      <c r="W51" s="62"/>
      <c r="X51" s="79" t="s">
        <v>34</v>
      </c>
      <c r="Y51" s="7"/>
      <c r="Z51" s="7"/>
      <c r="AA51" s="7"/>
      <c r="AB51" s="13"/>
      <c r="AC51" s="13"/>
      <c r="AD51" s="13"/>
    </row>
    <row r="52" ht="14.25">
      <c r="A52" s="440" t="s">
        <v>40</v>
      </c>
      <c r="B52" s="540" t="s">
        <v>32</v>
      </c>
      <c r="C52" s="540" t="s">
        <v>33</v>
      </c>
      <c r="D52" s="540" t="s">
        <v>32</v>
      </c>
      <c r="E52" s="540" t="s">
        <v>33</v>
      </c>
      <c r="F52" s="540" t="s">
        <v>32</v>
      </c>
      <c r="G52" s="540" t="s">
        <v>33</v>
      </c>
      <c r="H52" s="540" t="s">
        <v>32</v>
      </c>
      <c r="I52" s="540" t="s">
        <v>33</v>
      </c>
      <c r="J52" s="540" t="s">
        <v>32</v>
      </c>
      <c r="K52" s="540" t="s">
        <v>33</v>
      </c>
      <c r="L52" s="541"/>
      <c r="M52" s="541"/>
      <c r="N52" s="541"/>
      <c r="O52" s="541"/>
      <c r="P52" s="253">
        <f t="shared" si="154"/>
        <v>40</v>
      </c>
      <c r="Q52" s="62">
        <f t="shared" si="161"/>
        <v>80</v>
      </c>
      <c r="R52" s="461" t="str">
        <f t="shared" si="155"/>
        <v>Душин</v>
      </c>
      <c r="S52" s="76" t="s">
        <v>10</v>
      </c>
      <c r="T52" s="77" t="s">
        <v>9</v>
      </c>
      <c r="U52" s="90">
        <f t="shared" si="156"/>
        <v>0</v>
      </c>
      <c r="V52" s="62">
        <f t="shared" si="157"/>
        <v>0</v>
      </c>
      <c r="W52" s="62"/>
      <c r="X52" s="74" t="s">
        <v>38</v>
      </c>
      <c r="Y52" s="7"/>
      <c r="Z52" s="7"/>
      <c r="AA52" s="7"/>
      <c r="AB52" s="13"/>
      <c r="AC52" s="13"/>
      <c r="AD52" s="13"/>
    </row>
    <row r="53" ht="14.25">
      <c r="A53" s="440" t="s">
        <v>31</v>
      </c>
      <c r="B53" s="540" t="s">
        <v>32</v>
      </c>
      <c r="C53" s="540" t="s">
        <v>33</v>
      </c>
      <c r="D53" s="540" t="s">
        <v>32</v>
      </c>
      <c r="E53" s="540" t="s">
        <v>33</v>
      </c>
      <c r="F53" s="540" t="s">
        <v>32</v>
      </c>
      <c r="G53" s="540" t="s">
        <v>33</v>
      </c>
      <c r="H53" s="540" t="s">
        <v>32</v>
      </c>
      <c r="I53" s="540" t="s">
        <v>33</v>
      </c>
      <c r="J53" s="540" t="s">
        <v>32</v>
      </c>
      <c r="K53" s="540" t="s">
        <v>33</v>
      </c>
      <c r="L53" s="541"/>
      <c r="M53" s="541"/>
      <c r="N53" s="541"/>
      <c r="O53" s="541"/>
      <c r="P53" s="253">
        <f t="shared" si="154"/>
        <v>40</v>
      </c>
      <c r="Q53" s="62">
        <f t="shared" si="161"/>
        <v>80</v>
      </c>
      <c r="R53" s="461" t="str">
        <f t="shared" si="155"/>
        <v>Нетронин</v>
      </c>
      <c r="S53" s="76" t="s">
        <v>58</v>
      </c>
      <c r="T53" s="77" t="s">
        <v>59</v>
      </c>
      <c r="U53" s="90"/>
      <c r="V53" s="62"/>
      <c r="W53" s="62"/>
      <c r="X53" s="74" t="s">
        <v>34</v>
      </c>
      <c r="Y53" s="7"/>
      <c r="Z53" s="7"/>
      <c r="AA53" s="7"/>
      <c r="AB53" s="13"/>
      <c r="AC53" s="13"/>
      <c r="AD53" s="13"/>
    </row>
    <row r="54" ht="14.25">
      <c r="A54" s="440" t="s">
        <v>42</v>
      </c>
      <c r="B54" s="540" t="s">
        <v>32</v>
      </c>
      <c r="C54" s="540" t="s">
        <v>33</v>
      </c>
      <c r="D54" s="540" t="s">
        <v>32</v>
      </c>
      <c r="E54" s="540" t="s">
        <v>33</v>
      </c>
      <c r="F54" s="540" t="s">
        <v>32</v>
      </c>
      <c r="G54" s="540" t="s">
        <v>33</v>
      </c>
      <c r="H54" s="540" t="s">
        <v>32</v>
      </c>
      <c r="I54" s="540" t="s">
        <v>33</v>
      </c>
      <c r="J54" s="540" t="s">
        <v>32</v>
      </c>
      <c r="K54" s="540" t="s">
        <v>33</v>
      </c>
      <c r="L54" s="541"/>
      <c r="M54" s="541"/>
      <c r="N54" s="541"/>
      <c r="O54" s="541"/>
      <c r="P54" s="253">
        <f t="shared" si="154"/>
        <v>40</v>
      </c>
      <c r="Q54" s="62">
        <f t="shared" si="161"/>
        <v>76</v>
      </c>
      <c r="R54" s="461" t="str">
        <f t="shared" si="155"/>
        <v>Юращик</v>
      </c>
      <c r="S54" s="76" t="s">
        <v>10</v>
      </c>
      <c r="T54" s="77" t="s">
        <v>9</v>
      </c>
      <c r="U54" s="90"/>
      <c r="V54" s="62"/>
      <c r="W54" s="62"/>
      <c r="X54" s="74" t="s">
        <v>38</v>
      </c>
      <c r="Y54" s="7"/>
      <c r="Z54" s="7"/>
      <c r="AA54" s="7"/>
      <c r="AB54" s="13"/>
      <c r="AC54" s="13"/>
      <c r="AD54" s="13"/>
    </row>
    <row r="55" ht="14.25">
      <c r="A55" s="361" t="s">
        <v>45</v>
      </c>
      <c r="B55" s="775"/>
      <c r="C55" s="775"/>
      <c r="D55" s="541"/>
      <c r="E55" s="541"/>
      <c r="F55" s="541"/>
      <c r="G55" s="541"/>
      <c r="H55" s="254"/>
      <c r="I55" s="254"/>
      <c r="J55" s="776"/>
      <c r="K55" s="776"/>
      <c r="L55" s="16"/>
      <c r="M55" s="16" t="s">
        <v>4</v>
      </c>
      <c r="N55" s="748"/>
      <c r="O55" s="748" t="s">
        <v>4</v>
      </c>
      <c r="P55" s="253">
        <f t="shared" si="154"/>
        <v>24</v>
      </c>
      <c r="Q55" s="62">
        <f t="shared" ref="Q55:Q60" si="162">Q38-P55</f>
        <v>24</v>
      </c>
      <c r="R55" s="461" t="str">
        <f t="shared" si="155"/>
        <v>Пузырь</v>
      </c>
      <c r="S55" s="76" t="s">
        <v>10</v>
      </c>
      <c r="T55" s="77" t="s">
        <v>9</v>
      </c>
      <c r="U55" s="90">
        <f t="shared" si="156"/>
        <v>0</v>
      </c>
      <c r="V55" s="62">
        <f t="shared" si="157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361" t="s">
        <v>46</v>
      </c>
      <c r="B56" s="541"/>
      <c r="C56" s="541"/>
      <c r="D56" s="646"/>
      <c r="E56" s="646" t="s">
        <v>4</v>
      </c>
      <c r="F56" s="637"/>
      <c r="G56" s="637"/>
      <c r="H56" s="632"/>
      <c r="I56" s="632"/>
      <c r="J56" s="775"/>
      <c r="K56" s="775"/>
      <c r="L56" s="650"/>
      <c r="M56" s="650" t="s">
        <v>4</v>
      </c>
      <c r="N56" s="635"/>
      <c r="O56" s="635"/>
      <c r="P56" s="253">
        <f t="shared" si="154"/>
        <v>24</v>
      </c>
      <c r="Q56" s="62">
        <f t="shared" si="162"/>
        <v>24</v>
      </c>
      <c r="R56" s="461" t="str">
        <f t="shared" si="155"/>
        <v>Голышев</v>
      </c>
      <c r="S56" s="76" t="s">
        <v>10</v>
      </c>
      <c r="T56" s="77" t="s">
        <v>9</v>
      </c>
      <c r="U56" s="90">
        <f t="shared" si="156"/>
        <v>0</v>
      </c>
      <c r="V56" s="62">
        <f t="shared" si="157"/>
        <v>0</v>
      </c>
      <c r="W56" s="62"/>
      <c r="X56" s="74" t="s">
        <v>34</v>
      </c>
      <c r="Y56" s="7"/>
      <c r="Z56" s="7"/>
      <c r="AA56" s="7"/>
      <c r="AB56" s="13"/>
      <c r="AC56" s="13"/>
      <c r="AD56" s="13"/>
    </row>
    <row r="57" ht="14.25">
      <c r="A57" s="361" t="s">
        <v>47</v>
      </c>
      <c r="B57" s="254"/>
      <c r="C57" s="254"/>
      <c r="D57" s="247"/>
      <c r="E57" s="247"/>
      <c r="F57" s="541"/>
      <c r="G57" s="541"/>
      <c r="H57" s="541"/>
      <c r="I57" s="541"/>
      <c r="J57" s="254"/>
      <c r="K57" s="254"/>
      <c r="L57" s="541"/>
      <c r="M57" s="541"/>
      <c r="N57" s="777"/>
      <c r="O57" s="777"/>
      <c r="P57" s="253">
        <f t="shared" si="154"/>
        <v>0</v>
      </c>
      <c r="Q57" s="62">
        <f t="shared" si="162"/>
        <v>52</v>
      </c>
      <c r="R57" s="461" t="str">
        <f t="shared" si="155"/>
        <v>Торубара</v>
      </c>
      <c r="S57" s="76" t="s">
        <v>10</v>
      </c>
      <c r="T57" s="77" t="s">
        <v>9</v>
      </c>
      <c r="U57" s="90">
        <f t="shared" si="156"/>
        <v>0</v>
      </c>
      <c r="V57" s="62">
        <f t="shared" si="157"/>
        <v>0</v>
      </c>
      <c r="W57" s="62"/>
      <c r="X57" s="74" t="s">
        <v>34</v>
      </c>
      <c r="Y57" s="7"/>
      <c r="Z57" s="7"/>
      <c r="AA57" s="7"/>
      <c r="AB57" s="13"/>
      <c r="AC57" s="13"/>
      <c r="AD57" s="13"/>
    </row>
    <row r="58" ht="14.25">
      <c r="A58" s="361" t="s">
        <v>48</v>
      </c>
      <c r="B58" s="778"/>
      <c r="C58" s="778"/>
      <c r="D58" s="778"/>
      <c r="E58" s="778"/>
      <c r="F58" s="779"/>
      <c r="G58" s="779" t="s">
        <v>33</v>
      </c>
      <c r="H58" s="780"/>
      <c r="I58" s="780" t="s">
        <v>33</v>
      </c>
      <c r="J58" s="778"/>
      <c r="K58" s="778"/>
      <c r="L58" s="778"/>
      <c r="M58" s="778"/>
      <c r="N58" s="778"/>
      <c r="O58" s="778"/>
      <c r="P58" s="253">
        <f t="shared" si="154"/>
        <v>16</v>
      </c>
      <c r="Q58" s="62">
        <f t="shared" si="162"/>
        <v>32</v>
      </c>
      <c r="R58" s="461" t="str">
        <f t="shared" si="155"/>
        <v>Стрыгин</v>
      </c>
      <c r="S58" s="71" t="s">
        <v>8</v>
      </c>
      <c r="T58" s="72" t="s">
        <v>7</v>
      </c>
      <c r="U58" s="90">
        <f t="shared" si="156"/>
        <v>0</v>
      </c>
      <c r="V58" s="62">
        <f t="shared" si="157"/>
        <v>0</v>
      </c>
      <c r="W58" s="62"/>
      <c r="X58" s="74" t="s">
        <v>49</v>
      </c>
      <c r="Y58" s="7"/>
      <c r="Z58" s="7"/>
      <c r="AA58" s="7"/>
      <c r="AB58" s="13"/>
      <c r="AC58" s="13"/>
      <c r="AD58" s="13"/>
    </row>
    <row r="59" ht="14.25">
      <c r="A59" s="361" t="s">
        <v>50</v>
      </c>
      <c r="B59" s="541"/>
      <c r="C59" s="541"/>
      <c r="D59" s="781"/>
      <c r="E59" s="781"/>
      <c r="F59" s="294"/>
      <c r="G59" s="294" t="s">
        <v>4</v>
      </c>
      <c r="H59" s="541"/>
      <c r="I59" s="541"/>
      <c r="J59" s="541"/>
      <c r="K59" s="541"/>
      <c r="L59" s="775"/>
      <c r="M59" s="775"/>
      <c r="N59" s="653"/>
      <c r="O59" s="653" t="s">
        <v>4</v>
      </c>
      <c r="P59" s="253">
        <f t="shared" si="154"/>
        <v>24</v>
      </c>
      <c r="Q59" s="62">
        <f t="shared" si="162"/>
        <v>28</v>
      </c>
      <c r="R59" s="461" t="str">
        <f t="shared" si="155"/>
        <v>Фрик</v>
      </c>
      <c r="S59" s="71" t="s">
        <v>12</v>
      </c>
      <c r="T59" s="72" t="s">
        <v>11</v>
      </c>
      <c r="U59" s="90">
        <f t="shared" si="156"/>
        <v>0</v>
      </c>
      <c r="V59" s="62">
        <f t="shared" si="157"/>
        <v>0</v>
      </c>
      <c r="W59" s="62"/>
      <c r="X59" s="74" t="s">
        <v>44</v>
      </c>
      <c r="Y59" s="7"/>
      <c r="Z59" s="7"/>
      <c r="AA59" s="7"/>
      <c r="AB59" s="13"/>
      <c r="AC59" s="13"/>
      <c r="AD59" s="13"/>
    </row>
    <row r="60" ht="14.25">
      <c r="A60" s="361" t="s">
        <v>51</v>
      </c>
      <c r="B60" s="294"/>
      <c r="C60" s="633" t="s">
        <v>4</v>
      </c>
      <c r="D60" s="87"/>
      <c r="E60" s="87"/>
      <c r="F60" s="724"/>
      <c r="G60" s="254"/>
      <c r="H60" s="748"/>
      <c r="I60" s="748" t="s">
        <v>4</v>
      </c>
      <c r="J60" s="640"/>
      <c r="K60" s="640" t="s">
        <v>4</v>
      </c>
      <c r="L60" s="632"/>
      <c r="M60" s="632"/>
      <c r="N60" s="254"/>
      <c r="O60" s="254"/>
      <c r="P60" s="253">
        <f t="shared" si="154"/>
        <v>36</v>
      </c>
      <c r="Q60" s="62">
        <f t="shared" si="162"/>
        <v>36</v>
      </c>
      <c r="R60" s="461" t="str">
        <f t="shared" si="155"/>
        <v>Истрашкин</v>
      </c>
      <c r="S60" s="71" t="s">
        <v>10</v>
      </c>
      <c r="T60" s="72" t="s">
        <v>9</v>
      </c>
      <c r="U60" s="90">
        <f t="shared" si="156"/>
        <v>0</v>
      </c>
      <c r="V60" s="62">
        <f t="shared" si="157"/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361" t="s">
        <v>43</v>
      </c>
      <c r="B61" s="754"/>
      <c r="C61" s="782" t="s">
        <v>33</v>
      </c>
      <c r="D61" s="87"/>
      <c r="E61" s="87"/>
      <c r="F61" s="783"/>
      <c r="G61" s="635"/>
      <c r="H61" s="635"/>
      <c r="I61" s="635"/>
      <c r="J61" s="653"/>
      <c r="K61" s="653" t="s">
        <v>33</v>
      </c>
      <c r="L61" s="632"/>
      <c r="M61" s="632"/>
      <c r="N61" s="632"/>
      <c r="O61" s="632"/>
      <c r="P61" s="253">
        <f>C61+E79+G61+I61+K61+M61+O61</f>
        <v>16</v>
      </c>
      <c r="Q61" s="62">
        <f>Q37-P61</f>
        <v>44</v>
      </c>
      <c r="R61" s="461" t="str">
        <f t="shared" si="155"/>
        <v>Дащенко</v>
      </c>
      <c r="S61" s="71" t="s">
        <v>12</v>
      </c>
      <c r="T61" s="72" t="s">
        <v>11</v>
      </c>
      <c r="U61" s="90">
        <f>COUNTIF(T61,B61)+COUNTIF(T61,D79)+COUNTIF(T61,F61)+COUNTIF(T61,H61)+COUNTIF(T61,J61)+COUNTIF(T61,L61)+COUNTIF(T61,N61)</f>
        <v>0</v>
      </c>
      <c r="V61" s="62">
        <f>COUNTIF(S61,B61)+COUNTIF(S61,D79)+COUNTIF(S61,F61)+COUNTIF(S61,H61)+COUNTIF(S61,J61)+COUNTIF(S61,L61)+COUNTIF(S61,N61)</f>
        <v>0</v>
      </c>
      <c r="W61" s="62"/>
      <c r="X61" s="80" t="s">
        <v>44</v>
      </c>
      <c r="Y61" s="7"/>
      <c r="Z61" s="7"/>
      <c r="AA61" s="7"/>
      <c r="AB61" s="13"/>
      <c r="AC61" s="13"/>
      <c r="AD61" s="13"/>
    </row>
    <row r="62" ht="14.25">
      <c r="A62" s="207"/>
      <c r="B62" s="526">
        <v>46034</v>
      </c>
      <c r="C62" s="528"/>
      <c r="D62" s="500">
        <v>46035</v>
      </c>
      <c r="E62" s="686"/>
      <c r="F62" s="526">
        <v>46036</v>
      </c>
      <c r="G62" s="528"/>
      <c r="H62" s="526">
        <v>46037</v>
      </c>
      <c r="I62" s="528"/>
      <c r="J62" s="526">
        <v>46038</v>
      </c>
      <c r="K62" s="528"/>
      <c r="L62" s="526">
        <v>46039</v>
      </c>
      <c r="M62" s="528"/>
      <c r="N62" s="526">
        <v>46040</v>
      </c>
      <c r="O62" s="528"/>
      <c r="P62" s="253"/>
      <c r="Q62" s="254"/>
      <c r="R62" s="297"/>
      <c r="S62" s="134"/>
      <c r="T62" s="134"/>
      <c r="U62" s="60" t="s">
        <v>27</v>
      </c>
      <c r="V62" s="61" t="s">
        <v>28</v>
      </c>
      <c r="W62" s="62" t="s">
        <v>29</v>
      </c>
      <c r="X62" s="7"/>
      <c r="Y62" s="7"/>
      <c r="Z62" s="7"/>
      <c r="AA62" s="7"/>
      <c r="AB62" s="13"/>
      <c r="AC62" s="13"/>
      <c r="AD62" s="13"/>
    </row>
    <row r="63" ht="14.25">
      <c r="A63" s="165"/>
      <c r="B63" s="165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27"/>
      <c r="S63" s="127"/>
      <c r="T63" s="127"/>
      <c r="U63" s="127"/>
      <c r="V63" s="127"/>
      <c r="W63" s="128"/>
      <c r="X63" s="7"/>
      <c r="Y63" s="7"/>
      <c r="Z63" s="7"/>
      <c r="AA63" s="7"/>
      <c r="AB63" s="13"/>
      <c r="AC63" s="13"/>
      <c r="AD63" s="13"/>
    </row>
    <row r="64" ht="14.25">
      <c r="A64" s="143"/>
      <c r="B64" s="214" t="s">
        <v>17</v>
      </c>
      <c r="C64" s="492"/>
      <c r="D64" s="214" t="s">
        <v>18</v>
      </c>
      <c r="E64" s="492"/>
      <c r="F64" s="214" t="s">
        <v>19</v>
      </c>
      <c r="G64" s="214"/>
      <c r="H64" s="214" t="s">
        <v>20</v>
      </c>
      <c r="I64" s="492"/>
      <c r="J64" s="493" t="s">
        <v>21</v>
      </c>
      <c r="K64" s="493"/>
      <c r="L64" s="214" t="s">
        <v>22</v>
      </c>
      <c r="M64" s="214"/>
      <c r="N64" s="214" t="s">
        <v>23</v>
      </c>
      <c r="O64" s="214"/>
      <c r="P64" s="214" t="s">
        <v>24</v>
      </c>
      <c r="Q64" s="214"/>
      <c r="R64" s="117"/>
      <c r="S64" s="143"/>
      <c r="T64" s="143"/>
      <c r="U64" s="62"/>
      <c r="V64" s="62"/>
      <c r="W64" s="62"/>
      <c r="X64" s="51"/>
      <c r="Y64" s="7"/>
      <c r="Z64" s="7"/>
      <c r="AA64" s="7"/>
      <c r="AB64" s="13"/>
      <c r="AC64" s="13"/>
      <c r="AD64" s="13"/>
    </row>
    <row r="65" ht="14.4">
      <c r="A65" s="143"/>
      <c r="B65" s="526">
        <v>46041</v>
      </c>
      <c r="C65" s="528"/>
      <c r="D65" s="526">
        <v>46042</v>
      </c>
      <c r="E65" s="528"/>
      <c r="F65" s="526">
        <v>46043</v>
      </c>
      <c r="G65" s="528"/>
      <c r="H65" s="526">
        <v>46044</v>
      </c>
      <c r="I65" s="528"/>
      <c r="J65" s="526">
        <v>46045</v>
      </c>
      <c r="K65" s="528"/>
      <c r="L65" s="526">
        <v>46046</v>
      </c>
      <c r="M65" s="528"/>
      <c r="N65" s="526">
        <v>46047</v>
      </c>
      <c r="O65" s="528"/>
      <c r="P65" s="213" t="s">
        <v>25</v>
      </c>
      <c r="Q65" s="214" t="s">
        <v>26</v>
      </c>
      <c r="R65" s="287"/>
      <c r="S65" s="141"/>
      <c r="T65" s="141"/>
      <c r="U65" s="60" t="s">
        <v>27</v>
      </c>
      <c r="V65" s="61" t="s">
        <v>28</v>
      </c>
      <c r="W65" s="62" t="s">
        <v>29</v>
      </c>
      <c r="X65" s="63" t="s">
        <v>30</v>
      </c>
      <c r="Y65" s="7"/>
      <c r="Z65" s="7"/>
      <c r="AA65" s="7"/>
      <c r="AB65" s="13"/>
      <c r="AC65" s="13"/>
      <c r="AD65" s="13"/>
    </row>
    <row r="66" ht="14.4">
      <c r="A66" s="538" t="s">
        <v>35</v>
      </c>
      <c r="B66" s="540" t="s">
        <v>32</v>
      </c>
      <c r="C66" s="540" t="s">
        <v>33</v>
      </c>
      <c r="D66" s="540" t="s">
        <v>32</v>
      </c>
      <c r="E66" s="540" t="s">
        <v>33</v>
      </c>
      <c r="F66" s="540" t="s">
        <v>32</v>
      </c>
      <c r="G66" s="540" t="s">
        <v>33</v>
      </c>
      <c r="H66" s="540" t="s">
        <v>32</v>
      </c>
      <c r="I66" s="540" t="s">
        <v>88</v>
      </c>
      <c r="J66" s="540" t="s">
        <v>32</v>
      </c>
      <c r="K66" s="540" t="s">
        <v>33</v>
      </c>
      <c r="L66" s="541"/>
      <c r="M66" s="541"/>
      <c r="N66" s="541"/>
      <c r="O66" s="541"/>
      <c r="P66" s="253">
        <f t="shared" si="154"/>
        <v>41.5</v>
      </c>
      <c r="Q66" s="62">
        <f t="shared" ref="Q66:Q84" si="163">Q48-P66</f>
        <v>38</v>
      </c>
      <c r="R66" s="461" t="str">
        <f t="shared" si="155"/>
        <v>Рычков</v>
      </c>
      <c r="S66" s="76" t="s">
        <v>10</v>
      </c>
      <c r="T66" s="77" t="s">
        <v>9</v>
      </c>
      <c r="U66" s="90">
        <f t="shared" si="156"/>
        <v>0</v>
      </c>
      <c r="V66" s="62">
        <f t="shared" si="157"/>
        <v>0</v>
      </c>
      <c r="W66" s="62"/>
      <c r="X66" s="74" t="s">
        <v>34</v>
      </c>
      <c r="Y66" s="7"/>
      <c r="Z66" s="7"/>
      <c r="AA66" s="7"/>
      <c r="AB66" s="13"/>
      <c r="AC66" s="13"/>
      <c r="AD66" s="13"/>
    </row>
    <row r="67" ht="14.4" hidden="1">
      <c r="A67" s="762"/>
      <c r="B67" s="540" t="s">
        <v>32</v>
      </c>
      <c r="C67" s="540" t="s">
        <v>33</v>
      </c>
      <c r="D67" s="540" t="s">
        <v>32</v>
      </c>
      <c r="E67" s="540" t="s">
        <v>33</v>
      </c>
      <c r="F67" s="540" t="s">
        <v>32</v>
      </c>
      <c r="G67" s="540" t="s">
        <v>33</v>
      </c>
      <c r="H67" s="540" t="s">
        <v>32</v>
      </c>
      <c r="I67" s="540" t="s">
        <v>89</v>
      </c>
      <c r="J67" s="540" t="s">
        <v>32</v>
      </c>
      <c r="K67" s="540" t="s">
        <v>33</v>
      </c>
      <c r="L67" s="541"/>
      <c r="M67" s="541"/>
      <c r="N67" s="541"/>
      <c r="O67" s="541"/>
      <c r="P67" s="253">
        <f t="shared" si="154"/>
        <v>38</v>
      </c>
      <c r="Q67" s="62">
        <f t="shared" si="163"/>
        <v>42</v>
      </c>
      <c r="R67" s="461">
        <f t="shared" si="155"/>
        <v>0</v>
      </c>
      <c r="S67" s="76" t="s">
        <v>10</v>
      </c>
      <c r="T67" s="77" t="s">
        <v>9</v>
      </c>
      <c r="U67" s="90">
        <f t="shared" si="156"/>
        <v>0</v>
      </c>
      <c r="V67" s="62">
        <f t="shared" si="157"/>
        <v>0</v>
      </c>
      <c r="W67" s="62"/>
      <c r="X67" s="74" t="s">
        <v>38</v>
      </c>
      <c r="Y67" s="7"/>
      <c r="Z67" s="7"/>
      <c r="AA67" s="7"/>
      <c r="AB67" s="13"/>
      <c r="AC67" s="13"/>
      <c r="AD67" s="13"/>
    </row>
    <row r="68" ht="14.4" hidden="1">
      <c r="A68" s="762"/>
      <c r="B68" s="540" t="s">
        <v>32</v>
      </c>
      <c r="C68" s="540" t="s">
        <v>33</v>
      </c>
      <c r="D68" s="540" t="s">
        <v>32</v>
      </c>
      <c r="E68" s="540" t="s">
        <v>33</v>
      </c>
      <c r="F68" s="540" t="s">
        <v>32</v>
      </c>
      <c r="G68" s="540" t="s">
        <v>33</v>
      </c>
      <c r="H68" s="540" t="s">
        <v>32</v>
      </c>
      <c r="I68" s="540" t="s">
        <v>56</v>
      </c>
      <c r="J68" s="540" t="s">
        <v>32</v>
      </c>
      <c r="K68" s="540" t="s">
        <v>33</v>
      </c>
      <c r="L68" s="254"/>
      <c r="M68" s="254"/>
      <c r="N68" s="254"/>
      <c r="O68" s="254"/>
      <c r="P68" s="253">
        <f t="shared" si="154"/>
        <v>39</v>
      </c>
      <c r="Q68" s="62">
        <f t="shared" si="163"/>
        <v>41</v>
      </c>
      <c r="R68" s="461">
        <f t="shared" si="155"/>
        <v>0</v>
      </c>
      <c r="S68" s="76" t="s">
        <v>10</v>
      </c>
      <c r="T68" s="77" t="s">
        <v>9</v>
      </c>
      <c r="U68" s="90">
        <f t="shared" si="156"/>
        <v>0</v>
      </c>
      <c r="V68" s="62">
        <f t="shared" si="157"/>
        <v>0</v>
      </c>
      <c r="W68" s="62"/>
      <c r="X68" s="79" t="s">
        <v>49</v>
      </c>
      <c r="Y68" s="7"/>
      <c r="Z68" s="7"/>
      <c r="AA68" s="7"/>
      <c r="AB68" s="13"/>
      <c r="AC68" s="13"/>
      <c r="AD68" s="13"/>
    </row>
    <row r="69" ht="14.4">
      <c r="A69" s="440" t="s">
        <v>39</v>
      </c>
      <c r="B69" s="540" t="s">
        <v>32</v>
      </c>
      <c r="C69" s="540" t="s">
        <v>33</v>
      </c>
      <c r="D69" s="540" t="s">
        <v>32</v>
      </c>
      <c r="E69" s="540" t="s">
        <v>33</v>
      </c>
      <c r="F69" s="540" t="s">
        <v>32</v>
      </c>
      <c r="G69" s="540" t="s">
        <v>33</v>
      </c>
      <c r="H69" s="540" t="s">
        <v>32</v>
      </c>
      <c r="I69" s="540" t="s">
        <v>33</v>
      </c>
      <c r="J69" s="540" t="s">
        <v>32</v>
      </c>
      <c r="K69" s="540" t="s">
        <v>33</v>
      </c>
      <c r="L69" s="541"/>
      <c r="M69" s="541"/>
      <c r="N69" s="541"/>
      <c r="O69" s="541"/>
      <c r="P69" s="253">
        <f t="shared" si="154"/>
        <v>40</v>
      </c>
      <c r="Q69" s="62">
        <f t="shared" si="163"/>
        <v>40</v>
      </c>
      <c r="R69" s="461" t="str">
        <f t="shared" si="155"/>
        <v>Игумнов</v>
      </c>
      <c r="S69" s="76" t="s">
        <v>10</v>
      </c>
      <c r="T69" s="77" t="s">
        <v>9</v>
      </c>
      <c r="U69" s="90">
        <f t="shared" si="156"/>
        <v>0</v>
      </c>
      <c r="V69" s="62">
        <f t="shared" si="157"/>
        <v>0</v>
      </c>
      <c r="W69" s="62"/>
      <c r="X69" s="79" t="s">
        <v>34</v>
      </c>
      <c r="Y69" s="7"/>
      <c r="Z69" s="7"/>
      <c r="AA69" s="7"/>
      <c r="AB69" s="13"/>
      <c r="AC69" s="13"/>
      <c r="AD69" s="13"/>
    </row>
    <row r="70" ht="14.4">
      <c r="A70" s="440" t="s">
        <v>40</v>
      </c>
      <c r="B70" s="540" t="s">
        <v>32</v>
      </c>
      <c r="C70" s="540" t="s">
        <v>33</v>
      </c>
      <c r="D70" s="540" t="s">
        <v>32</v>
      </c>
      <c r="E70" s="540" t="s">
        <v>33</v>
      </c>
      <c r="F70" s="540" t="s">
        <v>32</v>
      </c>
      <c r="G70" s="540" t="s">
        <v>33</v>
      </c>
      <c r="H70" s="540" t="s">
        <v>32</v>
      </c>
      <c r="I70" s="540" t="s">
        <v>88</v>
      </c>
      <c r="J70" s="540" t="s">
        <v>32</v>
      </c>
      <c r="K70" s="540" t="s">
        <v>33</v>
      </c>
      <c r="L70" s="541"/>
      <c r="M70" s="541"/>
      <c r="N70" s="541"/>
      <c r="O70" s="541"/>
      <c r="P70" s="253">
        <f t="shared" si="154"/>
        <v>41.5</v>
      </c>
      <c r="Q70" s="62">
        <f t="shared" si="163"/>
        <v>38.5</v>
      </c>
      <c r="R70" s="461" t="str">
        <f t="shared" si="155"/>
        <v>Душин</v>
      </c>
      <c r="S70" s="76" t="s">
        <v>10</v>
      </c>
      <c r="T70" s="77" t="s">
        <v>9</v>
      </c>
      <c r="U70" s="90">
        <f t="shared" si="156"/>
        <v>0</v>
      </c>
      <c r="V70" s="90">
        <f>COUNTIF(U70,C70)+COUNTIF(U70,E70)+COUNTIF(U70,G70)+COUNTIF(U70,I70)+COUNTIF(U70,K70)+COUNTIF(U70,M70)+COUNTIF(U70,O70)</f>
        <v>0</v>
      </c>
      <c r="W70" s="62"/>
      <c r="X70" s="74" t="s">
        <v>38</v>
      </c>
      <c r="Y70" s="7"/>
      <c r="Z70" s="7"/>
      <c r="AA70" s="7"/>
      <c r="AB70" s="13"/>
      <c r="AC70" s="13"/>
      <c r="AD70" s="13"/>
    </row>
    <row r="71" ht="14.4">
      <c r="A71" s="440" t="s">
        <v>31</v>
      </c>
      <c r="B71" s="540" t="s">
        <v>32</v>
      </c>
      <c r="C71" s="540" t="s">
        <v>33</v>
      </c>
      <c r="D71" s="540" t="s">
        <v>32</v>
      </c>
      <c r="E71" s="540" t="s">
        <v>33</v>
      </c>
      <c r="F71" s="540" t="s">
        <v>32</v>
      </c>
      <c r="G71" s="540" t="s">
        <v>33</v>
      </c>
      <c r="H71" s="540" t="s">
        <v>32</v>
      </c>
      <c r="I71" s="540" t="s">
        <v>88</v>
      </c>
      <c r="J71" s="540" t="s">
        <v>32</v>
      </c>
      <c r="K71" s="540" t="s">
        <v>33</v>
      </c>
      <c r="L71" s="541"/>
      <c r="M71" s="541"/>
      <c r="N71" s="541"/>
      <c r="O71" s="541"/>
      <c r="P71" s="253">
        <f t="shared" si="154"/>
        <v>41.5</v>
      </c>
      <c r="Q71" s="62">
        <f t="shared" si="163"/>
        <v>38.5</v>
      </c>
      <c r="R71" s="461" t="str">
        <f t="shared" si="155"/>
        <v>Нетронин</v>
      </c>
      <c r="S71" s="76" t="s">
        <v>58</v>
      </c>
      <c r="T71" s="77" t="s">
        <v>59</v>
      </c>
      <c r="U71" s="90"/>
      <c r="V71" s="62"/>
      <c r="W71" s="62"/>
      <c r="X71" s="74" t="s">
        <v>34</v>
      </c>
      <c r="Y71" s="7"/>
      <c r="Z71" s="7"/>
      <c r="AA71" s="7"/>
      <c r="AB71" s="13"/>
      <c r="AC71" s="13"/>
      <c r="AD71" s="13"/>
    </row>
    <row r="72" ht="14.4">
      <c r="A72" s="440" t="s">
        <v>42</v>
      </c>
      <c r="B72" s="540" t="s">
        <v>32</v>
      </c>
      <c r="C72" s="540" t="s">
        <v>33</v>
      </c>
      <c r="D72" s="540" t="s">
        <v>32</v>
      </c>
      <c r="E72" s="540" t="s">
        <v>33</v>
      </c>
      <c r="F72" s="540" t="s">
        <v>32</v>
      </c>
      <c r="G72" s="540" t="s">
        <v>33</v>
      </c>
      <c r="H72" s="540" t="s">
        <v>32</v>
      </c>
      <c r="I72" s="540" t="s">
        <v>88</v>
      </c>
      <c r="J72" s="540" t="s">
        <v>32</v>
      </c>
      <c r="K72" s="540" t="s">
        <v>33</v>
      </c>
      <c r="L72" s="541"/>
      <c r="M72" s="541"/>
      <c r="N72" s="541"/>
      <c r="O72" s="541"/>
      <c r="P72" s="253">
        <f t="shared" si="154"/>
        <v>41.5</v>
      </c>
      <c r="Q72" s="62">
        <f t="shared" si="163"/>
        <v>34.5</v>
      </c>
      <c r="R72" s="461" t="str">
        <f t="shared" si="155"/>
        <v>Юращик</v>
      </c>
      <c r="S72" s="76" t="s">
        <v>10</v>
      </c>
      <c r="T72" s="77" t="s">
        <v>9</v>
      </c>
      <c r="U72" s="90"/>
      <c r="V72" s="62"/>
      <c r="W72" s="62"/>
      <c r="X72" s="74" t="s">
        <v>38</v>
      </c>
      <c r="Y72" s="7"/>
      <c r="Z72" s="7"/>
      <c r="AA72" s="7"/>
      <c r="AB72" s="13"/>
      <c r="AC72" s="13"/>
      <c r="AD72" s="13"/>
    </row>
    <row r="73" ht="14.4">
      <c r="A73" s="361" t="s">
        <v>45</v>
      </c>
      <c r="B73" s="637"/>
      <c r="C73" s="637"/>
      <c r="D73" s="745"/>
      <c r="E73" s="745"/>
      <c r="F73" s="632"/>
      <c r="G73" s="632"/>
      <c r="H73" s="784"/>
      <c r="I73" s="784"/>
      <c r="J73" s="294"/>
      <c r="K73" s="295" t="s">
        <v>4</v>
      </c>
      <c r="L73" s="294"/>
      <c r="M73" s="295" t="s">
        <v>4</v>
      </c>
      <c r="N73" s="541"/>
      <c r="O73" s="541"/>
      <c r="P73" s="253">
        <f t="shared" si="154"/>
        <v>24</v>
      </c>
      <c r="Q73" s="62">
        <f t="shared" si="163"/>
        <v>0</v>
      </c>
      <c r="R73" s="461" t="str">
        <f t="shared" si="155"/>
        <v>Пузырь</v>
      </c>
      <c r="S73" s="76" t="s">
        <v>10</v>
      </c>
      <c r="T73" s="77" t="s">
        <v>9</v>
      </c>
      <c r="U73" s="90">
        <f>COUNTIF(T73,B73)+COUNTIF(T73,F73)+COUNTIF(T73,#REF!)+COUNTIF(T73,H73)+COUNTIF(T73,J73)+COUNTIF(T73,L73)+COUNTIF(T73,N73)</f>
        <v>0</v>
      </c>
      <c r="V73" s="62">
        <f>COUNTIF(S73,B73)+COUNTIF(S73,F73)+COUNTIF(S73,#REF!)+COUNTIF(S73,H73)+COUNTIF(S73,J73)+COUNTIF(S73,L73)+COUNTIF(S73,N73)</f>
        <v>0</v>
      </c>
      <c r="W73" s="62"/>
      <c r="X73" s="74" t="s">
        <v>34</v>
      </c>
      <c r="Y73" s="7"/>
      <c r="Z73" s="7"/>
      <c r="AA73" s="7"/>
      <c r="AB73" s="13"/>
      <c r="AC73" s="13"/>
      <c r="AD73" s="13"/>
    </row>
    <row r="74" ht="14.4">
      <c r="A74" s="361" t="s">
        <v>46</v>
      </c>
      <c r="B74" s="294"/>
      <c r="C74" s="294" t="s">
        <v>4</v>
      </c>
      <c r="D74" s="254"/>
      <c r="E74" s="254"/>
      <c r="F74" s="254"/>
      <c r="G74" s="254"/>
      <c r="H74" s="637"/>
      <c r="I74" s="637"/>
      <c r="J74" s="632"/>
      <c r="K74" s="632"/>
      <c r="L74" s="254"/>
      <c r="M74" s="254"/>
      <c r="N74" s="254"/>
      <c r="O74" s="254"/>
      <c r="P74" s="253">
        <f t="shared" si="154"/>
        <v>12</v>
      </c>
      <c r="Q74" s="62">
        <f t="shared" si="163"/>
        <v>12</v>
      </c>
      <c r="R74" s="461" t="str">
        <f t="shared" si="155"/>
        <v>Голышев</v>
      </c>
      <c r="S74" s="76" t="s">
        <v>10</v>
      </c>
      <c r="T74" s="77" t="s">
        <v>9</v>
      </c>
      <c r="U74" s="90">
        <f t="shared" si="156"/>
        <v>0</v>
      </c>
      <c r="V74" s="62">
        <f t="shared" ref="V74:V95" si="164">COUNTIF(S74,B74)+COUNTIF(S74,D74)+COUNTIF(S74,F74)+COUNTIF(S74,H74)+COUNTIF(S74,J74)+COUNTIF(S74,L74)+COUNTIF(S74,N74)</f>
        <v>0</v>
      </c>
      <c r="W74" s="62"/>
      <c r="X74" s="74" t="s">
        <v>34</v>
      </c>
      <c r="Y74" s="7"/>
      <c r="Z74" s="7"/>
      <c r="AA74" s="7"/>
      <c r="AB74" s="13"/>
      <c r="AC74" s="13"/>
      <c r="AD74" s="13"/>
    </row>
    <row r="75" ht="14.4">
      <c r="A75" s="361" t="s">
        <v>47</v>
      </c>
      <c r="B75" s="653"/>
      <c r="C75" s="653" t="s">
        <v>33</v>
      </c>
      <c r="D75" s="653"/>
      <c r="E75" s="653" t="s">
        <v>57</v>
      </c>
      <c r="F75" s="690"/>
      <c r="G75" s="690"/>
      <c r="H75" s="785"/>
      <c r="I75" s="692"/>
      <c r="J75" s="254"/>
      <c r="K75" s="541"/>
      <c r="L75" s="754"/>
      <c r="M75" s="754" t="s">
        <v>4</v>
      </c>
      <c r="N75" s="247"/>
      <c r="O75" s="247"/>
      <c r="P75" s="253">
        <f t="shared" si="154"/>
        <v>24</v>
      </c>
      <c r="Q75" s="62">
        <f t="shared" si="163"/>
        <v>28</v>
      </c>
      <c r="R75" s="461" t="str">
        <f t="shared" si="155"/>
        <v>Торубара</v>
      </c>
      <c r="S75" s="76" t="s">
        <v>10</v>
      </c>
      <c r="T75" s="77" t="s">
        <v>9</v>
      </c>
      <c r="U75" s="90">
        <f t="shared" si="156"/>
        <v>0</v>
      </c>
      <c r="V75" s="62">
        <f t="shared" si="164"/>
        <v>0</v>
      </c>
      <c r="W75" s="62"/>
      <c r="X75" s="74" t="s">
        <v>34</v>
      </c>
      <c r="Y75" s="7"/>
      <c r="Z75" s="7"/>
      <c r="AA75" s="7"/>
      <c r="AB75" s="13"/>
      <c r="AC75" s="13"/>
      <c r="AD75" s="13"/>
    </row>
    <row r="76" ht="14.4">
      <c r="A76" s="361" t="s">
        <v>48</v>
      </c>
      <c r="B76" s="541"/>
      <c r="C76" s="541"/>
      <c r="D76" s="689"/>
      <c r="E76" s="786"/>
      <c r="F76" s="87"/>
      <c r="G76" s="87"/>
      <c r="H76" s="256"/>
      <c r="I76" s="256"/>
      <c r="J76" s="787"/>
      <c r="K76" s="247"/>
      <c r="L76" s="637"/>
      <c r="M76" s="637"/>
      <c r="N76" s="788"/>
      <c r="O76" s="788" t="s">
        <v>4</v>
      </c>
      <c r="P76" s="253">
        <f t="shared" ref="P76:P95" si="165">C76+E76+G76+I76+K76+M76+O76</f>
        <v>12</v>
      </c>
      <c r="Q76" s="62">
        <f t="shared" si="163"/>
        <v>20</v>
      </c>
      <c r="R76" s="461" t="str">
        <f t="shared" ref="R76:R95" si="166">A76</f>
        <v>Стрыгин</v>
      </c>
      <c r="S76" s="71" t="s">
        <v>8</v>
      </c>
      <c r="T76" s="72" t="s">
        <v>7</v>
      </c>
      <c r="U76" s="90">
        <f t="shared" ref="U76:U95" si="167">COUNTIF(T76,B76)+COUNTIF(T76,D76)+COUNTIF(T76,F76)+COUNTIF(T76,H76)+COUNTIF(T76,J76)+COUNTIF(T76,L76)+COUNTIF(T76,N76)</f>
        <v>0</v>
      </c>
      <c r="V76" s="62">
        <f t="shared" si="164"/>
        <v>0</v>
      </c>
      <c r="W76" s="62"/>
      <c r="X76" s="74" t="s">
        <v>49</v>
      </c>
      <c r="Y76" s="7"/>
      <c r="Z76" s="7"/>
      <c r="AA76" s="7"/>
      <c r="AB76" s="13"/>
      <c r="AC76" s="13"/>
      <c r="AD76" s="13"/>
    </row>
    <row r="77" ht="14.4">
      <c r="A77" s="361" t="s">
        <v>50</v>
      </c>
      <c r="B77" s="247"/>
      <c r="C77" s="247"/>
      <c r="D77" s="294"/>
      <c r="E77" s="294" t="s">
        <v>4</v>
      </c>
      <c r="F77" s="789"/>
      <c r="G77" s="790"/>
      <c r="H77" s="87"/>
      <c r="I77" s="87"/>
      <c r="J77" s="787"/>
      <c r="K77" s="247"/>
      <c r="L77" s="247"/>
      <c r="M77" s="649"/>
      <c r="N77" s="87"/>
      <c r="O77" s="87"/>
      <c r="P77" s="253">
        <f t="shared" si="165"/>
        <v>12</v>
      </c>
      <c r="Q77" s="62">
        <f t="shared" si="163"/>
        <v>16</v>
      </c>
      <c r="R77" s="461" t="str">
        <f t="shared" si="166"/>
        <v>Фрик</v>
      </c>
      <c r="S77" s="71" t="s">
        <v>12</v>
      </c>
      <c r="T77" s="72" t="s">
        <v>11</v>
      </c>
      <c r="U77" s="90">
        <f>COUNTIF(T77,B77)+COUNTIF(T77,#REF!)+COUNTIF(T77,F77)+COUNTIF(T77,D77)+COUNTIF(T77,J77)+COUNTIF(T77,L77)+COUNTIF(T77,N77)</f>
        <v>0</v>
      </c>
      <c r="V77" s="62">
        <f>COUNTIF(S77,B77)+COUNTIF(S77,#REF!)+COUNTIF(S77,F77)+COUNTIF(S77,D77)+COUNTIF(S77,J77)+COUNTIF(S77,L77)+COUNTIF(S77,N77)</f>
        <v>0</v>
      </c>
      <c r="W77" s="62"/>
      <c r="X77" s="74" t="s">
        <v>44</v>
      </c>
      <c r="Y77" s="7"/>
      <c r="Z77" s="7"/>
      <c r="AA77" s="7"/>
      <c r="AB77" s="13"/>
      <c r="AC77" s="13"/>
      <c r="AD77" s="13"/>
    </row>
    <row r="78" ht="14.4">
      <c r="A78" s="576" t="s">
        <v>51</v>
      </c>
      <c r="B78" s="541"/>
      <c r="C78" s="541"/>
      <c r="D78" s="791"/>
      <c r="E78" s="792"/>
      <c r="F78" s="793"/>
      <c r="G78" s="794" t="s">
        <v>4</v>
      </c>
      <c r="H78" s="76"/>
      <c r="I78" s="795" t="s">
        <v>4</v>
      </c>
      <c r="J78" s="747"/>
      <c r="K78" s="541"/>
      <c r="L78" s="632"/>
      <c r="M78" s="632"/>
      <c r="N78" s="112"/>
      <c r="O78" s="769" t="s">
        <v>4</v>
      </c>
      <c r="P78" s="253">
        <f t="shared" si="165"/>
        <v>36</v>
      </c>
      <c r="Q78" s="62">
        <f t="shared" si="163"/>
        <v>0</v>
      </c>
      <c r="R78" s="461" t="str">
        <f t="shared" si="166"/>
        <v>Истрашкин</v>
      </c>
      <c r="S78" s="71" t="s">
        <v>10</v>
      </c>
      <c r="T78" s="72" t="s">
        <v>9</v>
      </c>
      <c r="U78" s="90">
        <f t="shared" si="167"/>
        <v>0</v>
      </c>
      <c r="V78" s="62">
        <f t="shared" si="164"/>
        <v>0</v>
      </c>
      <c r="W78" s="62"/>
      <c r="X78" s="74" t="s">
        <v>34</v>
      </c>
      <c r="Y78" s="7"/>
      <c r="Z78" s="7"/>
      <c r="AA78" s="7"/>
      <c r="AB78" s="13"/>
      <c r="AC78" s="13"/>
      <c r="AD78" s="13"/>
    </row>
    <row r="79" ht="14.4">
      <c r="A79" s="361" t="s">
        <v>43</v>
      </c>
      <c r="B79" s="541"/>
      <c r="C79" s="643"/>
      <c r="D79" s="87"/>
      <c r="E79" s="87"/>
      <c r="F79" s="796"/>
      <c r="G79" s="776"/>
      <c r="H79" s="797"/>
      <c r="I79" s="797" t="s">
        <v>33</v>
      </c>
      <c r="J79" s="754"/>
      <c r="K79" s="754" t="s">
        <v>33</v>
      </c>
      <c r="L79" s="254"/>
      <c r="M79" s="254"/>
      <c r="N79" s="632"/>
      <c r="O79" s="632"/>
      <c r="P79" s="253">
        <f t="shared" si="165"/>
        <v>16</v>
      </c>
      <c r="Q79" s="62">
        <f t="shared" si="163"/>
        <v>28</v>
      </c>
      <c r="R79" s="461" t="str">
        <f t="shared" si="166"/>
        <v>Дащенко</v>
      </c>
      <c r="S79" s="71" t="s">
        <v>12</v>
      </c>
      <c r="T79" s="72" t="s">
        <v>11</v>
      </c>
      <c r="U79" s="90">
        <f>COUNTIF(T79,B79)+COUNTIF(T79,#REF!)+COUNTIF(T79,F79)+COUNTIF(T79,H79)+COUNTIF(T79,J79)+COUNTIF(T79,L79)+COUNTIF(T79,N79)</f>
        <v>0</v>
      </c>
      <c r="V79" s="62">
        <f>COUNTIF(S79,B79)+COUNTIF(S79,#REF!)+COUNTIF(S79,F79)+COUNTIF(S79,H79)+COUNTIF(S79,J79)+COUNTIF(S79,L79)+COUNTIF(S79,N79)</f>
        <v>0</v>
      </c>
      <c r="W79" s="62"/>
      <c r="X79" s="80" t="s">
        <v>44</v>
      </c>
      <c r="Y79" s="7"/>
      <c r="Z79" s="7"/>
      <c r="AA79" s="7"/>
      <c r="AB79" s="13"/>
      <c r="AC79" s="13"/>
      <c r="AD79" s="13"/>
    </row>
    <row r="80" ht="14.4">
      <c r="A80" s="207"/>
      <c r="B80" s="526">
        <v>46041</v>
      </c>
      <c r="C80" s="528"/>
      <c r="D80" s="500">
        <v>46042</v>
      </c>
      <c r="E80" s="686"/>
      <c r="F80" s="526">
        <v>46043</v>
      </c>
      <c r="G80" s="528"/>
      <c r="H80" s="526">
        <v>46044</v>
      </c>
      <c r="I80" s="528"/>
      <c r="J80" s="526">
        <v>46045</v>
      </c>
      <c r="K80" s="528"/>
      <c r="L80" s="526">
        <v>46046</v>
      </c>
      <c r="M80" s="528"/>
      <c r="N80" s="526">
        <v>46047</v>
      </c>
      <c r="O80" s="528"/>
      <c r="P80" s="253"/>
      <c r="Q80" s="254"/>
      <c r="R80" s="297"/>
      <c r="S80" s="134"/>
      <c r="T80" s="134"/>
      <c r="U80" s="60" t="s">
        <v>27</v>
      </c>
      <c r="V80" s="61" t="s">
        <v>28</v>
      </c>
      <c r="W80" s="62" t="s">
        <v>29</v>
      </c>
      <c r="X80" s="7"/>
      <c r="Y80" s="7"/>
      <c r="Z80" s="7"/>
      <c r="AA80" s="7"/>
      <c r="AB80" s="13"/>
      <c r="AC80" s="13"/>
      <c r="AD80" s="13"/>
    </row>
    <row r="81" ht="14.4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165"/>
      <c r="R81" s="139"/>
      <c r="S81" s="139"/>
      <c r="T81" s="139"/>
      <c r="U81" s="127"/>
      <c r="V81" s="127"/>
      <c r="W81" s="128"/>
      <c r="X81" s="7"/>
      <c r="Y81" s="7"/>
      <c r="Z81" s="7"/>
      <c r="AA81" s="7"/>
      <c r="AB81" s="13"/>
      <c r="AC81" s="13"/>
      <c r="AD81" s="13"/>
    </row>
    <row r="82" ht="14.4">
      <c r="A82" s="143"/>
      <c r="B82" s="214" t="s">
        <v>17</v>
      </c>
      <c r="C82" s="492"/>
      <c r="D82" s="214" t="s">
        <v>18</v>
      </c>
      <c r="E82" s="492"/>
      <c r="F82" s="214" t="s">
        <v>19</v>
      </c>
      <c r="G82" s="214"/>
      <c r="H82" s="214" t="s">
        <v>20</v>
      </c>
      <c r="I82" s="492"/>
      <c r="J82" s="493" t="s">
        <v>21</v>
      </c>
      <c r="K82" s="493"/>
      <c r="L82" s="214" t="s">
        <v>22</v>
      </c>
      <c r="M82" s="214"/>
      <c r="N82" s="214" t="s">
        <v>23</v>
      </c>
      <c r="O82" s="214"/>
      <c r="P82" s="214" t="s">
        <v>24</v>
      </c>
      <c r="Q82" s="214"/>
      <c r="R82" s="117"/>
      <c r="S82" s="143"/>
      <c r="T82" s="143"/>
      <c r="U82" s="62"/>
      <c r="V82" s="62"/>
      <c r="W82" s="62"/>
      <c r="X82" s="51"/>
      <c r="Y82" s="7"/>
      <c r="Z82" s="7"/>
      <c r="AA82" s="7"/>
      <c r="AB82" s="13"/>
      <c r="AC82" s="13"/>
      <c r="AD82" s="13"/>
    </row>
    <row r="83" ht="14.4">
      <c r="A83" s="143"/>
      <c r="B83" s="526">
        <v>46048</v>
      </c>
      <c r="C83" s="528"/>
      <c r="D83" s="526">
        <v>46049</v>
      </c>
      <c r="E83" s="528"/>
      <c r="F83" s="526">
        <v>46050</v>
      </c>
      <c r="G83" s="528"/>
      <c r="H83" s="526">
        <v>46051</v>
      </c>
      <c r="I83" s="528"/>
      <c r="J83" s="526">
        <v>46052</v>
      </c>
      <c r="K83" s="528"/>
      <c r="L83" s="526">
        <v>46053</v>
      </c>
      <c r="M83" s="528"/>
      <c r="N83" s="526">
        <v>46023</v>
      </c>
      <c r="O83" s="528"/>
      <c r="P83" s="213" t="s">
        <v>25</v>
      </c>
      <c r="Q83" s="214" t="s">
        <v>26</v>
      </c>
      <c r="R83" s="287"/>
      <c r="S83" s="141"/>
      <c r="T83" s="141"/>
      <c r="U83" s="60" t="s">
        <v>27</v>
      </c>
      <c r="V83" s="61" t="s">
        <v>28</v>
      </c>
      <c r="W83" s="62" t="s">
        <v>29</v>
      </c>
      <c r="X83" s="63" t="s">
        <v>30</v>
      </c>
      <c r="Y83" s="7"/>
      <c r="Z83" s="7"/>
      <c r="AA83" s="7"/>
      <c r="AB83" s="13"/>
      <c r="AC83" s="13"/>
      <c r="AD83" s="13"/>
    </row>
    <row r="84" ht="14.4">
      <c r="A84" s="440" t="s">
        <v>35</v>
      </c>
      <c r="B84" s="540" t="s">
        <v>32</v>
      </c>
      <c r="C84" s="540" t="s">
        <v>33</v>
      </c>
      <c r="D84" s="540" t="s">
        <v>32</v>
      </c>
      <c r="E84" s="540" t="s">
        <v>33</v>
      </c>
      <c r="F84" s="540" t="s">
        <v>32</v>
      </c>
      <c r="G84" s="540" t="s">
        <v>33</v>
      </c>
      <c r="H84" s="540" t="s">
        <v>32</v>
      </c>
      <c r="I84" s="540" t="s">
        <v>33</v>
      </c>
      <c r="J84" s="540" t="s">
        <v>32</v>
      </c>
      <c r="K84" s="540" t="s">
        <v>33</v>
      </c>
      <c r="L84" s="541"/>
      <c r="M84" s="541"/>
      <c r="N84" s="541"/>
      <c r="O84" s="541"/>
      <c r="P84" s="253">
        <f t="shared" si="165"/>
        <v>40</v>
      </c>
      <c r="Q84" s="62">
        <f t="shared" si="163"/>
        <v>-2</v>
      </c>
      <c r="R84" s="461" t="str">
        <f t="shared" si="166"/>
        <v>Рычков</v>
      </c>
      <c r="S84" s="76" t="s">
        <v>10</v>
      </c>
      <c r="T84" s="77" t="s">
        <v>9</v>
      </c>
      <c r="U84" s="90">
        <f t="shared" si="167"/>
        <v>0</v>
      </c>
      <c r="V84" s="62">
        <f t="shared" si="164"/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 ht="14.4">
      <c r="A85" s="440" t="s">
        <v>39</v>
      </c>
      <c r="B85" s="540" t="s">
        <v>32</v>
      </c>
      <c r="C85" s="540" t="s">
        <v>33</v>
      </c>
      <c r="D85" s="540" t="s">
        <v>32</v>
      </c>
      <c r="E85" s="540" t="s">
        <v>33</v>
      </c>
      <c r="F85" s="540" t="s">
        <v>32</v>
      </c>
      <c r="G85" s="540" t="s">
        <v>33</v>
      </c>
      <c r="H85" s="540" t="s">
        <v>32</v>
      </c>
      <c r="I85" s="540" t="s">
        <v>33</v>
      </c>
      <c r="J85" s="540" t="s">
        <v>32</v>
      </c>
      <c r="K85" s="540" t="s">
        <v>33</v>
      </c>
      <c r="L85" s="541"/>
      <c r="M85" s="541"/>
      <c r="N85" s="541"/>
      <c r="O85" s="541"/>
      <c r="P85" s="253">
        <f t="shared" si="165"/>
        <v>40</v>
      </c>
      <c r="Q85" s="62">
        <f t="shared" ref="Q85:Q95" si="168">Q69-P85</f>
        <v>0</v>
      </c>
      <c r="R85" s="461" t="str">
        <f t="shared" si="166"/>
        <v>Игумнов</v>
      </c>
      <c r="S85" s="76" t="s">
        <v>10</v>
      </c>
      <c r="T85" s="77" t="s">
        <v>9</v>
      </c>
      <c r="U85" s="90">
        <f t="shared" si="167"/>
        <v>0</v>
      </c>
      <c r="V85" s="62">
        <f t="shared" si="164"/>
        <v>0</v>
      </c>
      <c r="W85" s="62"/>
      <c r="X85" s="79" t="s">
        <v>34</v>
      </c>
      <c r="Y85" s="7"/>
      <c r="Z85" s="7"/>
      <c r="AA85" s="7"/>
      <c r="AB85" s="13"/>
      <c r="AC85" s="13"/>
      <c r="AD85" s="13"/>
    </row>
    <row r="86" ht="14.4">
      <c r="A86" s="440" t="s">
        <v>40</v>
      </c>
      <c r="B86" s="540" t="s">
        <v>32</v>
      </c>
      <c r="C86" s="540" t="s">
        <v>33</v>
      </c>
      <c r="D86" s="540" t="s">
        <v>32</v>
      </c>
      <c r="E86" s="540" t="s">
        <v>33</v>
      </c>
      <c r="F86" s="540" t="s">
        <v>32</v>
      </c>
      <c r="G86" s="540" t="s">
        <v>33</v>
      </c>
      <c r="H86" s="540" t="s">
        <v>32</v>
      </c>
      <c r="I86" s="540" t="s">
        <v>33</v>
      </c>
      <c r="J86" s="540" t="s">
        <v>32</v>
      </c>
      <c r="K86" s="540" t="s">
        <v>33</v>
      </c>
      <c r="L86" s="541"/>
      <c r="M86" s="541"/>
      <c r="N86" s="541" t="s">
        <v>82</v>
      </c>
      <c r="O86" s="541"/>
      <c r="P86" s="253">
        <f t="shared" si="165"/>
        <v>40</v>
      </c>
      <c r="Q86" s="62">
        <f t="shared" si="168"/>
        <v>-1.5</v>
      </c>
      <c r="R86" s="461" t="str">
        <f t="shared" si="166"/>
        <v>Душин</v>
      </c>
      <c r="S86" s="76" t="s">
        <v>10</v>
      </c>
      <c r="T86" s="77" t="s">
        <v>9</v>
      </c>
      <c r="U86" s="90">
        <f t="shared" si="167"/>
        <v>0</v>
      </c>
      <c r="V86" s="62">
        <f t="shared" si="164"/>
        <v>0</v>
      </c>
      <c r="W86" s="62"/>
      <c r="X86" s="74" t="s">
        <v>38</v>
      </c>
      <c r="Y86" s="7"/>
      <c r="Z86" s="7"/>
      <c r="AA86" s="7"/>
      <c r="AB86" s="13"/>
      <c r="AC86" s="13"/>
      <c r="AD86" s="13"/>
    </row>
    <row r="87" ht="14.4">
      <c r="A87" s="440" t="s">
        <v>31</v>
      </c>
      <c r="B87" s="540" t="s">
        <v>32</v>
      </c>
      <c r="C87" s="540" t="s">
        <v>33</v>
      </c>
      <c r="D87" s="540" t="s">
        <v>32</v>
      </c>
      <c r="E87" s="540" t="s">
        <v>33</v>
      </c>
      <c r="F87" s="540" t="s">
        <v>32</v>
      </c>
      <c r="G87" s="540" t="s">
        <v>33</v>
      </c>
      <c r="H87" s="540" t="s">
        <v>32</v>
      </c>
      <c r="I87" s="540" t="s">
        <v>33</v>
      </c>
      <c r="J87" s="540" t="s">
        <v>32</v>
      </c>
      <c r="K87" s="540" t="s">
        <v>33</v>
      </c>
      <c r="L87" s="541"/>
      <c r="M87" s="541"/>
      <c r="N87" s="541"/>
      <c r="O87" s="541"/>
      <c r="P87" s="253">
        <f t="shared" si="165"/>
        <v>40</v>
      </c>
      <c r="Q87" s="62">
        <f t="shared" si="168"/>
        <v>-1.5</v>
      </c>
      <c r="R87" s="461" t="str">
        <f t="shared" si="166"/>
        <v>Нетронин</v>
      </c>
      <c r="S87" s="76" t="s">
        <v>58</v>
      </c>
      <c r="T87" s="77" t="s">
        <v>59</v>
      </c>
      <c r="U87" s="90"/>
      <c r="V87" s="62"/>
      <c r="W87" s="62"/>
      <c r="X87" s="74" t="s">
        <v>34</v>
      </c>
      <c r="Y87" s="7"/>
      <c r="Z87" s="7"/>
      <c r="AA87" s="7"/>
      <c r="AB87" s="13"/>
      <c r="AC87" s="13"/>
      <c r="AD87" s="13"/>
    </row>
    <row r="88" ht="14.4">
      <c r="A88" s="440" t="s">
        <v>42</v>
      </c>
      <c r="B88" s="540" t="s">
        <v>32</v>
      </c>
      <c r="C88" s="540" t="s">
        <v>33</v>
      </c>
      <c r="D88" s="540" t="s">
        <v>32</v>
      </c>
      <c r="E88" s="540" t="s">
        <v>33</v>
      </c>
      <c r="F88" s="540" t="s">
        <v>32</v>
      </c>
      <c r="G88" s="540" t="s">
        <v>33</v>
      </c>
      <c r="H88" s="540" t="s">
        <v>32</v>
      </c>
      <c r="I88" s="540" t="s">
        <v>33</v>
      </c>
      <c r="J88" s="540" t="s">
        <v>32</v>
      </c>
      <c r="K88" s="540" t="s">
        <v>33</v>
      </c>
      <c r="L88" s="541"/>
      <c r="M88" s="541"/>
      <c r="N88" s="541"/>
      <c r="O88" s="541"/>
      <c r="P88" s="253">
        <f t="shared" si="165"/>
        <v>40</v>
      </c>
      <c r="Q88" s="62">
        <f t="shared" si="168"/>
        <v>-5.5</v>
      </c>
      <c r="R88" s="461" t="str">
        <f t="shared" si="166"/>
        <v>Юращик</v>
      </c>
      <c r="S88" s="76" t="s">
        <v>10</v>
      </c>
      <c r="T88" s="77" t="s">
        <v>9</v>
      </c>
      <c r="U88" s="90"/>
      <c r="V88" s="62"/>
      <c r="W88" s="62"/>
      <c r="X88" s="74" t="s">
        <v>38</v>
      </c>
      <c r="Y88" s="7"/>
      <c r="Z88" s="7"/>
      <c r="AA88" s="7"/>
      <c r="AB88" s="13"/>
      <c r="AC88" s="13"/>
      <c r="AD88" s="13"/>
    </row>
    <row r="89" ht="14.4">
      <c r="A89" s="361" t="s">
        <v>45</v>
      </c>
      <c r="B89" s="541"/>
      <c r="C89" s="541"/>
      <c r="D89" s="632"/>
      <c r="E89" s="632"/>
      <c r="F89" s="541"/>
      <c r="G89" s="541"/>
      <c r="H89" s="541"/>
      <c r="I89" s="541"/>
      <c r="J89" s="247"/>
      <c r="K89" s="247"/>
      <c r="L89" s="295"/>
      <c r="M89" s="295" t="s">
        <v>4</v>
      </c>
      <c r="N89" s="295"/>
      <c r="O89" s="295"/>
      <c r="P89" s="253">
        <f t="shared" si="165"/>
        <v>12</v>
      </c>
      <c r="Q89" s="62">
        <f t="shared" si="168"/>
        <v>-12</v>
      </c>
      <c r="R89" s="461" t="str">
        <f t="shared" si="166"/>
        <v>Пузырь</v>
      </c>
      <c r="S89" s="76" t="s">
        <v>10</v>
      </c>
      <c r="T89" s="77" t="s">
        <v>9</v>
      </c>
      <c r="U89" s="90">
        <f t="shared" si="167"/>
        <v>0</v>
      </c>
      <c r="V89" s="62">
        <f t="shared" si="164"/>
        <v>0</v>
      </c>
      <c r="W89" s="62"/>
      <c r="X89" s="74" t="s">
        <v>34</v>
      </c>
      <c r="Y89" s="7"/>
      <c r="Z89" s="7"/>
      <c r="AA89" s="7"/>
      <c r="AB89" s="13"/>
      <c r="AC89" s="13"/>
      <c r="AD89" s="13"/>
    </row>
    <row r="90" ht="14.4">
      <c r="A90" s="361" t="s">
        <v>46</v>
      </c>
      <c r="B90" s="635"/>
      <c r="C90" s="635"/>
      <c r="D90" s="635"/>
      <c r="E90" s="635"/>
      <c r="F90" s="254"/>
      <c r="G90" s="254"/>
      <c r="H90" s="636"/>
      <c r="I90" s="636">
        <v>12</v>
      </c>
      <c r="J90" s="637"/>
      <c r="K90" s="637"/>
      <c r="L90" s="15"/>
      <c r="M90" s="15" t="s">
        <v>4</v>
      </c>
      <c r="N90" s="541"/>
      <c r="O90" s="541"/>
      <c r="P90" s="253">
        <f t="shared" si="165"/>
        <v>24</v>
      </c>
      <c r="Q90" s="62">
        <f t="shared" si="168"/>
        <v>-12</v>
      </c>
      <c r="R90" s="461" t="str">
        <f t="shared" si="166"/>
        <v>Голышев</v>
      </c>
      <c r="S90" s="76" t="s">
        <v>10</v>
      </c>
      <c r="T90" s="77" t="s">
        <v>9</v>
      </c>
      <c r="U90" s="90">
        <f t="shared" si="167"/>
        <v>0</v>
      </c>
      <c r="V90" s="62">
        <f t="shared" si="164"/>
        <v>0</v>
      </c>
      <c r="W90" s="62"/>
      <c r="X90" s="74" t="s">
        <v>34</v>
      </c>
      <c r="Y90" s="7"/>
      <c r="Z90" s="7"/>
      <c r="AA90" s="7"/>
      <c r="AB90" s="13"/>
      <c r="AC90" s="13"/>
      <c r="AD90" s="13"/>
    </row>
    <row r="91" ht="14.4">
      <c r="A91" s="361" t="s">
        <v>47</v>
      </c>
      <c r="B91" s="294"/>
      <c r="C91" s="294" t="s">
        <v>4</v>
      </c>
      <c r="D91" s="294"/>
      <c r="E91" s="294" t="s">
        <v>4</v>
      </c>
      <c r="F91" s="247"/>
      <c r="G91" s="247"/>
      <c r="H91" s="254"/>
      <c r="I91" s="254"/>
      <c r="J91" s="640"/>
      <c r="K91" s="640" t="s">
        <v>4</v>
      </c>
      <c r="L91" s="254"/>
      <c r="M91" s="254"/>
      <c r="N91" s="541"/>
      <c r="O91" s="541"/>
      <c r="P91" s="253">
        <f t="shared" si="165"/>
        <v>36</v>
      </c>
      <c r="Q91" s="62">
        <f t="shared" si="168"/>
        <v>-8</v>
      </c>
      <c r="R91" s="461" t="str">
        <f t="shared" si="166"/>
        <v>Торубара</v>
      </c>
      <c r="S91" s="76" t="s">
        <v>10</v>
      </c>
      <c r="T91" s="77" t="s">
        <v>9</v>
      </c>
      <c r="U91" s="90">
        <f t="shared" si="167"/>
        <v>0</v>
      </c>
      <c r="V91" s="62">
        <f t="shared" si="164"/>
        <v>0</v>
      </c>
      <c r="W91" s="62"/>
      <c r="X91" s="74" t="s">
        <v>34</v>
      </c>
      <c r="Y91" s="7"/>
      <c r="Z91" s="7"/>
      <c r="AA91" s="7"/>
      <c r="AB91" s="13"/>
      <c r="AC91" s="13"/>
      <c r="AD91" s="13"/>
    </row>
    <row r="92" ht="14.4">
      <c r="A92" s="361" t="s">
        <v>48</v>
      </c>
      <c r="B92" s="541"/>
      <c r="C92" s="541"/>
      <c r="D92" s="541"/>
      <c r="E92" s="541"/>
      <c r="F92" s="653"/>
      <c r="G92" s="653" t="s">
        <v>33</v>
      </c>
      <c r="H92" s="112"/>
      <c r="I92" s="653" t="s">
        <v>4</v>
      </c>
      <c r="J92" s="247"/>
      <c r="K92" s="247"/>
      <c r="L92" s="541"/>
      <c r="M92" s="541"/>
      <c r="N92" s="295"/>
      <c r="O92" s="295"/>
      <c r="P92" s="253">
        <f t="shared" si="165"/>
        <v>20</v>
      </c>
      <c r="Q92" s="62">
        <f t="shared" si="168"/>
        <v>0</v>
      </c>
      <c r="R92" s="461" t="str">
        <f t="shared" si="166"/>
        <v>Стрыгин</v>
      </c>
      <c r="S92" s="71" t="s">
        <v>8</v>
      </c>
      <c r="T92" s="72" t="s">
        <v>7</v>
      </c>
      <c r="U92" s="90">
        <f t="shared" si="167"/>
        <v>0</v>
      </c>
      <c r="V92" s="62">
        <f t="shared" si="164"/>
        <v>0</v>
      </c>
      <c r="W92" s="62"/>
      <c r="X92" s="74" t="s">
        <v>49</v>
      </c>
      <c r="Y92" s="7"/>
      <c r="Z92" s="7"/>
      <c r="AA92" s="7"/>
      <c r="AB92" s="13"/>
      <c r="AC92" s="13"/>
      <c r="AD92" s="13"/>
    </row>
    <row r="93" ht="14.4">
      <c r="A93" s="361" t="s">
        <v>50</v>
      </c>
      <c r="B93" s="644"/>
      <c r="C93" s="644" t="s">
        <v>57</v>
      </c>
      <c r="D93" s="541"/>
      <c r="E93" s="541"/>
      <c r="F93" s="798"/>
      <c r="G93" s="798" t="s">
        <v>4</v>
      </c>
      <c r="H93" s="637"/>
      <c r="I93" s="637"/>
      <c r="J93" s="642"/>
      <c r="K93" s="642"/>
      <c r="L93" s="247"/>
      <c r="M93" s="247"/>
      <c r="N93" s="247"/>
      <c r="O93" s="247"/>
      <c r="P93" s="253">
        <f t="shared" si="165"/>
        <v>16</v>
      </c>
      <c r="Q93" s="62">
        <f t="shared" si="168"/>
        <v>0</v>
      </c>
      <c r="R93" s="461" t="str">
        <f t="shared" si="166"/>
        <v>Фрик</v>
      </c>
      <c r="S93" s="71" t="s">
        <v>12</v>
      </c>
      <c r="T93" s="72" t="s">
        <v>11</v>
      </c>
      <c r="U93" s="90">
        <f t="shared" si="167"/>
        <v>0</v>
      </c>
      <c r="V93" s="62">
        <f t="shared" si="164"/>
        <v>0</v>
      </c>
      <c r="W93" s="62"/>
      <c r="X93" s="74" t="s">
        <v>44</v>
      </c>
      <c r="Y93" s="7"/>
      <c r="Z93" s="7"/>
      <c r="AA93" s="7"/>
      <c r="AB93" s="13"/>
      <c r="AC93" s="13"/>
      <c r="AD93" s="13"/>
    </row>
    <row r="94" ht="14.4">
      <c r="A94" s="576" t="s">
        <v>51</v>
      </c>
      <c r="B94" s="632"/>
      <c r="C94" s="632"/>
      <c r="D94" s="544"/>
      <c r="E94" s="799"/>
      <c r="F94" s="87"/>
      <c r="G94" s="87"/>
      <c r="H94" s="800"/>
      <c r="I94" s="648"/>
      <c r="J94" s="541"/>
      <c r="K94" s="541"/>
      <c r="L94" s="247"/>
      <c r="M94" s="247"/>
      <c r="N94" s="15"/>
      <c r="O94" s="15"/>
      <c r="P94" s="253">
        <f>C94+E94+F94+I94+K94+M94+O94</f>
        <v>0</v>
      </c>
      <c r="Q94" s="62">
        <f t="shared" si="168"/>
        <v>0</v>
      </c>
      <c r="R94" s="461" t="str">
        <f t="shared" si="166"/>
        <v>Истрашкин</v>
      </c>
      <c r="S94" s="71" t="s">
        <v>10</v>
      </c>
      <c r="T94" s="72" t="s">
        <v>9</v>
      </c>
      <c r="U94" s="90">
        <f>COUNTIF(T94,B94)+COUNTIF(T94,D94)+COUNTIF(T94,#REF!)+COUNTIF(T94,H94)+COUNTIF(T94,J94)+COUNTIF(T94,L94)+COUNTIF(T94,N94)</f>
        <v>0</v>
      </c>
      <c r="V94" s="62">
        <f>COUNTIF(S94,B94)+COUNTIF(S94,D94)+COUNTIF(S94,#REF!)+COUNTIF(S94,H94)+COUNTIF(S94,J94)+COUNTIF(S94,L94)+COUNTIF(S94,N94)</f>
        <v>0</v>
      </c>
      <c r="W94" s="62"/>
      <c r="X94" s="74" t="s">
        <v>34</v>
      </c>
      <c r="Y94" s="7"/>
      <c r="Z94" s="7"/>
      <c r="AA94" s="7"/>
      <c r="AB94" s="13"/>
      <c r="AC94" s="13"/>
      <c r="AD94" s="13"/>
    </row>
    <row r="95" ht="14.4">
      <c r="A95" s="361" t="s">
        <v>43</v>
      </c>
      <c r="B95" s="637"/>
      <c r="C95" s="801"/>
      <c r="D95" s="131"/>
      <c r="E95" s="131">
        <v>12</v>
      </c>
      <c r="F95" s="802"/>
      <c r="G95" s="803"/>
      <c r="H95" s="653"/>
      <c r="I95" s="653" t="s">
        <v>33</v>
      </c>
      <c r="J95" s="653"/>
      <c r="K95" s="653" t="s">
        <v>33</v>
      </c>
      <c r="L95" s="254"/>
      <c r="M95" s="254"/>
      <c r="N95" s="254"/>
      <c r="O95" s="254"/>
      <c r="P95" s="253">
        <f t="shared" si="165"/>
        <v>28</v>
      </c>
      <c r="Q95" s="62">
        <f t="shared" si="168"/>
        <v>0</v>
      </c>
      <c r="R95" s="461" t="str">
        <f t="shared" si="166"/>
        <v>Дащенко</v>
      </c>
      <c r="S95" s="71" t="s">
        <v>12</v>
      </c>
      <c r="T95" s="72" t="s">
        <v>11</v>
      </c>
      <c r="U95" s="90">
        <f t="shared" si="167"/>
        <v>0</v>
      </c>
      <c r="V95" s="62">
        <f t="shared" si="164"/>
        <v>0</v>
      </c>
      <c r="W95" s="62"/>
      <c r="X95" s="80" t="s">
        <v>44</v>
      </c>
      <c r="Y95" s="7"/>
      <c r="Z95" s="7"/>
      <c r="AA95" s="7"/>
      <c r="AB95" s="13"/>
      <c r="AC95" s="13"/>
      <c r="AD95" s="13"/>
    </row>
    <row r="96" ht="14.4">
      <c r="A96" s="207"/>
      <c r="B96" s="526">
        <v>46048</v>
      </c>
      <c r="C96" s="528"/>
      <c r="D96" s="500">
        <v>46049</v>
      </c>
      <c r="E96" s="686"/>
      <c r="F96" s="526">
        <v>46050</v>
      </c>
      <c r="G96" s="528"/>
      <c r="H96" s="526">
        <v>46051</v>
      </c>
      <c r="I96" s="528"/>
      <c r="J96" s="526">
        <v>46052</v>
      </c>
      <c r="K96" s="528"/>
      <c r="L96" s="526">
        <v>46053</v>
      </c>
      <c r="M96" s="528"/>
      <c r="N96" s="526">
        <v>46023</v>
      </c>
      <c r="O96" s="528"/>
      <c r="P96" s="253"/>
      <c r="Q96" s="254"/>
      <c r="R96" s="297"/>
      <c r="S96" s="134"/>
      <c r="T96" s="134"/>
      <c r="U96" s="60" t="s">
        <v>27</v>
      </c>
      <c r="V96" s="61" t="s">
        <v>28</v>
      </c>
      <c r="W96" s="62" t="s">
        <v>29</v>
      </c>
      <c r="X96" s="7"/>
      <c r="Y96" s="7"/>
      <c r="Z96" s="7"/>
      <c r="AA96" s="7"/>
      <c r="AB96" s="13"/>
      <c r="AC96" s="13"/>
      <c r="AD96" s="13"/>
    </row>
    <row r="97" ht="14.4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30"/>
      <c r="R97" s="139"/>
      <c r="S97" s="139"/>
      <c r="T97" s="139"/>
      <c r="U97" s="127"/>
      <c r="V97" s="127"/>
      <c r="W97" s="128"/>
      <c r="X97" s="7"/>
      <c r="Y97" s="7"/>
      <c r="Z97" s="7"/>
      <c r="AA97" s="7"/>
      <c r="AB97" s="13"/>
      <c r="AC97" s="13"/>
      <c r="AD97" s="13"/>
    </row>
    <row r="98" ht="14.4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53"/>
      <c r="R98" s="7"/>
      <c r="S98" s="7"/>
      <c r="T98" s="7"/>
      <c r="U98" s="153"/>
      <c r="V98" s="153"/>
      <c r="W98" s="12"/>
      <c r="X98" s="7"/>
      <c r="Y98" s="7"/>
      <c r="Z98" s="7"/>
      <c r="AA98" s="7"/>
      <c r="AB98" s="13"/>
      <c r="AC98" s="13"/>
      <c r="AD98" s="13"/>
    </row>
    <row r="99" ht="14.4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153"/>
      <c r="R99" s="7"/>
      <c r="S99" s="7"/>
      <c r="T99" s="7"/>
      <c r="U99" s="153"/>
      <c r="V99" s="153"/>
      <c r="W99" s="12"/>
      <c r="X99" s="7"/>
      <c r="Y99" s="7"/>
      <c r="Z99" s="7"/>
      <c r="AA99" s="7"/>
      <c r="AB99" s="13"/>
      <c r="AC99" s="13"/>
      <c r="AD99" s="13"/>
    </row>
    <row r="100" ht="14.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 ht="14.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 ht="14.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 ht="14.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 ht="14.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 ht="14.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 ht="14.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 ht="14.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 ht="14.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 ht="14.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 ht="14.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 ht="14.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 ht="14.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 ht="14.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 ht="14.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 ht="14.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 ht="14.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 ht="14.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 ht="14.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 ht="14.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 ht="14.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 ht="14.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 ht="14.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 ht="14.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 ht="14.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 ht="14.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 ht="14.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 ht="14.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 ht="14.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 ht="14.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 ht="14.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 ht="14.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 ht="14.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 ht="14.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 ht="14.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 ht="14.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 ht="14.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 ht="14.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 ht="14.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 ht="14.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 ht="14.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 ht="14.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 ht="14.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 ht="14.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 ht="14.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 ht="14.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 ht="14.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 ht="14.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 ht="14.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 ht="14.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 ht="14.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 ht="14.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 ht="14.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 ht="14.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 ht="14.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 ht="14.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 ht="14.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 ht="14.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 ht="14.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 ht="14.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 ht="14.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 ht="14.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 ht="14.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 ht="14.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 ht="14.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 ht="14.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 ht="14.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 ht="14.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 ht="14.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 ht="14.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 ht="14.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 ht="14.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 ht="14.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 ht="14.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 ht="14.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 ht="14.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 ht="14.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 ht="14.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 ht="14.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 ht="14.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 ht="14.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 ht="14.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 ht="14.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 ht="14.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 ht="14.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 ht="14.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 ht="14.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 ht="14.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 ht="14.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 ht="14.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 ht="14.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 ht="14.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 ht="14.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 ht="14.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 ht="14.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 ht="14.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 ht="14.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 ht="14.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 ht="14.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 ht="14.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 ht="14.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 ht="14.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 ht="14.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 ht="14.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 ht="14.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 ht="14.4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 ht="14.4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 ht="14.4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 ht="14.4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 ht="14.4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 ht="14.4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 ht="14.4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 ht="14.4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 ht="14.4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 ht="14.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 ht="14.4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 ht="14.4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 ht="14.4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 ht="14.4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 ht="14.4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 ht="14.4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 ht="14.4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 ht="14.4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 ht="14.4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 ht="14.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 ht="14.4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 ht="14.4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 ht="14.4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 ht="14.4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 ht="14.4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 ht="14.4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 ht="14.4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 ht="14.4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 ht="14.4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 ht="14.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 ht="14.4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 ht="14.4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 ht="14.4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 ht="14.4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 ht="14.4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 ht="14.4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 ht="14.4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 ht="14.4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 ht="14.4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 ht="14.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 ht="14.4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 ht="14.4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 ht="14.4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 ht="14.4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 ht="14.4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 ht="14.4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 ht="14.4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 ht="14.4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 ht="14.4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 ht="14.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 ht="14.4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 ht="14.4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 ht="14.4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 ht="14.4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 ht="14.4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 ht="14.4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 ht="14.4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 ht="14.4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 ht="14.4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 ht="14.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 ht="14.4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 ht="14.4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 ht="14.4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 ht="14.4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 ht="14.4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 ht="14.4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 ht="14.4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 ht="14.4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 ht="14.4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 ht="14.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 ht="14.4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 ht="14.4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 ht="14.4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 ht="14.4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 ht="14.4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 ht="14.4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 ht="14.4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 ht="14.4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 ht="14.4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 ht="14.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 ht="14.4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 ht="14.4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 ht="14.4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 ht="14.4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 ht="14.4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 ht="14.4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 ht="14.4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 ht="14.4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 ht="14.4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 ht="14.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 ht="14.4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 ht="14.4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 ht="14.4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 ht="14.4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 ht="14.4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 ht="14.4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 ht="14.4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 ht="14.4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 ht="14.4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 ht="14.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 ht="14.4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 ht="14.4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 ht="14.4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 ht="14.4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 ht="14.4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 ht="14.4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 ht="14.4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 ht="14.4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 ht="14.4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 ht="14.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 ht="14.4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 ht="14.4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 ht="14.4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 ht="14.4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 ht="14.4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 ht="14.4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 ht="14.4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 ht="14.4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 ht="14.4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 ht="14.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 ht="14.4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 ht="14.4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 ht="14.4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 ht="14.4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 ht="14.4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 ht="14.4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 ht="14.4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 ht="14.4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 ht="14.4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 ht="14.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 ht="14.4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 ht="14.4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 ht="14.4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 ht="14.4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 ht="14.4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 ht="14.4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 ht="14.4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 ht="14.4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 ht="14.4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 ht="14.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 ht="14.4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 ht="14.4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 ht="14.4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 ht="14.4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 ht="14.4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 ht="14.4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 ht="14.4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 ht="14.4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 ht="14.4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 ht="14.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 ht="14.4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 ht="14.4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 ht="14.4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 ht="14.4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 ht="14.4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 ht="14.4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 ht="14.4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 ht="14.4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 ht="14.4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 ht="14.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 ht="14.4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 ht="14.4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 ht="14.4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 ht="14.4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 ht="14.4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 ht="14.4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 ht="14.4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 ht="14.4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 ht="14.4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 ht="14.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 ht="14.4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 ht="14.4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 ht="14.4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 ht="14.4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 ht="14.4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 ht="14.4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 ht="14.4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 ht="14.4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 ht="14.4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 ht="14.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 ht="14.4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 ht="14.4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 ht="14.4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 ht="14.4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 ht="14.4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 ht="14.4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 ht="14.4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 ht="14.4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 ht="14.4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 ht="14.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 ht="14.4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 ht="14.4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 ht="14.4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 ht="14.4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 ht="14.4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 ht="14.4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 ht="14.4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 ht="14.4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 ht="14.4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 ht="14.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 ht="14.4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 ht="14.4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 ht="14.4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 ht="14.4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 ht="14.4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 ht="14.4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 ht="14.4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 ht="14.4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 ht="14.4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 ht="14.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 ht="14.4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 ht="14.4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 ht="14.4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 ht="14.4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 ht="14.4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 ht="14.4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 ht="14.4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 ht="14.4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 ht="14.4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 ht="14.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 ht="14.4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 ht="14.4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 ht="14.4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 ht="14.4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 ht="14.4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 ht="14.4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 ht="14.4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 ht="14.4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 ht="14.4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 ht="14.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 ht="14.4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 ht="14.4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 ht="14.4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 ht="14.4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 ht="14.4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 ht="14.4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 ht="14.4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 ht="14.4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 ht="14.4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 ht="14.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 ht="14.4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 ht="14.4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 ht="14.4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 ht="14.4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 ht="14.4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 ht="14.4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 ht="14.4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 ht="14.4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 ht="14.4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 ht="14.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 ht="14.4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 ht="14.4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 ht="14.4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 ht="14.4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 ht="14.4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 ht="14.4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 ht="14.4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 ht="14.4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 ht="14.4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 ht="14.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 ht="14.4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 ht="14.4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 ht="14.4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 ht="14.4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 ht="14.4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 ht="14.4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 ht="14.4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 ht="14.4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 ht="14.4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 ht="14.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 ht="14.4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 ht="14.4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 ht="14.4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 ht="14.4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 ht="14.4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 ht="14.4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 ht="14.4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 ht="14.4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 ht="14.4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 ht="14.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 ht="14.4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 ht="14.4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 ht="14.4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 ht="14.4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 ht="14.4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 ht="14.4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 ht="14.4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 ht="14.4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 ht="14.4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 ht="14.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 ht="14.4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 ht="14.4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 ht="14.4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 ht="14.4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 ht="14.4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 ht="14.4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 ht="14.4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 ht="14.4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 ht="14.4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 ht="14.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 ht="14.4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 ht="14.4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 ht="14.4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 ht="14.4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 ht="14.4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 ht="14.4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 ht="14.4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 ht="14.4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 ht="14.4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 ht="14.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 ht="14.4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 ht="14.4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 ht="14.4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 ht="14.4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 ht="14.4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 ht="14.4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 ht="14.4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 ht="14.4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 ht="14.4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 ht="14.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 ht="14.4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 ht="14.4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 ht="14.4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 ht="14.4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 ht="14.4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 ht="14.4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 ht="14.4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 ht="14.4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 ht="14.4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 ht="14.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 ht="14.4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 ht="14.4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 ht="14.4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 ht="14.4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 ht="14.4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 ht="14.4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 ht="14.4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 ht="14.4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 ht="14.4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 ht="14.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 ht="14.4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 ht="14.4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 ht="14.4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 ht="14.4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 ht="14.4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 ht="14.4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 ht="14.4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 ht="14.4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 ht="14.4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 ht="14.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 ht="14.4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 ht="14.4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 ht="14.4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 ht="14.4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 ht="14.4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 ht="14.4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 ht="14.4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 ht="14.4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 ht="14.4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 ht="14.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 ht="14.4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 ht="14.4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 ht="14.4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 ht="14.4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 ht="14.4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 ht="14.4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 ht="14.4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 ht="14.4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 ht="14.4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 ht="14.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 ht="14.4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 ht="14.4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 ht="14.4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 ht="14.4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 ht="14.4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 ht="14.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 ht="14.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 ht="14.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 ht="14.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 ht="14.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 ht="14.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 ht="14.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 ht="14.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 ht="14.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 ht="14.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 ht="14.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 ht="14.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 ht="14.4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 ht="14.4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 ht="14.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 ht="14.4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 ht="14.4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 ht="14.4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 ht="14.4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 ht="14.4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 ht="14.4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 ht="14.4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 ht="14.4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 ht="14.4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 ht="14.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 ht="14.4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 ht="14.4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 ht="14.4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 ht="14.4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 ht="14.4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 ht="14.4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 ht="14.4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 ht="14.4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 ht="14.4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 ht="14.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 ht="14.4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 ht="14.4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 ht="14.4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 ht="14.4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 ht="14.4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 ht="14.4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 ht="14.4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 ht="14.4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 ht="14.4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 ht="14.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 ht="14.4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 ht="14.4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 ht="14.4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 ht="14.4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 ht="14.4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 ht="14.4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 ht="14.4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 ht="14.4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 ht="14.4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 ht="14.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 ht="14.4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 ht="14.4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 ht="14.4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 ht="14.4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 ht="14.4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 ht="14.4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 ht="14.4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 ht="14.4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 ht="14.4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 ht="14.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 ht="14.4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 ht="14.4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 ht="14.4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 ht="14.4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 ht="14.4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 ht="14.4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 ht="14.4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 ht="14.4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 ht="14.4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 ht="14.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153"/>
      <c r="R654" s="7"/>
      <c r="S654" s="7"/>
      <c r="T654" s="7"/>
      <c r="U654" s="153"/>
      <c r="V654" s="153"/>
      <c r="W654" s="12"/>
      <c r="X654" s="7"/>
      <c r="Y654" s="7"/>
      <c r="Z654" s="7"/>
      <c r="AA654" s="7"/>
      <c r="AB654" s="13"/>
      <c r="AC654" s="13"/>
      <c r="AD654" s="13"/>
    </row>
    <row r="655" ht="14.4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153"/>
      <c r="R655" s="7"/>
      <c r="S655" s="7"/>
      <c r="T655" s="7"/>
      <c r="U655" s="153"/>
      <c r="V655" s="153"/>
      <c r="W655" s="12"/>
      <c r="X655" s="7"/>
      <c r="Y655" s="7"/>
      <c r="Z655" s="7"/>
      <c r="AA655" s="7"/>
      <c r="AB655" s="13"/>
      <c r="AC655" s="13"/>
      <c r="AD655" s="13"/>
    </row>
    <row r="656" ht="14.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7"/>
      <c r="Q656" s="153"/>
      <c r="R656" s="7"/>
      <c r="S656" s="7"/>
      <c r="T656" s="7"/>
      <c r="U656" s="153"/>
      <c r="V656" s="153"/>
      <c r="W656" s="12"/>
      <c r="X656" s="7"/>
      <c r="Y656" s="7"/>
      <c r="Z656" s="7"/>
      <c r="AA656" s="7"/>
      <c r="AB656" s="13"/>
      <c r="AC656" s="13"/>
      <c r="AD656" s="13"/>
    </row>
    <row r="657" ht="14.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7"/>
      <c r="Q657" s="153"/>
      <c r="R657" s="7"/>
      <c r="S657" s="7"/>
      <c r="T657" s="7"/>
      <c r="U657" s="153"/>
      <c r="V657" s="153"/>
      <c r="W657" s="12"/>
      <c r="X657" s="7"/>
      <c r="Y657" s="7"/>
      <c r="Z657" s="7"/>
      <c r="AA657" s="7"/>
      <c r="AB657" s="13"/>
      <c r="AC657" s="13"/>
      <c r="AD657" s="13"/>
    </row>
    <row r="658" ht="14.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7"/>
      <c r="Q658" s="153"/>
      <c r="R658" s="7"/>
      <c r="S658" s="7"/>
      <c r="T658" s="7"/>
      <c r="U658" s="153"/>
      <c r="V658" s="153"/>
      <c r="W658" s="12"/>
      <c r="X658" s="7"/>
      <c r="Y658" s="7"/>
      <c r="Z658" s="7"/>
      <c r="AA658" s="7"/>
      <c r="AB658" s="13"/>
      <c r="AC658" s="13"/>
      <c r="AD658" s="13"/>
    </row>
    <row r="659" ht="14.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7"/>
      <c r="Q659" s="153"/>
      <c r="R659" s="7"/>
      <c r="S659" s="7"/>
      <c r="T659" s="7"/>
      <c r="U659" s="153"/>
      <c r="V659" s="153"/>
      <c r="W659" s="12"/>
      <c r="X659" s="7"/>
      <c r="Y659" s="7"/>
      <c r="Z659" s="7"/>
      <c r="AA659" s="7"/>
      <c r="AB659" s="13"/>
      <c r="AC659" s="13"/>
      <c r="AD659" s="13"/>
    </row>
    <row r="660" ht="14.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7"/>
      <c r="Q660" s="153"/>
      <c r="R660" s="7"/>
      <c r="S660" s="7"/>
      <c r="T660" s="7"/>
      <c r="U660" s="153"/>
      <c r="V660" s="153"/>
      <c r="W660" s="12"/>
      <c r="X660" s="7"/>
      <c r="Y660" s="7"/>
      <c r="Z660" s="7"/>
      <c r="AA660" s="7"/>
      <c r="AB660" s="13"/>
      <c r="AC660" s="13"/>
      <c r="AD660" s="13"/>
    </row>
    <row r="661" ht="14.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7"/>
      <c r="Q661" s="153"/>
      <c r="R661" s="7"/>
      <c r="S661" s="7"/>
      <c r="T661" s="7"/>
      <c r="U661" s="153"/>
      <c r="V661" s="153"/>
      <c r="W661" s="12"/>
      <c r="X661" s="7"/>
      <c r="Y661" s="7"/>
      <c r="Z661" s="7"/>
      <c r="AA661" s="7"/>
      <c r="AB661" s="13"/>
      <c r="AC661" s="13"/>
      <c r="AD661" s="13"/>
    </row>
    <row r="662" ht="14.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7"/>
      <c r="Q662" s="153"/>
      <c r="R662" s="7"/>
      <c r="S662" s="7"/>
      <c r="T662" s="7"/>
      <c r="U662" s="153"/>
      <c r="V662" s="153"/>
      <c r="W662" s="12"/>
      <c r="X662" s="7"/>
      <c r="Y662" s="7"/>
      <c r="Z662" s="7"/>
      <c r="AA662" s="7"/>
      <c r="AB662" s="13"/>
      <c r="AC662" s="13"/>
      <c r="AD662" s="13"/>
    </row>
    <row r="663" ht="14.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7"/>
      <c r="Q663" s="153"/>
      <c r="R663" s="7"/>
      <c r="S663" s="7"/>
      <c r="T663" s="7"/>
      <c r="U663" s="153"/>
      <c r="V663" s="153"/>
      <c r="W663" s="12"/>
      <c r="X663" s="7"/>
      <c r="Y663" s="7"/>
      <c r="Z663" s="7"/>
      <c r="AA663" s="7"/>
      <c r="AB663" s="13"/>
      <c r="AC663" s="13"/>
      <c r="AD663" s="13"/>
    </row>
    <row r="664" ht="14.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7"/>
      <c r="Q664" s="153"/>
      <c r="R664" s="7"/>
      <c r="S664" s="7"/>
      <c r="T664" s="7"/>
      <c r="U664" s="153"/>
      <c r="V664" s="153"/>
      <c r="W664" s="12"/>
      <c r="X664" s="7"/>
      <c r="Y664" s="7"/>
      <c r="Z664" s="7"/>
      <c r="AA664" s="7"/>
      <c r="AB664" s="13"/>
      <c r="AC664" s="13"/>
      <c r="AD664" s="13"/>
    </row>
    <row r="665" ht="14.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7"/>
      <c r="Q665" s="153"/>
      <c r="R665" s="7"/>
      <c r="S665" s="7"/>
      <c r="T665" s="7"/>
      <c r="U665" s="153"/>
      <c r="V665" s="153"/>
      <c r="W665" s="12"/>
      <c r="X665" s="7"/>
      <c r="Y665" s="7"/>
      <c r="Z665" s="7"/>
      <c r="AA665" s="7"/>
      <c r="AB665" s="13"/>
      <c r="AC665" s="13"/>
      <c r="AD665" s="13"/>
    </row>
    <row r="666" ht="14.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7"/>
      <c r="Q666" s="153"/>
      <c r="R666" s="7"/>
      <c r="S666" s="7"/>
      <c r="T666" s="7"/>
      <c r="U666" s="153"/>
      <c r="V666" s="153"/>
      <c r="W666" s="12"/>
      <c r="X666" s="7"/>
      <c r="Y666" s="7"/>
      <c r="Z666" s="7"/>
      <c r="AA666" s="7"/>
      <c r="AB666" s="13"/>
      <c r="AC666" s="13"/>
      <c r="AD666" s="13"/>
    </row>
    <row r="667" ht="14.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7"/>
      <c r="Q667" s="153"/>
      <c r="R667" s="7"/>
      <c r="S667" s="7"/>
      <c r="T667" s="7"/>
      <c r="U667" s="153"/>
      <c r="V667" s="153"/>
      <c r="W667" s="12"/>
      <c r="X667" s="7"/>
      <c r="Y667" s="7"/>
      <c r="Z667" s="7"/>
      <c r="AA667" s="7"/>
      <c r="AB667" s="13"/>
      <c r="AC667" s="13"/>
      <c r="AD667" s="13"/>
    </row>
    <row r="668" ht="14.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7"/>
      <c r="Q668" s="153"/>
      <c r="R668" s="7"/>
      <c r="S668" s="7"/>
      <c r="T668" s="7"/>
      <c r="U668" s="153"/>
      <c r="V668" s="153"/>
      <c r="W668" s="12"/>
      <c r="X668" s="7"/>
      <c r="Y668" s="7"/>
      <c r="Z668" s="7"/>
      <c r="AA668" s="7"/>
      <c r="AB668" s="13"/>
      <c r="AC668" s="13"/>
      <c r="AD668" s="13"/>
    </row>
    <row r="669" ht="14.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7"/>
      <c r="Q669" s="153"/>
      <c r="R669" s="7"/>
      <c r="S669" s="7"/>
      <c r="T669" s="7"/>
      <c r="U669" s="153"/>
      <c r="V669" s="153"/>
      <c r="W669" s="12"/>
      <c r="X669" s="7"/>
      <c r="Y669" s="7"/>
      <c r="Z669" s="7"/>
      <c r="AA669" s="7"/>
      <c r="AB669" s="13"/>
      <c r="AC669" s="13"/>
      <c r="AD669" s="13"/>
    </row>
    <row r="670" ht="14.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7"/>
      <c r="Q670" s="153"/>
      <c r="R670" s="7"/>
      <c r="S670" s="7"/>
      <c r="T670" s="7"/>
      <c r="U670" s="153"/>
      <c r="V670" s="153"/>
      <c r="W670" s="12"/>
      <c r="X670" s="7"/>
      <c r="Y670" s="7"/>
      <c r="Z670" s="7"/>
      <c r="AA670" s="7"/>
      <c r="AB670" s="13"/>
      <c r="AC670" s="13"/>
      <c r="AD670" s="13"/>
    </row>
    <row r="671" ht="14.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7"/>
      <c r="Q671" s="153"/>
      <c r="R671" s="7"/>
      <c r="S671" s="7"/>
      <c r="T671" s="7"/>
      <c r="U671" s="153"/>
      <c r="V671" s="153"/>
      <c r="W671" s="12"/>
      <c r="X671" s="7"/>
      <c r="Y671" s="7"/>
      <c r="Z671" s="7"/>
      <c r="AA671" s="7"/>
      <c r="AB671" s="13"/>
      <c r="AC671" s="13"/>
      <c r="AD671" s="13"/>
    </row>
    <row r="672" ht="14.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7"/>
      <c r="Q672" s="153"/>
      <c r="R672" s="7"/>
      <c r="S672" s="7"/>
      <c r="T672" s="7"/>
      <c r="U672" s="153"/>
      <c r="V672" s="153"/>
      <c r="W672" s="12"/>
      <c r="X672" s="7"/>
      <c r="Y672" s="7"/>
      <c r="Z672" s="7"/>
      <c r="AA672" s="7"/>
      <c r="AB672" s="13"/>
      <c r="AC672" s="13"/>
      <c r="AD672" s="13"/>
    </row>
    <row r="673" ht="14.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7"/>
      <c r="Q673" s="153"/>
      <c r="R673" s="7"/>
      <c r="S673" s="7"/>
      <c r="T673" s="7"/>
      <c r="U673" s="153"/>
      <c r="V673" s="153"/>
      <c r="W673" s="12"/>
      <c r="X673" s="7"/>
      <c r="Y673" s="7"/>
      <c r="Z673" s="7"/>
      <c r="AA673" s="7"/>
      <c r="AB673" s="13"/>
      <c r="AC673" s="13"/>
      <c r="AD673" s="13"/>
    </row>
    <row r="674" ht="14.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7"/>
      <c r="Q674" s="153"/>
      <c r="R674" s="7"/>
      <c r="S674" s="7"/>
      <c r="T674" s="7"/>
      <c r="U674" s="153"/>
      <c r="V674" s="153"/>
      <c r="W674" s="12"/>
      <c r="X674" s="7"/>
      <c r="Y674" s="7"/>
      <c r="Z674" s="7"/>
      <c r="AA674" s="7"/>
      <c r="AB674" s="13"/>
      <c r="AC674" s="13"/>
      <c r="AD674" s="13"/>
    </row>
    <row r="675" ht="14.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7"/>
      <c r="Q675" s="153"/>
      <c r="R675" s="7"/>
      <c r="S675" s="7"/>
      <c r="T675" s="7"/>
      <c r="U675" s="153"/>
      <c r="V675" s="153"/>
      <c r="W675" s="12"/>
      <c r="X675" s="7"/>
      <c r="Y675" s="7"/>
      <c r="Z675" s="7"/>
      <c r="AA675" s="7"/>
      <c r="AB675" s="13"/>
      <c r="AC675" s="13"/>
      <c r="AD675" s="13"/>
    </row>
    <row r="676" ht="14.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7"/>
      <c r="Q676" s="153"/>
      <c r="R676" s="7"/>
      <c r="S676" s="7"/>
      <c r="T676" s="7"/>
      <c r="U676" s="153"/>
      <c r="V676" s="153"/>
      <c r="W676" s="12"/>
      <c r="X676" s="7"/>
      <c r="Y676" s="7"/>
      <c r="Z676" s="7"/>
      <c r="AA676" s="7"/>
      <c r="AB676" s="13"/>
      <c r="AC676" s="13"/>
      <c r="AD676" s="13"/>
    </row>
    <row r="677" ht="14.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7"/>
      <c r="Q677" s="153"/>
      <c r="R677" s="7"/>
      <c r="S677" s="7"/>
      <c r="T677" s="7"/>
      <c r="U677" s="153"/>
      <c r="V677" s="153"/>
      <c r="W677" s="12"/>
      <c r="X677" s="7"/>
      <c r="Y677" s="7"/>
      <c r="Z677" s="7"/>
      <c r="AA677" s="7"/>
      <c r="AB677" s="13"/>
      <c r="AC677" s="13"/>
      <c r="AD677" s="13"/>
    </row>
    <row r="678" ht="14.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7"/>
      <c r="Q678" s="153"/>
      <c r="R678" s="7"/>
      <c r="S678" s="7"/>
      <c r="T678" s="7"/>
      <c r="U678" s="153"/>
      <c r="V678" s="153"/>
      <c r="W678" s="12"/>
      <c r="X678" s="7"/>
      <c r="Y678" s="7"/>
      <c r="Z678" s="7"/>
      <c r="AA678" s="7"/>
      <c r="AB678" s="13"/>
      <c r="AC678" s="13"/>
      <c r="AD678" s="13"/>
    </row>
    <row r="679" ht="14.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7"/>
      <c r="Q679" s="153"/>
      <c r="R679" s="7"/>
      <c r="S679" s="7"/>
      <c r="T679" s="7"/>
      <c r="U679" s="153"/>
      <c r="V679" s="153"/>
      <c r="W679" s="12"/>
      <c r="X679" s="7"/>
      <c r="Y679" s="7"/>
      <c r="Z679" s="7"/>
      <c r="AA679" s="7"/>
      <c r="AB679" s="13"/>
      <c r="AC679" s="13"/>
      <c r="AD679" s="13"/>
    </row>
    <row r="680" ht="14.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7"/>
      <c r="Q680" s="153"/>
      <c r="R680" s="7"/>
      <c r="S680" s="7"/>
      <c r="T680" s="7"/>
      <c r="U680" s="153"/>
      <c r="V680" s="153"/>
      <c r="W680" s="12"/>
      <c r="X680" s="7"/>
      <c r="Y680" s="7"/>
      <c r="Z680" s="7"/>
      <c r="AA680" s="7"/>
      <c r="AB680" s="13"/>
      <c r="AC680" s="13"/>
      <c r="AD680" s="13"/>
    </row>
    <row r="681" ht="14.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7"/>
      <c r="Q681" s="153"/>
      <c r="R681" s="7"/>
      <c r="S681" s="7"/>
      <c r="T681" s="7"/>
      <c r="U681" s="153"/>
      <c r="V681" s="153"/>
      <c r="W681" s="12"/>
      <c r="X681" s="7"/>
      <c r="Y681" s="7"/>
      <c r="Z681" s="7"/>
      <c r="AA681" s="7"/>
      <c r="AB681" s="13"/>
      <c r="AC681" s="13"/>
      <c r="AD681" s="13"/>
    </row>
    <row r="682" ht="14.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7"/>
      <c r="Q682" s="153"/>
      <c r="R682" s="7"/>
      <c r="S682" s="7"/>
      <c r="T682" s="7"/>
      <c r="U682" s="153"/>
      <c r="V682" s="153"/>
      <c r="W682" s="12"/>
      <c r="X682" s="7"/>
      <c r="Y682" s="7"/>
      <c r="Z682" s="7"/>
      <c r="AA682" s="7"/>
      <c r="AB682" s="13"/>
      <c r="AC682" s="13"/>
      <c r="AD682" s="13"/>
    </row>
    <row r="683" ht="14.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7"/>
      <c r="Q683" s="153"/>
      <c r="R683" s="7"/>
      <c r="S683" s="7"/>
      <c r="T683" s="7"/>
      <c r="U683" s="153"/>
      <c r="V683" s="153"/>
      <c r="W683" s="12"/>
      <c r="X683" s="7"/>
      <c r="Y683" s="7"/>
      <c r="Z683" s="7"/>
      <c r="AA683" s="7"/>
      <c r="AB683" s="13"/>
      <c r="AC683" s="13"/>
      <c r="AD683" s="13"/>
    </row>
    <row r="684" ht="14.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7"/>
      <c r="Q684" s="153"/>
      <c r="R684" s="7"/>
      <c r="S684" s="7"/>
      <c r="T684" s="7"/>
      <c r="U684" s="153"/>
      <c r="V684" s="153"/>
      <c r="W684" s="12"/>
      <c r="X684" s="7"/>
      <c r="Y684" s="7"/>
      <c r="Z684" s="7"/>
      <c r="AA684" s="7"/>
      <c r="AB684" s="13"/>
      <c r="AC684" s="13"/>
      <c r="AD684" s="13"/>
    </row>
    <row r="685" ht="14.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7"/>
      <c r="Q685" s="153"/>
      <c r="R685" s="7"/>
      <c r="S685" s="7"/>
      <c r="T685" s="7"/>
      <c r="U685" s="153"/>
      <c r="V685" s="153"/>
      <c r="W685" s="12"/>
      <c r="X685" s="7"/>
      <c r="Y685" s="7"/>
      <c r="Z685" s="7"/>
      <c r="AA685" s="7"/>
      <c r="AB685" s="13"/>
      <c r="AC685" s="13"/>
      <c r="AD685" s="13"/>
    </row>
    <row r="686" ht="14.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7"/>
      <c r="Q686" s="153"/>
      <c r="R686" s="7"/>
      <c r="S686" s="7"/>
      <c r="T686" s="7"/>
      <c r="U686" s="153"/>
      <c r="V686" s="153"/>
      <c r="W686" s="12"/>
      <c r="X686" s="7"/>
      <c r="Y686" s="7"/>
      <c r="Z686" s="7"/>
      <c r="AA686" s="7"/>
      <c r="AB686" s="13"/>
      <c r="AC686" s="13"/>
      <c r="AD686" s="13"/>
    </row>
    <row r="687" ht="14.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7"/>
      <c r="Q687" s="153"/>
      <c r="R687" s="7"/>
      <c r="S687" s="7"/>
      <c r="T687" s="7"/>
      <c r="U687" s="153"/>
      <c r="V687" s="153"/>
      <c r="W687" s="12"/>
      <c r="X687" s="7"/>
      <c r="Y687" s="7"/>
      <c r="Z687" s="7"/>
      <c r="AA687" s="7"/>
      <c r="AB687" s="13"/>
      <c r="AC687" s="13"/>
      <c r="AD687" s="13"/>
    </row>
    <row r="688" ht="14.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7"/>
      <c r="Q688" s="153"/>
      <c r="R688" s="7"/>
      <c r="S688" s="7"/>
      <c r="T688" s="7"/>
      <c r="U688" s="153"/>
      <c r="V688" s="153"/>
      <c r="W688" s="12"/>
      <c r="X688" s="7"/>
      <c r="Y688" s="7"/>
      <c r="Z688" s="7"/>
      <c r="AA688" s="7"/>
      <c r="AB688" s="13"/>
      <c r="AC688" s="13"/>
      <c r="AD688" s="13"/>
    </row>
    <row r="689" ht="14.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7"/>
      <c r="Q689" s="153"/>
      <c r="R689" s="7"/>
      <c r="S689" s="7"/>
      <c r="T689" s="7"/>
      <c r="U689" s="153"/>
      <c r="V689" s="153"/>
      <c r="W689" s="12"/>
      <c r="X689" s="7"/>
      <c r="Y689" s="7"/>
      <c r="Z689" s="7"/>
      <c r="AA689" s="7"/>
      <c r="AB689" s="13"/>
      <c r="AC689" s="13"/>
      <c r="AD689" s="13"/>
    </row>
    <row r="690" ht="14.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7"/>
      <c r="Q690" s="153"/>
      <c r="R690" s="7"/>
      <c r="S690" s="7"/>
      <c r="T690" s="7"/>
      <c r="U690" s="153"/>
      <c r="V690" s="153"/>
      <c r="W690" s="12"/>
      <c r="X690" s="7"/>
      <c r="Y690" s="7"/>
      <c r="Z690" s="7"/>
      <c r="AA690" s="7"/>
      <c r="AB690" s="13"/>
      <c r="AC690" s="13"/>
      <c r="AD690" s="13"/>
    </row>
    <row r="691" ht="14.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7"/>
      <c r="Q691" s="153"/>
      <c r="R691" s="7"/>
      <c r="S691" s="7"/>
      <c r="T691" s="7"/>
      <c r="U691" s="153"/>
      <c r="V691" s="153"/>
      <c r="W691" s="12"/>
      <c r="X691" s="7"/>
      <c r="Y691" s="7"/>
      <c r="Z691" s="7"/>
      <c r="AA691" s="7"/>
      <c r="AB691" s="13"/>
      <c r="AC691" s="13"/>
      <c r="AD691" s="13"/>
    </row>
    <row r="692" ht="14.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7"/>
      <c r="Q692" s="153"/>
      <c r="R692" s="7"/>
      <c r="S692" s="7"/>
      <c r="T692" s="7"/>
      <c r="U692" s="153"/>
      <c r="V692" s="153"/>
      <c r="W692" s="12"/>
      <c r="X692" s="7"/>
      <c r="Y692" s="7"/>
      <c r="Z692" s="7"/>
      <c r="AA692" s="7"/>
      <c r="AB692" s="13"/>
      <c r="AC692" s="13"/>
      <c r="AD692" s="13"/>
    </row>
    <row r="693" ht="14.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7"/>
      <c r="Q693" s="153"/>
      <c r="R693" s="7"/>
      <c r="S693" s="7"/>
      <c r="T693" s="7"/>
      <c r="U693" s="153"/>
      <c r="V693" s="153"/>
      <c r="W693" s="12"/>
      <c r="X693" s="7"/>
      <c r="Y693" s="7"/>
      <c r="Z693" s="7"/>
      <c r="AA693" s="7"/>
      <c r="AB693" s="13"/>
      <c r="AC693" s="13"/>
      <c r="AD693" s="13"/>
    </row>
    <row r="694" ht="14.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7"/>
      <c r="Q694" s="153"/>
      <c r="R694" s="7"/>
      <c r="S694" s="7"/>
      <c r="T694" s="7"/>
      <c r="U694" s="153"/>
      <c r="V694" s="153"/>
      <c r="W694" s="12"/>
      <c r="X694" s="21"/>
      <c r="Y694" s="7"/>
      <c r="Z694" s="7"/>
      <c r="AA694" s="7"/>
      <c r="AB694" s="13"/>
      <c r="AC694" s="13"/>
      <c r="AD694" s="13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54"/>
      <c r="R695" s="21"/>
      <c r="S695" s="21"/>
      <c r="T695" s="21"/>
      <c r="U695" s="154"/>
      <c r="V695" s="154"/>
      <c r="W695" s="154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54"/>
      <c r="R696" s="21"/>
      <c r="S696" s="21"/>
      <c r="T696" s="21"/>
      <c r="U696" s="154"/>
      <c r="V696" s="154"/>
      <c r="W696" s="154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54"/>
      <c r="R697" s="21"/>
      <c r="S697" s="21"/>
      <c r="T697" s="21"/>
      <c r="U697" s="154"/>
      <c r="V697" s="154"/>
      <c r="W697" s="154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54"/>
      <c r="R698" s="21"/>
      <c r="S698" s="21"/>
      <c r="T698" s="21"/>
      <c r="U698" s="154"/>
      <c r="V698" s="154"/>
      <c r="W698" s="154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54"/>
      <c r="R699" s="21"/>
      <c r="S699" s="21"/>
      <c r="T699" s="21"/>
      <c r="U699" s="154"/>
      <c r="V699" s="154"/>
      <c r="W699" s="154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54"/>
      <c r="R700" s="21"/>
      <c r="S700" s="21"/>
      <c r="T700" s="21"/>
      <c r="U700" s="154"/>
      <c r="V700" s="154"/>
      <c r="W700" s="154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54"/>
      <c r="R701" s="21"/>
      <c r="S701" s="21"/>
      <c r="T701" s="21"/>
      <c r="U701" s="154"/>
      <c r="V701" s="154"/>
      <c r="W701" s="154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54"/>
      <c r="R702" s="21"/>
      <c r="S702" s="21"/>
      <c r="T702" s="21"/>
      <c r="U702" s="154"/>
      <c r="V702" s="154"/>
      <c r="W702" s="154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54"/>
      <c r="R703" s="21"/>
      <c r="S703" s="21"/>
      <c r="T703" s="21"/>
      <c r="U703" s="154"/>
      <c r="V703" s="154"/>
      <c r="W703" s="154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54"/>
      <c r="R704" s="21"/>
      <c r="S704" s="21"/>
      <c r="T704" s="21"/>
      <c r="U704" s="154"/>
      <c r="V704" s="154"/>
      <c r="W704" s="154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54"/>
      <c r="R705" s="21"/>
      <c r="S705" s="21"/>
      <c r="T705" s="21"/>
      <c r="U705" s="154"/>
      <c r="V705" s="154"/>
      <c r="W705" s="154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54"/>
      <c r="R706" s="21"/>
      <c r="S706" s="21"/>
      <c r="T706" s="21"/>
      <c r="U706" s="154"/>
      <c r="V706" s="154"/>
      <c r="W706" s="154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54"/>
      <c r="R707" s="21"/>
      <c r="S707" s="21"/>
      <c r="T707" s="21"/>
      <c r="U707" s="154"/>
      <c r="V707" s="154"/>
      <c r="W707" s="154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54"/>
      <c r="R708" s="21"/>
      <c r="S708" s="21"/>
      <c r="T708" s="21"/>
      <c r="U708" s="154"/>
      <c r="V708" s="154"/>
      <c r="W708" s="154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54"/>
      <c r="R709" s="21"/>
      <c r="S709" s="21"/>
      <c r="T709" s="21"/>
      <c r="U709" s="154"/>
      <c r="V709" s="154"/>
      <c r="W709" s="154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54"/>
      <c r="R710" s="21"/>
      <c r="S710" s="21"/>
      <c r="T710" s="21"/>
      <c r="U710" s="154"/>
      <c r="V710" s="154"/>
      <c r="W710" s="154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54"/>
      <c r="R711" s="21"/>
      <c r="S711" s="21"/>
      <c r="T711" s="21"/>
      <c r="U711" s="154"/>
      <c r="V711" s="154"/>
      <c r="W711" s="154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54"/>
      <c r="R712" s="21"/>
      <c r="S712" s="21"/>
      <c r="T712" s="21"/>
      <c r="U712" s="154"/>
      <c r="V712" s="154"/>
      <c r="W712" s="154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54"/>
      <c r="R713" s="21"/>
      <c r="S713" s="21"/>
      <c r="T713" s="21"/>
      <c r="U713" s="154"/>
      <c r="V713" s="154"/>
      <c r="W713" s="154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54"/>
      <c r="R714" s="21"/>
      <c r="S714" s="21"/>
      <c r="T714" s="21"/>
      <c r="U714" s="154"/>
      <c r="V714" s="154"/>
      <c r="W714" s="154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54"/>
      <c r="R715" s="21"/>
      <c r="S715" s="21"/>
      <c r="T715" s="21"/>
      <c r="U715" s="154"/>
      <c r="V715" s="154"/>
      <c r="W715" s="154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54"/>
      <c r="R716" s="21"/>
      <c r="S716" s="21"/>
      <c r="T716" s="21"/>
      <c r="U716" s="154"/>
      <c r="V716" s="154"/>
      <c r="W716" s="154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54"/>
      <c r="R717" s="21"/>
      <c r="S717" s="21"/>
      <c r="T717" s="21"/>
      <c r="U717" s="154"/>
      <c r="V717" s="154"/>
      <c r="W717" s="154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54"/>
      <c r="R718" s="21"/>
      <c r="S718" s="21"/>
      <c r="T718" s="21"/>
      <c r="U718" s="154"/>
      <c r="V718" s="154"/>
      <c r="W718" s="154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54"/>
      <c r="R719" s="21"/>
      <c r="S719" s="21"/>
      <c r="T719" s="21"/>
      <c r="U719" s="154"/>
      <c r="V719" s="154"/>
      <c r="W719" s="154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54"/>
      <c r="R720" s="21"/>
      <c r="S720" s="21"/>
      <c r="T720" s="21"/>
      <c r="U720" s="154"/>
      <c r="V720" s="154"/>
      <c r="W720" s="154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54"/>
      <c r="R721" s="21"/>
      <c r="S721" s="21"/>
      <c r="T721" s="21"/>
      <c r="U721" s="154"/>
      <c r="V721" s="154"/>
      <c r="W721" s="154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54"/>
      <c r="R722" s="21"/>
      <c r="S722" s="21"/>
      <c r="T722" s="21"/>
      <c r="U722" s="154"/>
      <c r="V722" s="154"/>
      <c r="W722" s="154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54"/>
      <c r="R723" s="21"/>
      <c r="S723" s="21"/>
      <c r="T723" s="21"/>
      <c r="U723" s="154"/>
      <c r="V723" s="154"/>
      <c r="W723" s="154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54"/>
      <c r="R724" s="21"/>
      <c r="S724" s="21"/>
      <c r="T724" s="21"/>
      <c r="U724" s="154"/>
      <c r="V724" s="154"/>
      <c r="W724" s="154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54"/>
      <c r="R725" s="21"/>
      <c r="S725" s="21"/>
      <c r="T725" s="21"/>
      <c r="U725" s="154"/>
      <c r="V725" s="154"/>
      <c r="W725" s="154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54"/>
      <c r="R726" s="21"/>
      <c r="S726" s="21"/>
      <c r="T726" s="21"/>
      <c r="U726" s="154"/>
      <c r="V726" s="154"/>
      <c r="W726" s="154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54"/>
      <c r="R727" s="21"/>
      <c r="S727" s="21"/>
      <c r="T727" s="21"/>
      <c r="U727" s="154"/>
      <c r="V727" s="154"/>
      <c r="W727" s="154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54"/>
      <c r="R728" s="21"/>
      <c r="S728" s="21"/>
      <c r="T728" s="21"/>
      <c r="U728" s="154"/>
      <c r="V728" s="154"/>
      <c r="W728" s="154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54"/>
      <c r="R729" s="21"/>
      <c r="S729" s="21"/>
      <c r="T729" s="21"/>
      <c r="U729" s="154"/>
      <c r="V729" s="154"/>
      <c r="W729" s="154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54"/>
      <c r="R730" s="21"/>
      <c r="S730" s="21"/>
      <c r="T730" s="21"/>
      <c r="U730" s="154"/>
      <c r="V730" s="154"/>
      <c r="W730" s="154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54"/>
      <c r="R731" s="21"/>
      <c r="S731" s="21"/>
      <c r="T731" s="21"/>
      <c r="U731" s="154"/>
      <c r="V731" s="154"/>
      <c r="W731" s="154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54"/>
      <c r="R732" s="21"/>
      <c r="S732" s="21"/>
      <c r="T732" s="21"/>
      <c r="U732" s="154"/>
      <c r="V732" s="154"/>
      <c r="W732" s="154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54"/>
      <c r="R733" s="21"/>
      <c r="S733" s="21"/>
      <c r="T733" s="21"/>
      <c r="U733" s="154"/>
      <c r="V733" s="154"/>
      <c r="W733" s="154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54"/>
      <c r="R734" s="21"/>
      <c r="S734" s="21"/>
      <c r="T734" s="21"/>
      <c r="U734" s="154"/>
      <c r="V734" s="154"/>
      <c r="W734" s="154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54"/>
      <c r="R735" s="21"/>
      <c r="S735" s="21"/>
      <c r="T735" s="21"/>
      <c r="U735" s="154"/>
      <c r="V735" s="154"/>
      <c r="W735" s="154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54"/>
      <c r="R736" s="21"/>
      <c r="S736" s="21"/>
      <c r="T736" s="21"/>
      <c r="U736" s="154"/>
      <c r="V736" s="154"/>
      <c r="W736" s="154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54"/>
      <c r="R737" s="21"/>
      <c r="S737" s="21"/>
      <c r="T737" s="21"/>
      <c r="U737" s="154"/>
      <c r="V737" s="154"/>
      <c r="W737" s="154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54"/>
      <c r="R738" s="21"/>
      <c r="S738" s="21"/>
      <c r="T738" s="21"/>
      <c r="U738" s="154"/>
      <c r="V738" s="154"/>
      <c r="W738" s="154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54"/>
      <c r="R739" s="21"/>
      <c r="S739" s="21"/>
      <c r="T739" s="21"/>
      <c r="U739" s="154"/>
      <c r="V739" s="154"/>
      <c r="W739" s="154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54"/>
      <c r="R740" s="21"/>
      <c r="S740" s="21"/>
      <c r="T740" s="21"/>
      <c r="U740" s="154"/>
      <c r="V740" s="154"/>
      <c r="W740" s="154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54"/>
      <c r="R741" s="21"/>
      <c r="S741" s="21"/>
      <c r="T741" s="21"/>
      <c r="U741" s="154"/>
      <c r="V741" s="154"/>
      <c r="W741" s="154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54"/>
      <c r="R742" s="21"/>
      <c r="S742" s="21"/>
      <c r="T742" s="21"/>
      <c r="U742" s="154"/>
      <c r="V742" s="154"/>
      <c r="W742" s="154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54"/>
      <c r="R743" s="21"/>
      <c r="S743" s="21"/>
      <c r="T743" s="21"/>
      <c r="U743" s="154"/>
      <c r="V743" s="154"/>
      <c r="W743" s="154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54"/>
      <c r="R744" s="21"/>
      <c r="S744" s="21"/>
      <c r="T744" s="21"/>
      <c r="U744" s="154"/>
      <c r="V744" s="154"/>
      <c r="W744" s="154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54"/>
      <c r="R745" s="21"/>
      <c r="S745" s="21"/>
      <c r="T745" s="21"/>
      <c r="U745" s="154"/>
      <c r="V745" s="154"/>
      <c r="W745" s="154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54"/>
      <c r="R746" s="21"/>
      <c r="S746" s="21"/>
      <c r="T746" s="21"/>
      <c r="U746" s="154"/>
      <c r="V746" s="154"/>
      <c r="W746" s="154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54"/>
      <c r="R747" s="21"/>
      <c r="S747" s="21"/>
      <c r="T747" s="21"/>
      <c r="U747" s="154"/>
      <c r="V747" s="154"/>
      <c r="W747" s="154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54"/>
      <c r="R748" s="21"/>
      <c r="S748" s="21"/>
      <c r="T748" s="21"/>
      <c r="U748" s="154"/>
      <c r="V748" s="154"/>
      <c r="W748" s="154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54"/>
      <c r="R749" s="21"/>
      <c r="S749" s="21"/>
      <c r="T749" s="21"/>
      <c r="U749" s="154"/>
      <c r="V749" s="154"/>
      <c r="W749" s="154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54"/>
      <c r="R750" s="21"/>
      <c r="S750" s="21"/>
      <c r="T750" s="21"/>
      <c r="U750" s="154"/>
      <c r="V750" s="154"/>
      <c r="W750" s="154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54"/>
      <c r="R751" s="21"/>
      <c r="S751" s="21"/>
      <c r="T751" s="21"/>
      <c r="U751" s="154"/>
      <c r="V751" s="154"/>
      <c r="W751" s="154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54"/>
      <c r="R752" s="21"/>
      <c r="S752" s="21"/>
      <c r="T752" s="21"/>
      <c r="U752" s="154"/>
      <c r="V752" s="154"/>
      <c r="W752" s="154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54"/>
      <c r="R753" s="21"/>
      <c r="S753" s="21"/>
      <c r="T753" s="21"/>
      <c r="U753" s="154"/>
      <c r="V753" s="154"/>
      <c r="W753" s="154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54"/>
      <c r="R754" s="21"/>
      <c r="S754" s="21"/>
      <c r="T754" s="21"/>
      <c r="U754" s="154"/>
      <c r="V754" s="154"/>
      <c r="W754" s="154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54"/>
      <c r="R755" s="21"/>
      <c r="S755" s="21"/>
      <c r="T755" s="21"/>
      <c r="U755" s="154"/>
      <c r="V755" s="154"/>
      <c r="W755" s="154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54"/>
      <c r="R756" s="21"/>
      <c r="S756" s="21"/>
      <c r="T756" s="21"/>
      <c r="U756" s="154"/>
      <c r="V756" s="154"/>
      <c r="W756" s="154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54"/>
      <c r="R757" s="21"/>
      <c r="S757" s="21"/>
      <c r="T757" s="21"/>
      <c r="U757" s="154"/>
      <c r="V757" s="154"/>
      <c r="W757" s="154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54"/>
      <c r="R758" s="21"/>
      <c r="S758" s="21"/>
      <c r="T758" s="21"/>
      <c r="U758" s="154"/>
      <c r="V758" s="154"/>
      <c r="W758" s="154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54"/>
      <c r="R759" s="21"/>
      <c r="S759" s="21"/>
      <c r="T759" s="21"/>
      <c r="U759" s="154"/>
      <c r="V759" s="154"/>
      <c r="W759" s="154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54"/>
      <c r="R760" s="21"/>
      <c r="S760" s="21"/>
      <c r="T760" s="21"/>
      <c r="U760" s="154"/>
      <c r="V760" s="154"/>
      <c r="W760" s="154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54"/>
      <c r="R761" s="21"/>
      <c r="S761" s="21"/>
      <c r="T761" s="21"/>
      <c r="U761" s="154"/>
      <c r="V761" s="154"/>
      <c r="W761" s="154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54"/>
      <c r="R762" s="21"/>
      <c r="S762" s="21"/>
      <c r="T762" s="21"/>
      <c r="U762" s="154"/>
      <c r="V762" s="154"/>
      <c r="W762" s="154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54"/>
      <c r="R763" s="21"/>
      <c r="S763" s="21"/>
      <c r="T763" s="21"/>
      <c r="U763" s="154"/>
      <c r="V763" s="154"/>
      <c r="W763" s="154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54"/>
      <c r="R764" s="21"/>
      <c r="S764" s="21"/>
      <c r="T764" s="21"/>
      <c r="U764" s="154"/>
      <c r="V764" s="154"/>
      <c r="W764" s="154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54"/>
      <c r="R765" s="21"/>
      <c r="S765" s="21"/>
      <c r="T765" s="21"/>
      <c r="U765" s="154"/>
      <c r="V765" s="154"/>
      <c r="W765" s="154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54"/>
      <c r="R766" s="21"/>
      <c r="S766" s="21"/>
      <c r="T766" s="21"/>
      <c r="U766" s="154"/>
      <c r="V766" s="154"/>
      <c r="W766" s="154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54"/>
      <c r="R767" s="21"/>
      <c r="S767" s="21"/>
      <c r="T767" s="21"/>
      <c r="U767" s="154"/>
      <c r="V767" s="154"/>
      <c r="W767" s="154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54"/>
      <c r="R768" s="21"/>
      <c r="S768" s="21"/>
      <c r="T768" s="21"/>
      <c r="U768" s="154"/>
      <c r="V768" s="154"/>
      <c r="W768" s="154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54"/>
      <c r="R769" s="21"/>
      <c r="S769" s="21"/>
      <c r="T769" s="21"/>
      <c r="U769" s="154"/>
      <c r="V769" s="154"/>
      <c r="W769" s="154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54"/>
      <c r="R770" s="21"/>
      <c r="S770" s="21"/>
      <c r="T770" s="21"/>
      <c r="U770" s="154"/>
      <c r="V770" s="154"/>
      <c r="W770" s="154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54"/>
      <c r="R771" s="21"/>
      <c r="S771" s="21"/>
      <c r="T771" s="21"/>
      <c r="U771" s="154"/>
      <c r="V771" s="154"/>
      <c r="W771" s="154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54"/>
      <c r="R772" s="21"/>
      <c r="S772" s="21"/>
      <c r="T772" s="21"/>
      <c r="U772" s="154"/>
      <c r="V772" s="154"/>
      <c r="W772" s="154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54"/>
      <c r="R773" s="21"/>
      <c r="S773" s="21"/>
      <c r="T773" s="21"/>
      <c r="U773" s="154"/>
      <c r="V773" s="154"/>
      <c r="W773" s="154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54"/>
      <c r="R774" s="21"/>
      <c r="S774" s="21"/>
      <c r="T774" s="21"/>
      <c r="U774" s="154"/>
      <c r="V774" s="154"/>
      <c r="W774" s="154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54"/>
      <c r="R775" s="21"/>
      <c r="S775" s="21"/>
      <c r="T775" s="21"/>
      <c r="U775" s="154"/>
      <c r="V775" s="154"/>
      <c r="W775" s="154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54"/>
      <c r="R776" s="21"/>
      <c r="S776" s="21"/>
      <c r="T776" s="21"/>
      <c r="U776" s="154"/>
      <c r="V776" s="154"/>
      <c r="W776" s="154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54"/>
      <c r="R777" s="21"/>
      <c r="S777" s="21"/>
      <c r="T777" s="21"/>
      <c r="U777" s="154"/>
      <c r="V777" s="154"/>
      <c r="W777" s="154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54"/>
      <c r="R778" s="21"/>
      <c r="S778" s="21"/>
      <c r="T778" s="21"/>
      <c r="U778" s="154"/>
      <c r="V778" s="154"/>
      <c r="W778" s="154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54"/>
      <c r="R779" s="21"/>
      <c r="S779" s="21"/>
      <c r="T779" s="21"/>
      <c r="U779" s="154"/>
      <c r="V779" s="154"/>
      <c r="W779" s="154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54"/>
      <c r="R780" s="21"/>
      <c r="S780" s="21"/>
      <c r="T780" s="21"/>
      <c r="U780" s="154"/>
      <c r="V780" s="154"/>
      <c r="W780" s="154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54"/>
      <c r="R781" s="21"/>
      <c r="S781" s="21"/>
      <c r="T781" s="21"/>
      <c r="U781" s="154"/>
      <c r="V781" s="154"/>
      <c r="W781" s="154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54"/>
      <c r="R782" s="21"/>
      <c r="S782" s="21"/>
      <c r="T782" s="21"/>
      <c r="U782" s="154"/>
      <c r="V782" s="154"/>
      <c r="W782" s="154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54"/>
      <c r="R783" s="21"/>
      <c r="S783" s="21"/>
      <c r="T783" s="21"/>
      <c r="U783" s="154"/>
      <c r="V783" s="154"/>
      <c r="W783" s="154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54"/>
      <c r="R784" s="21"/>
      <c r="S784" s="21"/>
      <c r="T784" s="21"/>
      <c r="U784" s="154"/>
      <c r="V784" s="154"/>
      <c r="W784" s="154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54"/>
      <c r="R785" s="21"/>
      <c r="S785" s="21"/>
      <c r="T785" s="21"/>
      <c r="U785" s="154"/>
      <c r="V785" s="154"/>
      <c r="W785" s="154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54"/>
      <c r="R786" s="21"/>
      <c r="S786" s="21"/>
      <c r="T786" s="21"/>
      <c r="U786" s="154"/>
      <c r="V786" s="154"/>
      <c r="W786" s="154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54"/>
      <c r="R787" s="21"/>
      <c r="S787" s="21"/>
      <c r="T787" s="21"/>
      <c r="U787" s="154"/>
      <c r="V787" s="154"/>
      <c r="W787" s="154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54"/>
      <c r="R788" s="21"/>
      <c r="S788" s="21"/>
      <c r="T788" s="21"/>
      <c r="U788" s="154"/>
      <c r="V788" s="154"/>
      <c r="W788" s="154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54"/>
      <c r="R789" s="21"/>
      <c r="S789" s="21"/>
      <c r="T789" s="21"/>
      <c r="U789" s="154"/>
      <c r="V789" s="154"/>
      <c r="W789" s="154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54"/>
      <c r="R790" s="21"/>
      <c r="S790" s="21"/>
      <c r="T790" s="21"/>
      <c r="U790" s="154"/>
      <c r="V790" s="154"/>
      <c r="W790" s="154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54"/>
      <c r="R791" s="21"/>
      <c r="S791" s="21"/>
      <c r="T791" s="21"/>
      <c r="U791" s="154"/>
      <c r="V791" s="154"/>
      <c r="W791" s="154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54"/>
      <c r="R792" s="21"/>
      <c r="S792" s="21"/>
      <c r="T792" s="21"/>
      <c r="U792" s="154"/>
      <c r="V792" s="154"/>
      <c r="W792" s="154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54"/>
      <c r="R793" s="21"/>
      <c r="S793" s="21"/>
      <c r="T793" s="21"/>
      <c r="U793" s="154"/>
      <c r="V793" s="154"/>
      <c r="W793" s="154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54"/>
      <c r="R794" s="21"/>
      <c r="S794" s="21"/>
      <c r="T794" s="21"/>
      <c r="U794" s="154"/>
      <c r="V794" s="154"/>
      <c r="W794" s="154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54"/>
      <c r="R795" s="21"/>
      <c r="S795" s="21"/>
      <c r="T795" s="21"/>
      <c r="U795" s="154"/>
      <c r="V795" s="154"/>
      <c r="W795" s="154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54"/>
      <c r="R796" s="21"/>
      <c r="S796" s="21"/>
      <c r="T796" s="21"/>
      <c r="U796" s="154"/>
      <c r="V796" s="154"/>
      <c r="W796" s="154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54"/>
      <c r="R797" s="21"/>
      <c r="S797" s="21"/>
      <c r="T797" s="21"/>
      <c r="U797" s="154"/>
      <c r="V797" s="154"/>
      <c r="W797" s="154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54"/>
      <c r="R798" s="21"/>
      <c r="S798" s="21"/>
      <c r="T798" s="21"/>
      <c r="U798" s="154"/>
      <c r="V798" s="154"/>
      <c r="W798" s="154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54"/>
      <c r="R799" s="21"/>
      <c r="S799" s="21"/>
      <c r="T799" s="21"/>
      <c r="U799" s="154"/>
      <c r="V799" s="154"/>
      <c r="W799" s="154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54"/>
      <c r="R800" s="21"/>
      <c r="S800" s="21"/>
      <c r="T800" s="21"/>
      <c r="U800" s="154"/>
      <c r="V800" s="154"/>
      <c r="W800" s="154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54"/>
      <c r="R801" s="21"/>
      <c r="S801" s="21"/>
      <c r="T801" s="21"/>
      <c r="U801" s="154"/>
      <c r="V801" s="154"/>
      <c r="W801" s="154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54"/>
      <c r="R802" s="21"/>
      <c r="S802" s="21"/>
      <c r="T802" s="21"/>
      <c r="U802" s="154"/>
      <c r="V802" s="154"/>
      <c r="W802" s="154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54"/>
      <c r="R803" s="21"/>
      <c r="S803" s="21"/>
      <c r="T803" s="21"/>
      <c r="U803" s="154"/>
      <c r="V803" s="154"/>
      <c r="W803" s="154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54"/>
      <c r="R804" s="21"/>
      <c r="S804" s="21"/>
      <c r="T804" s="21"/>
      <c r="U804" s="154"/>
      <c r="V804" s="154"/>
      <c r="W804" s="154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54"/>
      <c r="R805" s="21"/>
      <c r="S805" s="21"/>
      <c r="T805" s="21"/>
      <c r="U805" s="154"/>
      <c r="V805" s="154"/>
      <c r="W805" s="154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54"/>
      <c r="R806" s="21"/>
      <c r="S806" s="21"/>
      <c r="T806" s="21"/>
      <c r="U806" s="154"/>
      <c r="V806" s="154"/>
      <c r="W806" s="154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54"/>
      <c r="R807" s="21"/>
      <c r="S807" s="21"/>
      <c r="T807" s="21"/>
      <c r="U807" s="154"/>
      <c r="V807" s="154"/>
      <c r="W807" s="154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54"/>
      <c r="R808" s="21"/>
      <c r="S808" s="21"/>
      <c r="T808" s="21"/>
      <c r="U808" s="154"/>
      <c r="V808" s="154"/>
      <c r="W808" s="154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54"/>
      <c r="R809" s="21"/>
      <c r="S809" s="21"/>
      <c r="T809" s="21"/>
      <c r="U809" s="154"/>
      <c r="V809" s="154"/>
      <c r="W809" s="154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54"/>
      <c r="R810" s="21"/>
      <c r="S810" s="21"/>
      <c r="T810" s="21"/>
      <c r="U810" s="154"/>
      <c r="V810" s="154"/>
      <c r="W810" s="154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54"/>
      <c r="R811" s="21"/>
      <c r="S811" s="21"/>
      <c r="T811" s="21"/>
      <c r="U811" s="154"/>
      <c r="V811" s="154"/>
      <c r="W811" s="154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54"/>
      <c r="R812" s="21"/>
      <c r="S812" s="21"/>
      <c r="T812" s="21"/>
      <c r="U812" s="154"/>
      <c r="V812" s="154"/>
      <c r="W812" s="154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54"/>
      <c r="R813" s="21"/>
      <c r="S813" s="21"/>
      <c r="T813" s="21"/>
      <c r="U813" s="154"/>
      <c r="V813" s="154"/>
      <c r="W813" s="154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54"/>
      <c r="R814" s="21"/>
      <c r="S814" s="21"/>
      <c r="T814" s="21"/>
      <c r="U814" s="154"/>
      <c r="V814" s="154"/>
      <c r="W814" s="154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54"/>
      <c r="R815" s="21"/>
      <c r="S815" s="21"/>
      <c r="T815" s="21"/>
      <c r="U815" s="154"/>
      <c r="V815" s="154"/>
      <c r="W815" s="154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54"/>
      <c r="R816" s="21"/>
      <c r="S816" s="21"/>
      <c r="T816" s="21"/>
      <c r="U816" s="154"/>
      <c r="V816" s="154"/>
      <c r="W816" s="154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54"/>
      <c r="R817" s="21"/>
      <c r="S817" s="21"/>
      <c r="T817" s="21"/>
      <c r="U817" s="154"/>
      <c r="V817" s="154"/>
      <c r="W817" s="154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154"/>
      <c r="R818" s="21"/>
      <c r="S818" s="21"/>
      <c r="T818" s="21"/>
      <c r="U818" s="154"/>
      <c r="V818" s="154"/>
      <c r="W818" s="154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154"/>
      <c r="R819" s="21"/>
      <c r="S819" s="21"/>
      <c r="T819" s="21"/>
      <c r="U819" s="154"/>
      <c r="V819" s="154"/>
      <c r="W819" s="154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154"/>
      <c r="R820" s="21"/>
      <c r="S820" s="21"/>
      <c r="T820" s="21"/>
      <c r="U820" s="154"/>
      <c r="V820" s="154"/>
      <c r="W820" s="154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154"/>
      <c r="R821" s="21"/>
      <c r="S821" s="21"/>
      <c r="T821" s="21"/>
      <c r="U821" s="154"/>
      <c r="V821" s="154"/>
      <c r="W821" s="154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154"/>
      <c r="R822" s="21"/>
      <c r="S822" s="21"/>
      <c r="T822" s="21"/>
      <c r="U822" s="154"/>
      <c r="V822" s="154"/>
      <c r="W822" s="154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154"/>
      <c r="R823" s="21"/>
      <c r="S823" s="21"/>
      <c r="T823" s="21"/>
      <c r="U823" s="154"/>
      <c r="V823" s="154"/>
      <c r="W823" s="154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154"/>
      <c r="R824" s="21"/>
      <c r="S824" s="21"/>
      <c r="T824" s="21"/>
      <c r="U824" s="154"/>
      <c r="V824" s="154"/>
      <c r="W824" s="154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154"/>
      <c r="R825" s="21"/>
      <c r="S825" s="21"/>
      <c r="T825" s="21"/>
      <c r="U825" s="154"/>
      <c r="V825" s="154"/>
      <c r="W825" s="154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154"/>
      <c r="R826" s="21"/>
      <c r="S826" s="21"/>
      <c r="T826" s="21"/>
      <c r="U826" s="154"/>
      <c r="V826" s="154"/>
      <c r="W826" s="154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154"/>
      <c r="R827" s="21"/>
      <c r="S827" s="21"/>
      <c r="T827" s="21"/>
      <c r="U827" s="154"/>
      <c r="V827" s="154"/>
      <c r="W827" s="154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154"/>
      <c r="R828" s="21"/>
      <c r="S828" s="21"/>
      <c r="T828" s="21"/>
      <c r="U828" s="154"/>
      <c r="V828" s="154"/>
      <c r="W828" s="154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154"/>
      <c r="R829" s="21"/>
      <c r="S829" s="21"/>
      <c r="T829" s="21"/>
      <c r="U829" s="154"/>
      <c r="V829" s="154"/>
      <c r="W829" s="154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154"/>
      <c r="R830" s="21"/>
      <c r="S830" s="21"/>
      <c r="T830" s="21"/>
      <c r="U830" s="154"/>
      <c r="V830" s="154"/>
      <c r="W830" s="154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154"/>
      <c r="R831" s="21"/>
      <c r="S831" s="21"/>
      <c r="T831" s="21"/>
      <c r="U831" s="154"/>
      <c r="V831" s="154"/>
      <c r="W831" s="154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154"/>
      <c r="R832" s="21"/>
      <c r="S832" s="21"/>
      <c r="T832" s="21"/>
      <c r="U832" s="154"/>
      <c r="V832" s="154"/>
      <c r="W832" s="154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154"/>
      <c r="R833" s="21"/>
      <c r="S833" s="21"/>
      <c r="T833" s="21"/>
      <c r="U833" s="154"/>
      <c r="V833" s="154"/>
      <c r="W833" s="154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154"/>
      <c r="R834" s="21"/>
      <c r="S834" s="21"/>
      <c r="T834" s="21"/>
      <c r="U834" s="154"/>
      <c r="V834" s="154"/>
      <c r="W834" s="154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154"/>
      <c r="R835" s="21"/>
      <c r="S835" s="21"/>
      <c r="T835" s="21"/>
      <c r="U835" s="154"/>
      <c r="V835" s="154"/>
      <c r="W835" s="154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154"/>
      <c r="R836" s="21"/>
      <c r="S836" s="21"/>
      <c r="T836" s="21"/>
      <c r="U836" s="154"/>
      <c r="V836" s="154"/>
      <c r="W836" s="154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154"/>
      <c r="R837" s="21"/>
      <c r="S837" s="21"/>
      <c r="T837" s="21"/>
      <c r="U837" s="154"/>
      <c r="V837" s="154"/>
      <c r="W837" s="154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154"/>
      <c r="R838" s="21"/>
      <c r="S838" s="21"/>
      <c r="T838" s="21"/>
      <c r="U838" s="154"/>
      <c r="V838" s="154"/>
      <c r="W838" s="154"/>
      <c r="X838" s="21"/>
      <c r="Y838" s="21"/>
      <c r="Z838" s="21"/>
      <c r="AA838" s="21"/>
      <c r="AB838" s="21"/>
      <c r="AC838" s="21"/>
      <c r="AD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154"/>
      <c r="R839" s="21"/>
      <c r="S839" s="21"/>
      <c r="T839" s="21"/>
      <c r="U839" s="154"/>
      <c r="V839" s="154"/>
      <c r="W839" s="154"/>
      <c r="X839" s="21"/>
      <c r="Y839" s="21"/>
      <c r="Z839" s="21"/>
      <c r="AA839" s="21"/>
      <c r="AB839" s="21"/>
      <c r="AC839" s="21"/>
      <c r="AD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154"/>
      <c r="R840" s="21"/>
      <c r="S840" s="21"/>
      <c r="T840" s="21"/>
      <c r="U840" s="154"/>
      <c r="V840" s="154"/>
      <c r="W840" s="154"/>
      <c r="X840" s="21"/>
      <c r="Y840" s="21"/>
      <c r="Z840" s="21"/>
      <c r="AA840" s="21"/>
      <c r="AB840" s="21"/>
      <c r="AC840" s="21"/>
      <c r="AD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154"/>
      <c r="R841" s="21"/>
      <c r="S841" s="21"/>
      <c r="T841" s="21"/>
      <c r="U841" s="154"/>
      <c r="V841" s="154"/>
      <c r="W841" s="154"/>
      <c r="X841" s="21"/>
      <c r="Y841" s="21"/>
      <c r="Z841" s="21"/>
      <c r="AA841" s="21"/>
      <c r="AB841" s="21"/>
      <c r="AC841" s="21"/>
      <c r="AD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154"/>
      <c r="R842" s="21"/>
      <c r="S842" s="21"/>
      <c r="T842" s="21"/>
      <c r="U842" s="154"/>
      <c r="V842" s="154"/>
      <c r="W842" s="154"/>
      <c r="X842" s="21"/>
      <c r="Y842" s="21"/>
      <c r="Z842" s="21"/>
      <c r="AA842" s="21"/>
      <c r="AB842" s="21"/>
      <c r="AC842" s="21"/>
      <c r="AD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154"/>
      <c r="R843" s="21"/>
      <c r="S843" s="21"/>
      <c r="T843" s="21"/>
      <c r="U843" s="154"/>
      <c r="V843" s="154"/>
      <c r="W843" s="154"/>
      <c r="X843" s="21"/>
      <c r="Y843" s="21"/>
      <c r="Z843" s="21"/>
      <c r="AA843" s="21"/>
      <c r="AB843" s="21"/>
      <c r="AC843" s="21"/>
      <c r="AD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154"/>
      <c r="R844" s="21"/>
      <c r="S844" s="21"/>
      <c r="T844" s="21"/>
      <c r="U844" s="154"/>
      <c r="V844" s="154"/>
      <c r="W844" s="154"/>
      <c r="X844" s="21"/>
      <c r="Y844" s="21"/>
      <c r="Z844" s="21"/>
      <c r="AA844" s="21"/>
      <c r="AB844" s="21"/>
      <c r="AC844" s="21"/>
      <c r="AD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154"/>
      <c r="R845" s="21"/>
      <c r="S845" s="21"/>
      <c r="T845" s="21"/>
      <c r="U845" s="154"/>
      <c r="V845" s="154"/>
      <c r="W845" s="154"/>
      <c r="X845" s="21"/>
      <c r="Y845" s="21"/>
      <c r="Z845" s="21"/>
      <c r="AA845" s="21"/>
      <c r="AB845" s="21"/>
      <c r="AC845" s="21"/>
      <c r="AD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154"/>
      <c r="R846" s="21"/>
      <c r="S846" s="21"/>
      <c r="T846" s="21"/>
      <c r="U846" s="154"/>
      <c r="V846" s="154"/>
      <c r="W846" s="154"/>
      <c r="X846" s="21"/>
      <c r="Y846" s="21"/>
      <c r="Z846" s="21"/>
      <c r="AA846" s="21"/>
      <c r="AB846" s="21"/>
      <c r="AC846" s="21"/>
      <c r="AD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154"/>
      <c r="R847" s="21"/>
      <c r="S847" s="21"/>
      <c r="T847" s="21"/>
      <c r="U847" s="154"/>
      <c r="V847" s="154"/>
      <c r="W847" s="154"/>
      <c r="X847" s="21"/>
      <c r="Y847" s="21"/>
      <c r="Z847" s="21"/>
      <c r="AA847" s="21"/>
      <c r="AB847" s="21"/>
      <c r="AC847" s="21"/>
      <c r="AD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154"/>
      <c r="R848" s="21"/>
      <c r="S848" s="21"/>
      <c r="T848" s="21"/>
      <c r="U848" s="154"/>
      <c r="V848" s="154"/>
      <c r="W848" s="154"/>
      <c r="X848" s="21"/>
      <c r="Y848" s="21"/>
      <c r="Z848" s="21"/>
      <c r="AA848" s="21"/>
      <c r="AB848" s="21"/>
      <c r="AC848" s="21"/>
      <c r="AD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154"/>
      <c r="R849" s="21"/>
      <c r="S849" s="21"/>
      <c r="T849" s="21"/>
      <c r="U849" s="154"/>
      <c r="V849" s="154"/>
      <c r="W849" s="154"/>
      <c r="X849" s="21"/>
      <c r="Y849" s="21"/>
      <c r="Z849" s="21"/>
      <c r="AA849" s="21"/>
      <c r="AB849" s="21"/>
      <c r="AC849" s="21"/>
      <c r="AD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154"/>
      <c r="R850" s="21"/>
      <c r="S850" s="21"/>
      <c r="T850" s="21"/>
      <c r="U850" s="154"/>
      <c r="V850" s="154"/>
      <c r="W850" s="154"/>
      <c r="X850" s="21"/>
      <c r="Y850" s="21"/>
      <c r="Z850" s="21"/>
      <c r="AA850" s="21"/>
      <c r="AB850" s="21"/>
      <c r="AC850" s="21"/>
      <c r="AD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154"/>
      <c r="R851" s="21"/>
      <c r="S851" s="21"/>
      <c r="T851" s="21"/>
      <c r="U851" s="154"/>
      <c r="V851" s="154"/>
      <c r="W851" s="154"/>
      <c r="X851" s="21"/>
      <c r="Y851" s="21"/>
      <c r="Z851" s="21"/>
      <c r="AA851" s="21"/>
      <c r="AB851" s="21"/>
      <c r="AC851" s="21"/>
      <c r="AD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154"/>
      <c r="R852" s="21"/>
      <c r="S852" s="21"/>
      <c r="T852" s="21"/>
      <c r="U852" s="154"/>
      <c r="V852" s="154"/>
      <c r="W852" s="154"/>
      <c r="X852" s="21"/>
      <c r="Y852" s="21"/>
      <c r="Z852" s="21"/>
      <c r="AA852" s="21"/>
      <c r="AB852" s="21"/>
      <c r="AC852" s="21"/>
      <c r="AD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154"/>
      <c r="R853" s="21"/>
      <c r="S853" s="21"/>
      <c r="T853" s="21"/>
      <c r="U853" s="154"/>
      <c r="V853" s="154"/>
      <c r="W853" s="154"/>
      <c r="X853" s="21"/>
      <c r="Y853" s="21"/>
      <c r="Z853" s="21"/>
      <c r="AA853" s="21"/>
      <c r="AB853" s="21"/>
      <c r="AC853" s="21"/>
      <c r="AD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154"/>
      <c r="R854" s="21"/>
      <c r="S854" s="21"/>
      <c r="T854" s="21"/>
      <c r="U854" s="154"/>
      <c r="V854" s="154"/>
      <c r="W854" s="154"/>
      <c r="X854" s="21"/>
      <c r="Y854" s="21"/>
      <c r="Z854" s="21"/>
      <c r="AA854" s="21"/>
      <c r="AB854" s="21"/>
      <c r="AC854" s="21"/>
      <c r="AD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154"/>
      <c r="R855" s="21"/>
      <c r="S855" s="21"/>
      <c r="T855" s="21"/>
      <c r="U855" s="154"/>
      <c r="V855" s="154"/>
      <c r="W855" s="154"/>
      <c r="X855" s="21"/>
      <c r="Y855" s="21"/>
      <c r="Z855" s="21"/>
      <c r="AA855" s="21"/>
      <c r="AB855" s="21"/>
      <c r="AC855" s="21"/>
      <c r="AD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154"/>
      <c r="R856" s="21"/>
      <c r="S856" s="21"/>
      <c r="T856" s="21"/>
      <c r="U856" s="154"/>
      <c r="V856" s="154"/>
      <c r="W856" s="154"/>
      <c r="X856" s="21"/>
      <c r="Y856" s="21"/>
      <c r="Z856" s="21"/>
      <c r="AA856" s="21"/>
      <c r="AB856" s="21"/>
      <c r="AC856" s="21"/>
      <c r="AD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154"/>
      <c r="R857" s="21"/>
      <c r="S857" s="21"/>
      <c r="T857" s="21"/>
      <c r="U857" s="154"/>
      <c r="V857" s="154"/>
      <c r="W857" s="154"/>
      <c r="X857" s="21"/>
      <c r="Y857" s="21"/>
      <c r="Z857" s="21"/>
      <c r="AA857" s="21"/>
      <c r="AB857" s="21"/>
      <c r="AC857" s="21"/>
      <c r="AD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154"/>
      <c r="R858" s="21"/>
      <c r="S858" s="21"/>
      <c r="T858" s="21"/>
      <c r="U858" s="154"/>
      <c r="V858" s="154"/>
      <c r="W858" s="154"/>
      <c r="X858" s="21"/>
      <c r="Y858" s="21"/>
      <c r="Z858" s="21"/>
      <c r="AA858" s="21"/>
      <c r="AB858" s="21"/>
      <c r="AC858" s="21"/>
      <c r="AD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154"/>
      <c r="R859" s="21"/>
      <c r="S859" s="21"/>
      <c r="T859" s="21"/>
      <c r="U859" s="154"/>
      <c r="V859" s="154"/>
      <c r="W859" s="154"/>
      <c r="X859" s="21"/>
      <c r="Y859" s="21"/>
      <c r="Z859" s="21"/>
      <c r="AA859" s="21"/>
      <c r="AB859" s="21"/>
      <c r="AC859" s="21"/>
      <c r="AD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154"/>
      <c r="R860" s="21"/>
      <c r="S860" s="21"/>
      <c r="T860" s="21"/>
      <c r="U860" s="154"/>
      <c r="V860" s="154"/>
      <c r="W860" s="154"/>
      <c r="X860" s="21"/>
      <c r="Y860" s="21"/>
      <c r="Z860" s="21"/>
      <c r="AA860" s="21"/>
      <c r="AB860" s="21"/>
      <c r="AC860" s="21"/>
      <c r="AD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154"/>
      <c r="R861" s="21"/>
      <c r="S861" s="21"/>
      <c r="T861" s="21"/>
      <c r="U861" s="154"/>
      <c r="V861" s="154"/>
      <c r="W861" s="154"/>
      <c r="X861" s="21"/>
      <c r="Y861" s="21"/>
      <c r="Z861" s="21"/>
      <c r="AA861" s="21"/>
      <c r="AB861" s="21"/>
      <c r="AC861" s="21"/>
      <c r="AD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154"/>
      <c r="R862" s="21"/>
      <c r="S862" s="21"/>
      <c r="T862" s="21"/>
      <c r="U862" s="154"/>
      <c r="V862" s="154"/>
      <c r="W862" s="154"/>
      <c r="X862" s="21"/>
      <c r="Y862" s="21"/>
      <c r="Z862" s="21"/>
      <c r="AA862" s="21"/>
      <c r="AB862" s="21"/>
      <c r="AC862" s="21"/>
      <c r="AD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154"/>
      <c r="R863" s="21"/>
      <c r="S863" s="21"/>
      <c r="T863" s="21"/>
      <c r="U863" s="154"/>
      <c r="V863" s="154"/>
      <c r="W863" s="154"/>
      <c r="X863" s="21"/>
      <c r="Y863" s="21"/>
      <c r="Z863" s="21"/>
      <c r="AA863" s="21"/>
      <c r="AB863" s="21"/>
      <c r="AC863" s="21"/>
      <c r="AD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154"/>
      <c r="R864" s="21"/>
      <c r="S864" s="21"/>
      <c r="T864" s="21"/>
      <c r="U864" s="154"/>
      <c r="V864" s="154"/>
      <c r="W864" s="154"/>
      <c r="X864" s="21"/>
      <c r="Y864" s="21"/>
      <c r="Z864" s="21"/>
      <c r="AA864" s="21"/>
      <c r="AB864" s="21"/>
      <c r="AC864" s="21"/>
      <c r="AD864" s="21"/>
    </row>
  </sheetData>
  <mergeCells count="14">
    <mergeCell ref="F1:J1"/>
    <mergeCell ref="L1:N5"/>
    <mergeCell ref="F2:K5"/>
    <mergeCell ref="N6:P7"/>
    <mergeCell ref="F7:J7"/>
    <mergeCell ref="A9:Q9"/>
    <mergeCell ref="U9:V9"/>
    <mergeCell ref="P10:Q10"/>
    <mergeCell ref="A27:Q27"/>
    <mergeCell ref="P28:Q28"/>
    <mergeCell ref="A45:Q45"/>
    <mergeCell ref="P46:Q46"/>
    <mergeCell ref="P64:Q64"/>
    <mergeCell ref="P82:Q8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9" zoomScale="100" workbookViewId="0">
      <selection activeCell="N100" activeCellId="0" sqref="N100"/>
    </sheetView>
  </sheetViews>
  <sheetFormatPr defaultRowHeight="13.5"/>
  <cols>
    <col customWidth="1" min="1" max="1" style="804" width="12.6640625"/>
    <col customWidth="1" min="2" max="2" style="805" width="12"/>
    <col customWidth="1" min="3" max="3" style="805" width="4.77734375"/>
    <col customWidth="1" min="4" max="4" style="805" width="12.44140625"/>
    <col customWidth="1" min="5" max="5" style="805" width="4.77734375"/>
    <col customWidth="1" min="6" max="6" style="805" width="11.77734375"/>
    <col customWidth="1" min="7" max="7" style="805" width="4.77734375"/>
    <col customWidth="1" min="8" max="8" style="805" width="13.109375"/>
    <col customWidth="1" min="9" max="9" style="805" width="4.77734375"/>
    <col customWidth="1" min="10" max="10" style="805" width="11.88671875"/>
    <col customWidth="1" min="11" max="11" style="805" width="4.77734375"/>
    <col customWidth="1" min="12" max="12" style="805" width="12.6640625"/>
    <col customWidth="1" min="13" max="13" style="805" width="4.77734375"/>
    <col customWidth="1" min="14" max="14" style="805" width="13.44140625"/>
    <col customWidth="1" min="15" max="15" style="805" width="4.77734375"/>
    <col min="16" max="17" style="804" width="8.88671875"/>
    <col customWidth="1" min="18" max="18" style="804" width="14.6640625"/>
    <col min="19" max="20" style="805" width="8.88671875"/>
    <col min="21" max="16384" style="804" width="8.88671875"/>
  </cols>
  <sheetData>
    <row r="1" ht="14.25">
      <c r="A1" s="806"/>
      <c r="B1" s="807">
        <v>44136</v>
      </c>
      <c r="C1" s="808">
        <v>8</v>
      </c>
      <c r="D1" s="809">
        <v>44136</v>
      </c>
      <c r="E1" s="810">
        <v>8</v>
      </c>
      <c r="F1" s="811" t="s">
        <v>2</v>
      </c>
      <c r="G1" s="812"/>
      <c r="H1" s="812"/>
      <c r="I1" s="812"/>
      <c r="J1" s="812"/>
      <c r="K1" s="813"/>
      <c r="L1" s="814"/>
      <c r="M1" s="814"/>
      <c r="N1" s="814"/>
      <c r="O1" s="814"/>
      <c r="P1" s="815"/>
      <c r="Q1" s="815"/>
      <c r="R1" s="815"/>
      <c r="S1" s="814"/>
      <c r="T1" s="814"/>
      <c r="U1" s="815"/>
      <c r="V1" s="815"/>
      <c r="W1" s="815"/>
      <c r="X1" s="816"/>
      <c r="Y1" s="816"/>
    </row>
    <row r="2" ht="14.25">
      <c r="A2" s="817"/>
      <c r="B2" s="818">
        <v>43252</v>
      </c>
      <c r="C2" s="818">
        <v>12</v>
      </c>
      <c r="D2" s="819">
        <v>45826</v>
      </c>
      <c r="E2" s="819">
        <v>12</v>
      </c>
      <c r="F2" s="811" t="s">
        <v>6</v>
      </c>
      <c r="G2" s="812"/>
      <c r="H2" s="812"/>
      <c r="I2" s="812"/>
      <c r="J2" s="812"/>
      <c r="K2" s="820"/>
      <c r="L2" s="814"/>
      <c r="M2" s="814"/>
      <c r="N2" s="814"/>
      <c r="O2" s="814"/>
      <c r="P2" s="815"/>
      <c r="Q2" s="815"/>
      <c r="R2" s="815"/>
      <c r="S2" s="814"/>
      <c r="T2" s="814"/>
      <c r="U2" s="815"/>
      <c r="V2" s="815"/>
      <c r="W2" s="815"/>
      <c r="X2" s="816"/>
      <c r="Y2" s="816"/>
    </row>
    <row r="3" ht="14.25">
      <c r="A3" s="817"/>
      <c r="B3" s="818">
        <v>44044</v>
      </c>
      <c r="C3" s="818">
        <v>12</v>
      </c>
      <c r="D3" s="819">
        <v>45889</v>
      </c>
      <c r="E3" s="819">
        <v>12</v>
      </c>
      <c r="F3" s="811"/>
      <c r="G3" s="812"/>
      <c r="H3" s="812"/>
      <c r="I3" s="812"/>
      <c r="J3" s="812"/>
      <c r="K3" s="820"/>
      <c r="L3" s="814"/>
      <c r="M3" s="814"/>
      <c r="N3" s="814"/>
      <c r="O3" s="814"/>
      <c r="P3" s="815"/>
      <c r="Q3" s="815"/>
      <c r="R3" s="815"/>
      <c r="S3" s="814"/>
      <c r="T3" s="814"/>
      <c r="U3" s="815"/>
      <c r="V3" s="815"/>
      <c r="W3" s="815"/>
      <c r="X3" s="816"/>
      <c r="Y3" s="816"/>
    </row>
    <row r="4" ht="14.25">
      <c r="A4" s="817"/>
      <c r="B4" s="818">
        <v>44440</v>
      </c>
      <c r="C4" s="818">
        <v>12</v>
      </c>
      <c r="D4" s="819">
        <v>45921</v>
      </c>
      <c r="E4" s="819">
        <v>12</v>
      </c>
      <c r="F4" s="811"/>
      <c r="G4" s="812"/>
      <c r="H4" s="812"/>
      <c r="I4" s="812"/>
      <c r="J4" s="812"/>
      <c r="K4" s="820"/>
      <c r="L4" s="814"/>
      <c r="M4" s="814"/>
      <c r="N4" s="814"/>
      <c r="O4" s="814"/>
      <c r="P4" s="815"/>
      <c r="Q4" s="815"/>
      <c r="R4" s="815"/>
      <c r="S4" s="814"/>
      <c r="T4" s="814"/>
      <c r="U4" s="815"/>
      <c r="V4" s="815"/>
      <c r="W4" s="815"/>
      <c r="X4" s="816"/>
      <c r="Y4" s="816"/>
    </row>
    <row r="5" ht="14.25">
      <c r="A5" s="817"/>
      <c r="B5" s="818">
        <v>44835</v>
      </c>
      <c r="C5" s="818">
        <v>12</v>
      </c>
      <c r="D5" s="819">
        <v>45952</v>
      </c>
      <c r="E5" s="819">
        <v>12</v>
      </c>
      <c r="F5" s="811"/>
      <c r="G5" s="812"/>
      <c r="H5" s="812"/>
      <c r="I5" s="812"/>
      <c r="J5" s="812"/>
      <c r="K5" s="820"/>
      <c r="L5" s="814"/>
      <c r="M5" s="814"/>
      <c r="N5" s="814"/>
      <c r="O5" s="814"/>
      <c r="P5" s="815"/>
      <c r="Q5" s="815"/>
      <c r="R5" s="815"/>
      <c r="S5" s="814"/>
      <c r="T5" s="814"/>
      <c r="U5" s="815"/>
      <c r="V5" s="815"/>
      <c r="W5" s="815"/>
      <c r="X5" s="816"/>
      <c r="Y5" s="816"/>
    </row>
    <row r="6" ht="15">
      <c r="A6" s="821"/>
      <c r="B6" s="822"/>
      <c r="C6" s="822"/>
      <c r="D6" s="823"/>
      <c r="E6" s="823"/>
      <c r="F6" s="812"/>
      <c r="G6" s="812"/>
      <c r="H6" s="812"/>
      <c r="I6" s="812"/>
      <c r="J6" s="812"/>
      <c r="K6" s="824"/>
      <c r="L6" s="814"/>
      <c r="M6" s="814"/>
      <c r="N6" s="814"/>
      <c r="O6" s="814"/>
      <c r="P6" s="815"/>
      <c r="Q6" s="815"/>
      <c r="R6" s="815"/>
      <c r="S6" s="814"/>
      <c r="T6" s="814"/>
      <c r="U6" s="815"/>
      <c r="V6" s="815"/>
      <c r="W6" s="815"/>
      <c r="X6" s="816"/>
      <c r="Y6" s="816"/>
    </row>
    <row r="7" ht="15">
      <c r="A7" s="816"/>
      <c r="B7" s="824"/>
      <c r="C7" s="813"/>
      <c r="D7" s="814"/>
      <c r="E7" s="814"/>
      <c r="F7" s="814"/>
      <c r="G7" s="814"/>
      <c r="H7" s="814"/>
      <c r="I7" s="814"/>
      <c r="J7" s="814"/>
      <c r="K7" s="824"/>
      <c r="L7" s="814"/>
      <c r="M7" s="814"/>
      <c r="N7" s="814"/>
      <c r="O7" s="814"/>
      <c r="P7" s="815"/>
      <c r="Q7" s="815"/>
      <c r="R7" s="815"/>
      <c r="S7" s="814"/>
      <c r="T7" s="814"/>
      <c r="U7" s="815"/>
      <c r="V7" s="815"/>
      <c r="W7" s="815"/>
      <c r="X7" s="816"/>
      <c r="Y7" s="816"/>
    </row>
    <row r="8" ht="17.25">
      <c r="A8" s="825"/>
      <c r="B8" s="826"/>
      <c r="C8" s="826"/>
      <c r="D8" s="827"/>
      <c r="E8" s="827"/>
      <c r="F8" s="826"/>
      <c r="G8" s="826"/>
      <c r="H8" s="828" t="s">
        <v>13</v>
      </c>
      <c r="I8" s="828"/>
      <c r="J8" s="828"/>
      <c r="K8" s="828"/>
      <c r="L8" s="828"/>
      <c r="M8" s="826"/>
      <c r="N8" s="826"/>
      <c r="O8" s="826"/>
      <c r="P8" s="825"/>
      <c r="Q8" s="829"/>
      <c r="R8" s="830"/>
      <c r="S8" s="826"/>
      <c r="T8" s="826"/>
      <c r="U8" s="829"/>
      <c r="V8" s="829"/>
      <c r="W8" s="831"/>
      <c r="X8" s="816"/>
      <c r="Y8" s="816"/>
    </row>
    <row r="9" ht="18.75">
      <c r="A9" s="832" t="s">
        <v>14</v>
      </c>
      <c r="B9" s="833"/>
      <c r="C9" s="833"/>
      <c r="D9" s="833"/>
      <c r="E9" s="833"/>
      <c r="F9" s="833"/>
      <c r="G9" s="833"/>
      <c r="H9" s="833"/>
      <c r="I9" s="833"/>
      <c r="J9" s="833"/>
      <c r="K9" s="833"/>
      <c r="L9" s="833"/>
      <c r="M9" s="833"/>
      <c r="N9" s="833"/>
      <c r="O9" s="833"/>
      <c r="P9" s="833"/>
      <c r="Q9" s="834"/>
      <c r="R9" s="835" t="s">
        <v>15</v>
      </c>
      <c r="S9" s="836"/>
      <c r="T9" s="836"/>
      <c r="U9" s="837" t="s">
        <v>16</v>
      </c>
      <c r="V9" s="838"/>
      <c r="W9" s="839"/>
      <c r="X9" s="816"/>
      <c r="Y9" s="816"/>
    </row>
    <row r="10" ht="14.25">
      <c r="A10" s="840"/>
      <c r="B10" s="841" t="s">
        <v>17</v>
      </c>
      <c r="C10" s="842"/>
      <c r="D10" s="841" t="s">
        <v>18</v>
      </c>
      <c r="E10" s="842"/>
      <c r="F10" s="841" t="s">
        <v>19</v>
      </c>
      <c r="G10" s="842"/>
      <c r="H10" s="841" t="s">
        <v>20</v>
      </c>
      <c r="I10" s="842"/>
      <c r="J10" s="843" t="s">
        <v>21</v>
      </c>
      <c r="K10" s="844"/>
      <c r="L10" s="841" t="s">
        <v>22</v>
      </c>
      <c r="M10" s="842"/>
      <c r="N10" s="841" t="s">
        <v>23</v>
      </c>
      <c r="O10" s="842"/>
      <c r="P10" s="845" t="s">
        <v>24</v>
      </c>
      <c r="Q10" s="846"/>
      <c r="R10" s="840">
        <v>176</v>
      </c>
      <c r="S10" s="847"/>
      <c r="T10" s="847"/>
      <c r="U10" s="840">
        <v>176</v>
      </c>
      <c r="V10" s="840"/>
      <c r="W10" s="840"/>
      <c r="X10" s="848"/>
      <c r="Y10" s="816"/>
    </row>
    <row r="11" ht="14.25">
      <c r="A11" s="849"/>
      <c r="B11" s="850" t="s">
        <v>90</v>
      </c>
      <c r="C11" s="850"/>
      <c r="D11" s="850" t="s">
        <v>91</v>
      </c>
      <c r="E11" s="850"/>
      <c r="F11" s="850" t="s">
        <v>92</v>
      </c>
      <c r="G11" s="850"/>
      <c r="H11" s="850" t="s">
        <v>93</v>
      </c>
      <c r="I11" s="850"/>
      <c r="J11" s="850" t="s">
        <v>94</v>
      </c>
      <c r="K11" s="850"/>
      <c r="L11" s="850" t="s">
        <v>95</v>
      </c>
      <c r="M11" s="850"/>
      <c r="N11" s="850" t="s">
        <v>96</v>
      </c>
      <c r="O11" s="851"/>
      <c r="P11" s="852" t="s">
        <v>25</v>
      </c>
      <c r="Q11" s="852" t="s">
        <v>26</v>
      </c>
      <c r="R11" s="840"/>
      <c r="S11" s="847"/>
      <c r="T11" s="847"/>
      <c r="U11" s="853" t="s">
        <v>27</v>
      </c>
      <c r="V11" s="854" t="s">
        <v>28</v>
      </c>
      <c r="W11" s="849" t="s">
        <v>29</v>
      </c>
      <c r="X11" s="855" t="s">
        <v>30</v>
      </c>
      <c r="Y11" s="816"/>
    </row>
    <row r="12" ht="14.25">
      <c r="A12" s="856" t="s">
        <v>31</v>
      </c>
      <c r="B12" s="857" t="s">
        <v>32</v>
      </c>
      <c r="C12" s="857" t="s">
        <v>33</v>
      </c>
      <c r="D12" s="857" t="s">
        <v>32</v>
      </c>
      <c r="E12" s="857" t="s">
        <v>33</v>
      </c>
      <c r="F12" s="857" t="s">
        <v>32</v>
      </c>
      <c r="G12" s="857" t="s">
        <v>33</v>
      </c>
      <c r="H12" s="857" t="s">
        <v>32</v>
      </c>
      <c r="I12" s="857" t="s">
        <v>33</v>
      </c>
      <c r="J12" s="857" t="s">
        <v>32</v>
      </c>
      <c r="K12" s="857" t="s">
        <v>33</v>
      </c>
      <c r="L12" s="858"/>
      <c r="M12" s="858"/>
      <c r="N12" s="858"/>
      <c r="O12" s="858"/>
      <c r="P12" s="859">
        <f t="shared" ref="P12:P75" si="169">C12+E12+G12+I12+K12+M12+O12</f>
        <v>40</v>
      </c>
      <c r="Q12" s="849">
        <f>R10-P12</f>
        <v>136</v>
      </c>
      <c r="R12" s="860" t="s">
        <v>31</v>
      </c>
      <c r="S12" s="861" t="s">
        <v>10</v>
      </c>
      <c r="T12" s="862" t="s">
        <v>9</v>
      </c>
      <c r="U12" s="849">
        <v>0</v>
      </c>
      <c r="V12" s="849">
        <v>0</v>
      </c>
      <c r="W12" s="849"/>
      <c r="X12" s="863" t="s">
        <v>34</v>
      </c>
      <c r="Y12" s="864"/>
    </row>
    <row r="13" ht="14.25">
      <c r="A13" s="865" t="s">
        <v>35</v>
      </c>
      <c r="B13" s="857" t="s">
        <v>32</v>
      </c>
      <c r="C13" s="857" t="s">
        <v>33</v>
      </c>
      <c r="D13" s="857" t="s">
        <v>32</v>
      </c>
      <c r="E13" s="857" t="s">
        <v>33</v>
      </c>
      <c r="F13" s="857" t="s">
        <v>32</v>
      </c>
      <c r="G13" s="857" t="s">
        <v>33</v>
      </c>
      <c r="H13" s="857" t="s">
        <v>32</v>
      </c>
      <c r="I13" s="857" t="s">
        <v>33</v>
      </c>
      <c r="J13" s="857" t="s">
        <v>32</v>
      </c>
      <c r="K13" s="857" t="s">
        <v>33</v>
      </c>
      <c r="L13" s="858"/>
      <c r="M13" s="858"/>
      <c r="N13" s="858"/>
      <c r="O13" s="858"/>
      <c r="P13" s="859">
        <f t="shared" si="169"/>
        <v>40</v>
      </c>
      <c r="Q13" s="849">
        <f>R10-P13</f>
        <v>136</v>
      </c>
      <c r="R13" s="860" t="s">
        <v>35</v>
      </c>
      <c r="S13" s="866" t="s">
        <v>10</v>
      </c>
      <c r="T13" s="867" t="s">
        <v>9</v>
      </c>
      <c r="U13" s="849">
        <v>0</v>
      </c>
      <c r="V13" s="849">
        <v>0</v>
      </c>
      <c r="W13" s="849"/>
      <c r="X13" s="863" t="s">
        <v>34</v>
      </c>
      <c r="Y13" s="864"/>
    </row>
    <row r="14" ht="14.25">
      <c r="A14" s="856" t="s">
        <v>36</v>
      </c>
      <c r="B14" s="866" t="s">
        <v>37</v>
      </c>
      <c r="C14" s="866" t="s">
        <v>33</v>
      </c>
      <c r="D14" s="866" t="s">
        <v>37</v>
      </c>
      <c r="E14" s="866" t="s">
        <v>33</v>
      </c>
      <c r="F14" s="866" t="s">
        <v>37</v>
      </c>
      <c r="G14" s="866" t="s">
        <v>33</v>
      </c>
      <c r="H14" s="866" t="s">
        <v>37</v>
      </c>
      <c r="I14" s="866" t="s">
        <v>33</v>
      </c>
      <c r="J14" s="866" t="s">
        <v>37</v>
      </c>
      <c r="K14" s="866" t="s">
        <v>33</v>
      </c>
      <c r="L14" s="858"/>
      <c r="M14" s="858"/>
      <c r="N14" s="858"/>
      <c r="O14" s="858"/>
      <c r="P14" s="859">
        <f t="shared" si="169"/>
        <v>40</v>
      </c>
      <c r="Q14" s="849">
        <f>R10-P14</f>
        <v>136</v>
      </c>
      <c r="R14" s="860" t="s">
        <v>36</v>
      </c>
      <c r="S14" s="866" t="s">
        <v>10</v>
      </c>
      <c r="T14" s="867" t="s">
        <v>9</v>
      </c>
      <c r="U14" s="849">
        <v>0</v>
      </c>
      <c r="V14" s="849">
        <v>0</v>
      </c>
      <c r="W14" s="849"/>
      <c r="X14" s="863" t="s">
        <v>38</v>
      </c>
      <c r="Y14" s="864"/>
    </row>
    <row r="15" ht="14.25">
      <c r="A15" s="856" t="s">
        <v>39</v>
      </c>
      <c r="B15" s="857" t="s">
        <v>32</v>
      </c>
      <c r="C15" s="857" t="s">
        <v>33</v>
      </c>
      <c r="D15" s="857" t="s">
        <v>32</v>
      </c>
      <c r="E15" s="857" t="s">
        <v>33</v>
      </c>
      <c r="F15" s="857" t="s">
        <v>32</v>
      </c>
      <c r="G15" s="857" t="s">
        <v>33</v>
      </c>
      <c r="H15" s="857" t="s">
        <v>32</v>
      </c>
      <c r="I15" s="857" t="s">
        <v>33</v>
      </c>
      <c r="J15" s="857" t="s">
        <v>32</v>
      </c>
      <c r="K15" s="857" t="s">
        <v>33</v>
      </c>
      <c r="L15" s="858"/>
      <c r="M15" s="858"/>
      <c r="N15" s="858"/>
      <c r="O15" s="858"/>
      <c r="P15" s="859">
        <f t="shared" si="169"/>
        <v>40</v>
      </c>
      <c r="Q15" s="849">
        <f>R10-P15</f>
        <v>136</v>
      </c>
      <c r="R15" s="860" t="s">
        <v>39</v>
      </c>
      <c r="S15" s="866" t="s">
        <v>10</v>
      </c>
      <c r="T15" s="867" t="s">
        <v>9</v>
      </c>
      <c r="U15" s="849">
        <v>0</v>
      </c>
      <c r="V15" s="849">
        <v>0</v>
      </c>
      <c r="W15" s="849"/>
      <c r="X15" s="868" t="s">
        <v>34</v>
      </c>
      <c r="Y15" s="864"/>
    </row>
    <row r="16" ht="14.25">
      <c r="A16" s="856" t="s">
        <v>40</v>
      </c>
      <c r="B16" s="857" t="s">
        <v>32</v>
      </c>
      <c r="C16" s="857" t="s">
        <v>33</v>
      </c>
      <c r="D16" s="857" t="s">
        <v>32</v>
      </c>
      <c r="E16" s="857" t="s">
        <v>33</v>
      </c>
      <c r="F16" s="857" t="s">
        <v>32</v>
      </c>
      <c r="G16" s="857" t="s">
        <v>33</v>
      </c>
      <c r="H16" s="857" t="s">
        <v>32</v>
      </c>
      <c r="I16" s="857" t="s">
        <v>33</v>
      </c>
      <c r="J16" s="857" t="s">
        <v>32</v>
      </c>
      <c r="K16" s="857" t="s">
        <v>33</v>
      </c>
      <c r="L16" s="858"/>
      <c r="M16" s="858"/>
      <c r="N16" s="858"/>
      <c r="O16" s="858"/>
      <c r="P16" s="859">
        <f t="shared" si="169"/>
        <v>40</v>
      </c>
      <c r="Q16" s="849">
        <f>R10-P16</f>
        <v>136</v>
      </c>
      <c r="R16" s="860" t="s">
        <v>40</v>
      </c>
      <c r="S16" s="866" t="s">
        <v>10</v>
      </c>
      <c r="T16" s="867" t="s">
        <v>9</v>
      </c>
      <c r="U16" s="849">
        <v>0</v>
      </c>
      <c r="V16" s="849">
        <v>0</v>
      </c>
      <c r="W16" s="849"/>
      <c r="X16" s="863" t="s">
        <v>38</v>
      </c>
      <c r="Y16" s="869"/>
    </row>
    <row r="17" ht="14.25">
      <c r="A17" s="856" t="s">
        <v>42</v>
      </c>
      <c r="B17" s="857" t="s">
        <v>32</v>
      </c>
      <c r="C17" s="857" t="s">
        <v>33</v>
      </c>
      <c r="D17" s="857" t="s">
        <v>32</v>
      </c>
      <c r="E17" s="857" t="s">
        <v>33</v>
      </c>
      <c r="F17" s="857" t="s">
        <v>32</v>
      </c>
      <c r="G17" s="857" t="s">
        <v>33</v>
      </c>
      <c r="H17" s="857" t="s">
        <v>32</v>
      </c>
      <c r="I17" s="857" t="s">
        <v>33</v>
      </c>
      <c r="J17" s="857" t="s">
        <v>32</v>
      </c>
      <c r="K17" s="857" t="s">
        <v>33</v>
      </c>
      <c r="L17" s="858"/>
      <c r="M17" s="858"/>
      <c r="N17" s="858"/>
      <c r="O17" s="858"/>
      <c r="P17" s="859">
        <f t="shared" si="169"/>
        <v>40</v>
      </c>
      <c r="Q17" s="849">
        <f>R10-P17</f>
        <v>136</v>
      </c>
      <c r="R17" s="860" t="s">
        <v>42</v>
      </c>
      <c r="S17" s="866" t="s">
        <v>10</v>
      </c>
      <c r="T17" s="867" t="s">
        <v>9</v>
      </c>
      <c r="U17" s="849">
        <v>0</v>
      </c>
      <c r="V17" s="849">
        <v>0</v>
      </c>
      <c r="W17" s="849"/>
      <c r="X17" s="863" t="s">
        <v>38</v>
      </c>
      <c r="Y17" s="869"/>
    </row>
    <row r="18" ht="14.25">
      <c r="A18" s="870" t="s">
        <v>43</v>
      </c>
      <c r="B18" s="866"/>
      <c r="C18" s="866" t="s">
        <v>4</v>
      </c>
      <c r="D18" s="866"/>
      <c r="E18" s="866" t="s">
        <v>4</v>
      </c>
      <c r="F18" s="836"/>
      <c r="G18" s="836"/>
      <c r="H18" s="858"/>
      <c r="I18" s="858"/>
      <c r="J18" s="867"/>
      <c r="K18" s="867" t="s">
        <v>4</v>
      </c>
      <c r="L18" s="867"/>
      <c r="M18" s="867" t="s">
        <v>4</v>
      </c>
      <c r="N18" s="836"/>
      <c r="O18" s="836"/>
      <c r="P18" s="859">
        <f t="shared" si="169"/>
        <v>48</v>
      </c>
      <c r="Q18" s="849">
        <f>R10-P18</f>
        <v>128</v>
      </c>
      <c r="R18" s="860" t="s">
        <v>43</v>
      </c>
      <c r="S18" s="861" t="s">
        <v>12</v>
      </c>
      <c r="T18" s="862" t="s">
        <v>11</v>
      </c>
      <c r="U18" s="849">
        <v>0</v>
      </c>
      <c r="V18" s="849">
        <v>0</v>
      </c>
      <c r="W18" s="849"/>
      <c r="X18" s="863" t="s">
        <v>44</v>
      </c>
      <c r="Y18" s="869"/>
    </row>
    <row r="19" ht="14.25">
      <c r="A19" s="870" t="s">
        <v>45</v>
      </c>
      <c r="B19" s="858"/>
      <c r="C19" s="858"/>
      <c r="D19" s="858"/>
      <c r="E19" s="858"/>
      <c r="F19" s="871"/>
      <c r="G19" s="871"/>
      <c r="H19" s="867"/>
      <c r="I19" s="867" t="s">
        <v>4</v>
      </c>
      <c r="J19" s="836"/>
      <c r="K19" s="836"/>
      <c r="L19" s="866"/>
      <c r="M19" s="866" t="s">
        <v>4</v>
      </c>
      <c r="N19" s="866"/>
      <c r="O19" s="866" t="s">
        <v>4</v>
      </c>
      <c r="P19" s="859">
        <f t="shared" si="169"/>
        <v>36</v>
      </c>
      <c r="Q19" s="849">
        <f>R10-P19</f>
        <v>140</v>
      </c>
      <c r="R19" s="860" t="s">
        <v>45</v>
      </c>
      <c r="S19" s="866" t="s">
        <v>10</v>
      </c>
      <c r="T19" s="867" t="s">
        <v>9</v>
      </c>
      <c r="U19" s="849">
        <v>0</v>
      </c>
      <c r="V19" s="849">
        <v>0</v>
      </c>
      <c r="W19" s="849"/>
      <c r="X19" s="863" t="s">
        <v>34</v>
      </c>
      <c r="Y19" s="869"/>
    </row>
    <row r="20" ht="14.25">
      <c r="A20" s="870" t="s">
        <v>46</v>
      </c>
      <c r="B20" s="867"/>
      <c r="C20" s="867" t="s">
        <v>4</v>
      </c>
      <c r="D20" s="867"/>
      <c r="E20" s="867" t="s">
        <v>4</v>
      </c>
      <c r="F20" s="858"/>
      <c r="G20" s="858"/>
      <c r="H20" s="871"/>
      <c r="I20" s="871"/>
      <c r="J20" s="866"/>
      <c r="K20" s="866" t="s">
        <v>4</v>
      </c>
      <c r="L20" s="866"/>
      <c r="M20" s="866" t="s">
        <v>4</v>
      </c>
      <c r="N20" s="858"/>
      <c r="O20" s="858"/>
      <c r="P20" s="859">
        <f t="shared" si="169"/>
        <v>48</v>
      </c>
      <c r="Q20" s="849">
        <f>R10-P20</f>
        <v>128</v>
      </c>
      <c r="R20" s="860" t="s">
        <v>46</v>
      </c>
      <c r="S20" s="866" t="s">
        <v>10</v>
      </c>
      <c r="T20" s="867" t="s">
        <v>9</v>
      </c>
      <c r="U20" s="849">
        <v>0</v>
      </c>
      <c r="V20" s="849">
        <v>0</v>
      </c>
      <c r="W20" s="849"/>
      <c r="X20" s="863" t="s">
        <v>34</v>
      </c>
      <c r="Y20" s="869"/>
    </row>
    <row r="21" ht="14.25">
      <c r="A21" s="870" t="s">
        <v>47</v>
      </c>
      <c r="B21" s="858"/>
      <c r="C21" s="858"/>
      <c r="D21" s="858"/>
      <c r="E21" s="858"/>
      <c r="F21" s="866"/>
      <c r="G21" s="866" t="s">
        <v>4</v>
      </c>
      <c r="H21" s="866"/>
      <c r="I21" s="866" t="s">
        <v>4</v>
      </c>
      <c r="J21" s="858"/>
      <c r="K21" s="858"/>
      <c r="L21" s="858"/>
      <c r="M21" s="858"/>
      <c r="N21" s="867"/>
      <c r="O21" s="867" t="s">
        <v>4</v>
      </c>
      <c r="P21" s="859">
        <f t="shared" si="169"/>
        <v>36</v>
      </c>
      <c r="Q21" s="849">
        <f>R10-P21</f>
        <v>140</v>
      </c>
      <c r="R21" s="860" t="s">
        <v>47</v>
      </c>
      <c r="S21" s="866" t="s">
        <v>10</v>
      </c>
      <c r="T21" s="867" t="s">
        <v>9</v>
      </c>
      <c r="U21" s="849">
        <v>0</v>
      </c>
      <c r="V21" s="849">
        <v>0</v>
      </c>
      <c r="W21" s="849"/>
      <c r="X21" s="863" t="s">
        <v>34</v>
      </c>
      <c r="Y21" s="864"/>
    </row>
    <row r="22" ht="14.25">
      <c r="A22" s="870" t="s">
        <v>48</v>
      </c>
      <c r="B22" s="858"/>
      <c r="C22" s="858"/>
      <c r="D22" s="858"/>
      <c r="E22" s="858"/>
      <c r="F22" s="866"/>
      <c r="G22" s="866" t="s">
        <v>4</v>
      </c>
      <c r="H22" s="866"/>
      <c r="I22" s="866" t="s">
        <v>4</v>
      </c>
      <c r="J22" s="836"/>
      <c r="K22" s="836"/>
      <c r="L22" s="858"/>
      <c r="M22" s="858"/>
      <c r="N22" s="867"/>
      <c r="O22" s="867" t="s">
        <v>4</v>
      </c>
      <c r="P22" s="859">
        <f t="shared" si="169"/>
        <v>36</v>
      </c>
      <c r="Q22" s="849">
        <f>R10-P22</f>
        <v>140</v>
      </c>
      <c r="R22" s="860" t="s">
        <v>48</v>
      </c>
      <c r="S22" s="861" t="s">
        <v>8</v>
      </c>
      <c r="T22" s="862" t="s">
        <v>7</v>
      </c>
      <c r="U22" s="849">
        <v>0</v>
      </c>
      <c r="V22" s="849">
        <v>0</v>
      </c>
      <c r="W22" s="849"/>
      <c r="X22" s="863" t="s">
        <v>49</v>
      </c>
      <c r="Y22" s="864"/>
    </row>
    <row r="23" ht="14.25">
      <c r="A23" s="870" t="s">
        <v>50</v>
      </c>
      <c r="B23" s="866"/>
      <c r="C23" s="866" t="s">
        <v>4</v>
      </c>
      <c r="D23" s="866"/>
      <c r="E23" s="866" t="s">
        <v>4</v>
      </c>
      <c r="F23" s="836"/>
      <c r="G23" s="836"/>
      <c r="H23" s="858"/>
      <c r="I23" s="858"/>
      <c r="J23" s="867"/>
      <c r="K23" s="867" t="s">
        <v>4</v>
      </c>
      <c r="L23" s="867"/>
      <c r="M23" s="867" t="s">
        <v>4</v>
      </c>
      <c r="N23" s="836"/>
      <c r="O23" s="836"/>
      <c r="P23" s="859">
        <f t="shared" si="169"/>
        <v>48</v>
      </c>
      <c r="Q23" s="849">
        <f>R10-P23</f>
        <v>128</v>
      </c>
      <c r="R23" s="860" t="s">
        <v>50</v>
      </c>
      <c r="S23" s="861" t="s">
        <v>12</v>
      </c>
      <c r="T23" s="862" t="s">
        <v>11</v>
      </c>
      <c r="U23" s="849">
        <v>2</v>
      </c>
      <c r="V23" s="849">
        <v>0</v>
      </c>
      <c r="W23" s="849"/>
      <c r="X23" s="863" t="s">
        <v>44</v>
      </c>
      <c r="Y23" s="864"/>
    </row>
    <row r="24" ht="14.25">
      <c r="A24" s="872" t="s">
        <v>51</v>
      </c>
      <c r="B24" s="871"/>
      <c r="C24" s="871"/>
      <c r="D24" s="871"/>
      <c r="E24" s="871"/>
      <c r="F24" s="873"/>
      <c r="G24" s="873" t="s">
        <v>4</v>
      </c>
      <c r="H24" s="874"/>
      <c r="I24" s="874" t="s">
        <v>33</v>
      </c>
      <c r="J24" s="874"/>
      <c r="K24" s="874" t="s">
        <v>33</v>
      </c>
      <c r="L24" s="874"/>
      <c r="M24" s="874"/>
      <c r="N24" s="875"/>
      <c r="O24" s="875"/>
      <c r="P24" s="859">
        <f t="shared" si="169"/>
        <v>28</v>
      </c>
      <c r="Q24" s="849">
        <f>R10-P24</f>
        <v>148</v>
      </c>
      <c r="R24" s="860" t="s">
        <v>51</v>
      </c>
      <c r="S24" s="861" t="s">
        <v>10</v>
      </c>
      <c r="T24" s="862" t="s">
        <v>9</v>
      </c>
      <c r="U24" s="849">
        <v>0</v>
      </c>
      <c r="V24" s="849">
        <v>0</v>
      </c>
      <c r="W24" s="840"/>
      <c r="X24" s="863" t="s">
        <v>34</v>
      </c>
      <c r="Y24" s="864"/>
    </row>
    <row r="25" ht="14.25">
      <c r="A25" s="860"/>
      <c r="B25" s="850" t="s">
        <v>90</v>
      </c>
      <c r="C25" s="850"/>
      <c r="D25" s="850" t="s">
        <v>91</v>
      </c>
      <c r="E25" s="850"/>
      <c r="F25" s="850" t="s">
        <v>92</v>
      </c>
      <c r="G25" s="850"/>
      <c r="H25" s="850" t="s">
        <v>93</v>
      </c>
      <c r="I25" s="850"/>
      <c r="J25" s="850" t="s">
        <v>94</v>
      </c>
      <c r="K25" s="850"/>
      <c r="L25" s="850" t="s">
        <v>95</v>
      </c>
      <c r="M25" s="850"/>
      <c r="N25" s="850" t="s">
        <v>96</v>
      </c>
      <c r="O25" s="851"/>
      <c r="P25" s="876"/>
      <c r="Q25" s="840"/>
      <c r="R25" s="840"/>
      <c r="S25" s="847"/>
      <c r="T25" s="847"/>
      <c r="U25" s="853" t="s">
        <v>27</v>
      </c>
      <c r="V25" s="854" t="s">
        <v>28</v>
      </c>
      <c r="W25" s="849" t="s">
        <v>29</v>
      </c>
      <c r="X25" s="877"/>
      <c r="Y25" s="816"/>
    </row>
    <row r="26" ht="15">
      <c r="A26" s="878"/>
      <c r="B26" s="879"/>
      <c r="C26" s="879"/>
      <c r="D26" s="879"/>
      <c r="E26" s="879"/>
      <c r="F26" s="879"/>
      <c r="G26" s="879"/>
      <c r="H26" s="879"/>
      <c r="I26" s="879"/>
      <c r="J26" s="879"/>
      <c r="K26" s="879"/>
      <c r="L26" s="879"/>
      <c r="M26" s="879"/>
      <c r="N26" s="879"/>
      <c r="O26" s="879"/>
      <c r="P26" s="879"/>
      <c r="Q26" s="880"/>
      <c r="R26" s="881"/>
      <c r="S26" s="836"/>
      <c r="T26" s="836"/>
      <c r="U26" s="881"/>
      <c r="V26" s="881"/>
      <c r="W26" s="881"/>
      <c r="X26" s="864"/>
      <c r="Y26" s="816"/>
    </row>
    <row r="27" ht="14.25">
      <c r="A27" s="881"/>
      <c r="B27" s="882" t="s">
        <v>17</v>
      </c>
      <c r="C27" s="882"/>
      <c r="D27" s="882" t="s">
        <v>18</v>
      </c>
      <c r="E27" s="882"/>
      <c r="F27" s="882" t="s">
        <v>19</v>
      </c>
      <c r="G27" s="882"/>
      <c r="H27" s="882" t="s">
        <v>20</v>
      </c>
      <c r="I27" s="882"/>
      <c r="J27" s="883" t="s">
        <v>21</v>
      </c>
      <c r="K27" s="883"/>
      <c r="L27" s="882" t="s">
        <v>22</v>
      </c>
      <c r="M27" s="882"/>
      <c r="N27" s="882" t="s">
        <v>23</v>
      </c>
      <c r="O27" s="882"/>
      <c r="P27" s="884" t="s">
        <v>24</v>
      </c>
      <c r="Q27" s="885"/>
      <c r="R27" s="881"/>
      <c r="S27" s="836"/>
      <c r="T27" s="836"/>
      <c r="U27" s="881"/>
      <c r="V27" s="881"/>
      <c r="W27" s="881"/>
      <c r="X27" s="848"/>
      <c r="Y27" s="816"/>
    </row>
    <row r="28" ht="14.25">
      <c r="A28" s="881"/>
      <c r="B28" s="850" t="s">
        <v>97</v>
      </c>
      <c r="C28" s="850"/>
      <c r="D28" s="850" t="s">
        <v>98</v>
      </c>
      <c r="E28" s="850"/>
      <c r="F28" s="850" t="s">
        <v>99</v>
      </c>
      <c r="G28" s="850"/>
      <c r="H28" s="850" t="s">
        <v>100</v>
      </c>
      <c r="I28" s="850"/>
      <c r="J28" s="850" t="s">
        <v>101</v>
      </c>
      <c r="K28" s="850"/>
      <c r="L28" s="850" t="s">
        <v>102</v>
      </c>
      <c r="M28" s="850"/>
      <c r="N28" s="850" t="s">
        <v>103</v>
      </c>
      <c r="O28" s="851"/>
      <c r="P28" s="886" t="s">
        <v>25</v>
      </c>
      <c r="Q28" s="886" t="s">
        <v>26</v>
      </c>
      <c r="R28" s="881"/>
      <c r="S28" s="836"/>
      <c r="T28" s="836"/>
      <c r="U28" s="887" t="s">
        <v>27</v>
      </c>
      <c r="V28" s="888" t="s">
        <v>28</v>
      </c>
      <c r="W28" s="881" t="s">
        <v>29</v>
      </c>
      <c r="X28" s="855" t="s">
        <v>30</v>
      </c>
      <c r="Y28" s="816"/>
    </row>
    <row r="29" ht="14.25">
      <c r="A29" s="856" t="s">
        <v>31</v>
      </c>
      <c r="B29" s="857" t="s">
        <v>32</v>
      </c>
      <c r="C29" s="857" t="s">
        <v>33</v>
      </c>
      <c r="D29" s="857" t="s">
        <v>32</v>
      </c>
      <c r="E29" s="857" t="s">
        <v>33</v>
      </c>
      <c r="F29" s="857" t="s">
        <v>32</v>
      </c>
      <c r="G29" s="857" t="s">
        <v>33</v>
      </c>
      <c r="H29" s="857" t="s">
        <v>32</v>
      </c>
      <c r="I29" s="857" t="s">
        <v>33</v>
      </c>
      <c r="J29" s="857" t="s">
        <v>32</v>
      </c>
      <c r="K29" s="857" t="s">
        <v>33</v>
      </c>
      <c r="L29" s="858"/>
      <c r="M29" s="858"/>
      <c r="N29" s="858"/>
      <c r="O29" s="858"/>
      <c r="P29" s="859">
        <f t="shared" si="169"/>
        <v>40</v>
      </c>
      <c r="Q29" s="849">
        <f t="shared" ref="Q29:Q30" si="170">Q12-P29</f>
        <v>96</v>
      </c>
      <c r="R29" s="860" t="s">
        <v>31</v>
      </c>
      <c r="S29" s="861" t="s">
        <v>10</v>
      </c>
      <c r="T29" s="862" t="s">
        <v>9</v>
      </c>
      <c r="U29" s="849">
        <v>0</v>
      </c>
      <c r="V29" s="849">
        <v>0</v>
      </c>
      <c r="W29" s="849"/>
      <c r="X29" s="863" t="s">
        <v>34</v>
      </c>
      <c r="Y29" s="864"/>
    </row>
    <row r="30" ht="14.25">
      <c r="A30" s="856" t="s">
        <v>35</v>
      </c>
      <c r="B30" s="857" t="s">
        <v>32</v>
      </c>
      <c r="C30" s="857" t="s">
        <v>33</v>
      </c>
      <c r="D30" s="857" t="s">
        <v>32</v>
      </c>
      <c r="E30" s="857" t="s">
        <v>33</v>
      </c>
      <c r="F30" s="857" t="s">
        <v>32</v>
      </c>
      <c r="G30" s="857" t="s">
        <v>33</v>
      </c>
      <c r="H30" s="857" t="s">
        <v>32</v>
      </c>
      <c r="I30" s="857" t="s">
        <v>33</v>
      </c>
      <c r="J30" s="857" t="s">
        <v>32</v>
      </c>
      <c r="K30" s="857" t="s">
        <v>33</v>
      </c>
      <c r="L30" s="858"/>
      <c r="M30" s="858"/>
      <c r="N30" s="858"/>
      <c r="O30" s="858"/>
      <c r="P30" s="859">
        <f t="shared" si="169"/>
        <v>40</v>
      </c>
      <c r="Q30" s="849">
        <f t="shared" si="170"/>
        <v>96</v>
      </c>
      <c r="R30" s="860" t="s">
        <v>35</v>
      </c>
      <c r="S30" s="866" t="s">
        <v>10</v>
      </c>
      <c r="T30" s="867" t="s">
        <v>9</v>
      </c>
      <c r="U30" s="849">
        <v>0</v>
      </c>
      <c r="V30" s="849">
        <v>0</v>
      </c>
      <c r="W30" s="849"/>
      <c r="X30" s="863" t="s">
        <v>34</v>
      </c>
      <c r="Y30" s="864"/>
    </row>
    <row r="31" ht="14.25">
      <c r="A31" s="856" t="s">
        <v>39</v>
      </c>
      <c r="B31" s="857" t="s">
        <v>32</v>
      </c>
      <c r="C31" s="857" t="s">
        <v>33</v>
      </c>
      <c r="D31" s="857" t="s">
        <v>32</v>
      </c>
      <c r="E31" s="857" t="s">
        <v>33</v>
      </c>
      <c r="F31" s="857" t="s">
        <v>32</v>
      </c>
      <c r="G31" s="857" t="s">
        <v>33</v>
      </c>
      <c r="H31" s="857" t="s">
        <v>32</v>
      </c>
      <c r="I31" s="857" t="s">
        <v>33</v>
      </c>
      <c r="J31" s="857" t="s">
        <v>32</v>
      </c>
      <c r="K31" s="857" t="s">
        <v>33</v>
      </c>
      <c r="L31" s="858"/>
      <c r="M31" s="858"/>
      <c r="N31" s="871"/>
      <c r="O31" s="858"/>
      <c r="P31" s="859">
        <f t="shared" si="169"/>
        <v>40</v>
      </c>
      <c r="Q31" s="849">
        <f t="shared" ref="Q31:Q88" si="171">Q15-P31</f>
        <v>96</v>
      </c>
      <c r="R31" s="860" t="s">
        <v>39</v>
      </c>
      <c r="S31" s="866" t="s">
        <v>10</v>
      </c>
      <c r="T31" s="867" t="s">
        <v>9</v>
      </c>
      <c r="U31" s="849">
        <v>0</v>
      </c>
      <c r="V31" s="849">
        <v>0</v>
      </c>
      <c r="W31" s="849"/>
      <c r="X31" s="868" t="s">
        <v>34</v>
      </c>
      <c r="Y31" s="864"/>
    </row>
    <row r="32" ht="14.25">
      <c r="A32" s="856" t="s">
        <v>40</v>
      </c>
      <c r="B32" s="857" t="s">
        <v>32</v>
      </c>
      <c r="C32" s="857" t="s">
        <v>33</v>
      </c>
      <c r="D32" s="857" t="s">
        <v>32</v>
      </c>
      <c r="E32" s="857" t="s">
        <v>33</v>
      </c>
      <c r="F32" s="857" t="s">
        <v>32</v>
      </c>
      <c r="G32" s="857" t="s">
        <v>33</v>
      </c>
      <c r="H32" s="857" t="s">
        <v>32</v>
      </c>
      <c r="I32" s="857" t="s">
        <v>33</v>
      </c>
      <c r="J32" s="857" t="s">
        <v>32</v>
      </c>
      <c r="K32" s="857" t="s">
        <v>33</v>
      </c>
      <c r="L32" s="858"/>
      <c r="M32" s="858"/>
      <c r="N32" s="858"/>
      <c r="O32" s="858"/>
      <c r="P32" s="859">
        <f t="shared" si="169"/>
        <v>40</v>
      </c>
      <c r="Q32" s="849">
        <f t="shared" si="171"/>
        <v>96</v>
      </c>
      <c r="R32" s="860" t="s">
        <v>40</v>
      </c>
      <c r="S32" s="866" t="s">
        <v>10</v>
      </c>
      <c r="T32" s="867" t="s">
        <v>9</v>
      </c>
      <c r="U32" s="849">
        <v>0</v>
      </c>
      <c r="V32" s="849">
        <v>0</v>
      </c>
      <c r="W32" s="849"/>
      <c r="X32" s="863" t="s">
        <v>38</v>
      </c>
      <c r="Y32" s="869"/>
    </row>
    <row r="33" ht="14.25">
      <c r="A33" s="856" t="s">
        <v>42</v>
      </c>
      <c r="B33" s="875" t="s">
        <v>32</v>
      </c>
      <c r="C33" s="875" t="s">
        <v>33</v>
      </c>
      <c r="D33" s="875" t="s">
        <v>32</v>
      </c>
      <c r="E33" s="875" t="s">
        <v>33</v>
      </c>
      <c r="F33" s="875" t="s">
        <v>32</v>
      </c>
      <c r="G33" s="875" t="s">
        <v>33</v>
      </c>
      <c r="H33" s="875" t="s">
        <v>32</v>
      </c>
      <c r="I33" s="875" t="s">
        <v>33</v>
      </c>
      <c r="J33" s="875" t="s">
        <v>32</v>
      </c>
      <c r="K33" s="875" t="s">
        <v>33</v>
      </c>
      <c r="L33" s="858"/>
      <c r="M33" s="858"/>
      <c r="N33" s="858"/>
      <c r="O33" s="858"/>
      <c r="P33" s="859">
        <f t="shared" si="169"/>
        <v>40</v>
      </c>
      <c r="Q33" s="849">
        <f t="shared" si="171"/>
        <v>96</v>
      </c>
      <c r="R33" s="860" t="s">
        <v>42</v>
      </c>
      <c r="S33" s="866" t="s">
        <v>10</v>
      </c>
      <c r="T33" s="867" t="s">
        <v>9</v>
      </c>
      <c r="U33" s="849">
        <v>0</v>
      </c>
      <c r="V33" s="849">
        <v>0</v>
      </c>
      <c r="W33" s="849"/>
      <c r="X33" s="863" t="s">
        <v>38</v>
      </c>
      <c r="Y33" s="869"/>
    </row>
    <row r="34" ht="14.25">
      <c r="A34" s="870" t="s">
        <v>43</v>
      </c>
      <c r="B34" s="858"/>
      <c r="C34" s="858"/>
      <c r="D34" s="866"/>
      <c r="E34" s="866" t="s">
        <v>4</v>
      </c>
      <c r="F34" s="866"/>
      <c r="G34" s="866" t="s">
        <v>4</v>
      </c>
      <c r="H34" s="858"/>
      <c r="I34" s="858"/>
      <c r="J34" s="858"/>
      <c r="K34" s="858"/>
      <c r="L34" s="871"/>
      <c r="M34" s="871"/>
      <c r="N34" s="867"/>
      <c r="O34" s="867" t="s">
        <v>4</v>
      </c>
      <c r="P34" s="859">
        <f t="shared" si="169"/>
        <v>36</v>
      </c>
      <c r="Q34" s="849">
        <f t="shared" si="171"/>
        <v>92</v>
      </c>
      <c r="R34" s="860" t="s">
        <v>43</v>
      </c>
      <c r="S34" s="861" t="s">
        <v>12</v>
      </c>
      <c r="T34" s="862" t="s">
        <v>11</v>
      </c>
      <c r="U34" s="849">
        <v>0</v>
      </c>
      <c r="V34" s="849">
        <v>0</v>
      </c>
      <c r="W34" s="849"/>
      <c r="X34" s="863" t="s">
        <v>44</v>
      </c>
      <c r="Y34" s="869"/>
    </row>
    <row r="35" ht="14.25">
      <c r="A35" s="870" t="s">
        <v>45</v>
      </c>
      <c r="B35" s="866"/>
      <c r="C35" s="866" t="s">
        <v>4</v>
      </c>
      <c r="D35" s="858"/>
      <c r="E35" s="858"/>
      <c r="F35" s="858"/>
      <c r="G35" s="858"/>
      <c r="H35" s="867"/>
      <c r="I35" s="867" t="s">
        <v>4</v>
      </c>
      <c r="J35" s="867"/>
      <c r="K35" s="867" t="s">
        <v>4</v>
      </c>
      <c r="L35" s="858"/>
      <c r="M35" s="858"/>
      <c r="N35" s="889"/>
      <c r="O35" s="890" t="s">
        <v>4</v>
      </c>
      <c r="P35" s="859">
        <f t="shared" si="169"/>
        <v>48</v>
      </c>
      <c r="Q35" s="849">
        <f t="shared" si="171"/>
        <v>92</v>
      </c>
      <c r="R35" s="860" t="s">
        <v>45</v>
      </c>
      <c r="S35" s="866" t="s">
        <v>10</v>
      </c>
      <c r="T35" s="867" t="s">
        <v>9</v>
      </c>
      <c r="U35" s="849">
        <v>0</v>
      </c>
      <c r="V35" s="849">
        <v>0</v>
      </c>
      <c r="W35" s="849"/>
      <c r="X35" s="863" t="s">
        <v>34</v>
      </c>
      <c r="Y35" s="869"/>
    </row>
    <row r="36" ht="14.25">
      <c r="A36" s="870" t="s">
        <v>46</v>
      </c>
      <c r="B36" s="858"/>
      <c r="C36" s="858"/>
      <c r="D36" s="867"/>
      <c r="E36" s="867" t="s">
        <v>4</v>
      </c>
      <c r="F36" s="867"/>
      <c r="G36" s="867" t="s">
        <v>4</v>
      </c>
      <c r="H36" s="858"/>
      <c r="I36" s="858"/>
      <c r="J36" s="858"/>
      <c r="K36" s="858"/>
      <c r="L36" s="866"/>
      <c r="M36" s="866" t="s">
        <v>4</v>
      </c>
      <c r="N36" s="866"/>
      <c r="O36" s="866" t="s">
        <v>4</v>
      </c>
      <c r="P36" s="859">
        <f t="shared" si="169"/>
        <v>48</v>
      </c>
      <c r="Q36" s="849">
        <f t="shared" si="171"/>
        <v>80</v>
      </c>
      <c r="R36" s="860" t="s">
        <v>46</v>
      </c>
      <c r="S36" s="866" t="s">
        <v>10</v>
      </c>
      <c r="T36" s="867" t="s">
        <v>9</v>
      </c>
      <c r="U36" s="849">
        <v>0</v>
      </c>
      <c r="V36" s="849">
        <v>0</v>
      </c>
      <c r="W36" s="849"/>
      <c r="X36" s="863" t="s">
        <v>34</v>
      </c>
      <c r="Y36" s="869"/>
    </row>
    <row r="37" ht="14.25">
      <c r="A37" s="870" t="s">
        <v>47</v>
      </c>
      <c r="B37" s="867"/>
      <c r="C37" s="867" t="s">
        <v>4</v>
      </c>
      <c r="D37" s="871"/>
      <c r="E37" s="871"/>
      <c r="F37" s="871"/>
      <c r="G37" s="871"/>
      <c r="H37" s="871"/>
      <c r="I37" s="871"/>
      <c r="J37" s="871"/>
      <c r="K37" s="871"/>
      <c r="L37" s="873"/>
      <c r="M37" s="873" t="s">
        <v>4</v>
      </c>
      <c r="N37" s="873"/>
      <c r="O37" s="873" t="s">
        <v>4</v>
      </c>
      <c r="P37" s="859">
        <f t="shared" si="169"/>
        <v>36</v>
      </c>
      <c r="Q37" s="849">
        <f t="shared" si="171"/>
        <v>104</v>
      </c>
      <c r="R37" s="860" t="s">
        <v>47</v>
      </c>
      <c r="S37" s="866" t="s">
        <v>10</v>
      </c>
      <c r="T37" s="867" t="s">
        <v>9</v>
      </c>
      <c r="U37" s="849">
        <v>0</v>
      </c>
      <c r="V37" s="849">
        <v>0</v>
      </c>
      <c r="W37" s="849"/>
      <c r="X37" s="863" t="s">
        <v>34</v>
      </c>
      <c r="Y37" s="864"/>
    </row>
    <row r="38" ht="14.25">
      <c r="A38" s="870" t="s">
        <v>48</v>
      </c>
      <c r="B38" s="867"/>
      <c r="C38" s="867" t="s">
        <v>4</v>
      </c>
      <c r="D38" s="836"/>
      <c r="E38" s="836"/>
      <c r="F38" s="858"/>
      <c r="G38" s="858"/>
      <c r="H38" s="866"/>
      <c r="I38" s="866" t="s">
        <v>4</v>
      </c>
      <c r="J38" s="866"/>
      <c r="K38" s="866" t="s">
        <v>4</v>
      </c>
      <c r="L38" s="836"/>
      <c r="M38" s="836"/>
      <c r="N38" s="836"/>
      <c r="O38" s="836"/>
      <c r="P38" s="859">
        <f t="shared" si="169"/>
        <v>36</v>
      </c>
      <c r="Q38" s="849">
        <f t="shared" si="171"/>
        <v>104</v>
      </c>
      <c r="R38" s="860" t="s">
        <v>48</v>
      </c>
      <c r="S38" s="861" t="s">
        <v>8</v>
      </c>
      <c r="T38" s="862" t="s">
        <v>7</v>
      </c>
      <c r="U38" s="849">
        <v>0</v>
      </c>
      <c r="V38" s="849">
        <v>0</v>
      </c>
      <c r="W38" s="849"/>
      <c r="X38" s="863" t="s">
        <v>49</v>
      </c>
      <c r="Y38" s="864"/>
    </row>
    <row r="39" ht="14.25">
      <c r="A39" s="870" t="s">
        <v>50</v>
      </c>
      <c r="B39" s="858"/>
      <c r="C39" s="858"/>
      <c r="D39" s="866"/>
      <c r="E39" s="866" t="s">
        <v>4</v>
      </c>
      <c r="F39" s="866"/>
      <c r="G39" s="866" t="s">
        <v>4</v>
      </c>
      <c r="H39" s="858"/>
      <c r="I39" s="858"/>
      <c r="J39" s="891"/>
      <c r="K39" s="891"/>
      <c r="L39" s="892"/>
      <c r="M39" s="892"/>
      <c r="N39" s="871"/>
      <c r="O39" s="871"/>
      <c r="P39" s="859">
        <f t="shared" si="169"/>
        <v>24</v>
      </c>
      <c r="Q39" s="849">
        <f t="shared" si="171"/>
        <v>104</v>
      </c>
      <c r="R39" s="860" t="s">
        <v>50</v>
      </c>
      <c r="S39" s="861" t="s">
        <v>12</v>
      </c>
      <c r="T39" s="862" t="s">
        <v>11</v>
      </c>
      <c r="U39" s="849">
        <v>0</v>
      </c>
      <c r="V39" s="849">
        <v>0</v>
      </c>
      <c r="W39" s="849"/>
      <c r="X39" s="863" t="s">
        <v>44</v>
      </c>
      <c r="Y39" s="864"/>
    </row>
    <row r="40" ht="14.25">
      <c r="A40" s="872" t="s">
        <v>51</v>
      </c>
      <c r="B40" s="874"/>
      <c r="C40" s="874" t="s">
        <v>33</v>
      </c>
      <c r="D40" s="874"/>
      <c r="E40" s="874" t="s">
        <v>33</v>
      </c>
      <c r="F40" s="874"/>
      <c r="G40" s="874" t="s">
        <v>33</v>
      </c>
      <c r="H40" s="874"/>
      <c r="I40" s="874" t="s">
        <v>33</v>
      </c>
      <c r="J40" s="875"/>
      <c r="K40" s="875" t="s">
        <v>33</v>
      </c>
      <c r="L40" s="875"/>
      <c r="M40" s="875"/>
      <c r="N40" s="893"/>
      <c r="O40" s="893"/>
      <c r="P40" s="859">
        <f t="shared" si="169"/>
        <v>40</v>
      </c>
      <c r="Q40" s="849">
        <f t="shared" si="171"/>
        <v>108</v>
      </c>
      <c r="R40" s="860" t="s">
        <v>51</v>
      </c>
      <c r="S40" s="861" t="s">
        <v>10</v>
      </c>
      <c r="T40" s="862" t="s">
        <v>9</v>
      </c>
      <c r="U40" s="849">
        <v>0</v>
      </c>
      <c r="V40" s="849">
        <v>0</v>
      </c>
      <c r="W40" s="849"/>
      <c r="X40" s="863" t="s">
        <v>34</v>
      </c>
      <c r="Y40" s="864"/>
    </row>
    <row r="41" ht="15">
      <c r="A41" s="894"/>
      <c r="B41" s="850" t="s">
        <v>97</v>
      </c>
      <c r="C41" s="850"/>
      <c r="D41" s="850" t="s">
        <v>98</v>
      </c>
      <c r="E41" s="850"/>
      <c r="F41" s="850" t="s">
        <v>99</v>
      </c>
      <c r="G41" s="850"/>
      <c r="H41" s="850" t="s">
        <v>100</v>
      </c>
      <c r="I41" s="850"/>
      <c r="J41" s="850" t="s">
        <v>101</v>
      </c>
      <c r="K41" s="850"/>
      <c r="L41" s="850" t="s">
        <v>102</v>
      </c>
      <c r="M41" s="850"/>
      <c r="N41" s="850" t="s">
        <v>103</v>
      </c>
      <c r="O41" s="851"/>
      <c r="P41" s="894"/>
      <c r="Q41" s="881"/>
      <c r="R41" s="894"/>
      <c r="S41" s="836"/>
      <c r="T41" s="836"/>
      <c r="U41" s="881"/>
      <c r="V41" s="881"/>
      <c r="W41" s="881"/>
      <c r="X41" s="895"/>
      <c r="Y41" s="816"/>
    </row>
    <row r="42" ht="15">
      <c r="A42" s="878"/>
      <c r="B42" s="879"/>
      <c r="C42" s="879"/>
      <c r="D42" s="879"/>
      <c r="E42" s="879"/>
      <c r="F42" s="879"/>
      <c r="G42" s="879"/>
      <c r="H42" s="879"/>
      <c r="I42" s="879"/>
      <c r="J42" s="879"/>
      <c r="K42" s="879"/>
      <c r="L42" s="879"/>
      <c r="M42" s="879"/>
      <c r="N42" s="879"/>
      <c r="O42" s="879"/>
      <c r="P42" s="879"/>
      <c r="Q42" s="880"/>
      <c r="R42" s="881"/>
      <c r="S42" s="836"/>
      <c r="T42" s="836"/>
      <c r="U42" s="881"/>
      <c r="V42" s="881"/>
      <c r="W42" s="881"/>
      <c r="X42" s="848"/>
      <c r="Y42" s="816"/>
    </row>
    <row r="43" ht="14.25">
      <c r="A43" s="849"/>
      <c r="B43" s="841" t="s">
        <v>17</v>
      </c>
      <c r="C43" s="896"/>
      <c r="D43" s="841" t="s">
        <v>18</v>
      </c>
      <c r="E43" s="896"/>
      <c r="F43" s="841" t="s">
        <v>19</v>
      </c>
      <c r="G43" s="841"/>
      <c r="H43" s="841" t="s">
        <v>20</v>
      </c>
      <c r="I43" s="896"/>
      <c r="J43" s="841" t="s">
        <v>21</v>
      </c>
      <c r="K43" s="841"/>
      <c r="L43" s="841" t="s">
        <v>22</v>
      </c>
      <c r="M43" s="841"/>
      <c r="N43" s="841" t="s">
        <v>23</v>
      </c>
      <c r="O43" s="841"/>
      <c r="P43" s="845" t="s">
        <v>24</v>
      </c>
      <c r="Q43" s="846"/>
      <c r="R43" s="849"/>
      <c r="S43" s="858"/>
      <c r="T43" s="858"/>
      <c r="U43" s="849"/>
      <c r="V43" s="849"/>
      <c r="W43" s="849"/>
      <c r="X43" s="855"/>
      <c r="Y43" s="816"/>
    </row>
    <row r="44" ht="14.25">
      <c r="A44" s="849"/>
      <c r="B44" s="850" t="s">
        <v>104</v>
      </c>
      <c r="C44" s="850"/>
      <c r="D44" s="850" t="s">
        <v>105</v>
      </c>
      <c r="E44" s="850"/>
      <c r="F44" s="850" t="s">
        <v>106</v>
      </c>
      <c r="G44" s="850"/>
      <c r="H44" s="850" t="s">
        <v>107</v>
      </c>
      <c r="I44" s="850"/>
      <c r="J44" s="850" t="s">
        <v>108</v>
      </c>
      <c r="K44" s="850"/>
      <c r="L44" s="850" t="s">
        <v>109</v>
      </c>
      <c r="M44" s="850"/>
      <c r="N44" s="850" t="s">
        <v>110</v>
      </c>
      <c r="O44" s="851"/>
      <c r="P44" s="852" t="s">
        <v>25</v>
      </c>
      <c r="Q44" s="852" t="s">
        <v>26</v>
      </c>
      <c r="R44" s="849"/>
      <c r="S44" s="858"/>
      <c r="T44" s="858"/>
      <c r="U44" s="853" t="s">
        <v>27</v>
      </c>
      <c r="V44" s="854" t="s">
        <v>28</v>
      </c>
      <c r="W44" s="849" t="s">
        <v>29</v>
      </c>
      <c r="X44" s="855" t="s">
        <v>30</v>
      </c>
      <c r="Y44" s="816"/>
    </row>
    <row r="45" ht="14.25">
      <c r="A45" s="856" t="s">
        <v>31</v>
      </c>
      <c r="B45" s="857" t="s">
        <v>32</v>
      </c>
      <c r="C45" s="857" t="s">
        <v>33</v>
      </c>
      <c r="D45" s="857" t="s">
        <v>32</v>
      </c>
      <c r="E45" s="857" t="s">
        <v>33</v>
      </c>
      <c r="F45" s="857" t="s">
        <v>32</v>
      </c>
      <c r="G45" s="857" t="s">
        <v>33</v>
      </c>
      <c r="H45" s="857" t="s">
        <v>32</v>
      </c>
      <c r="I45" s="857" t="s">
        <v>33</v>
      </c>
      <c r="J45" s="857" t="s">
        <v>32</v>
      </c>
      <c r="K45" s="857" t="s">
        <v>33</v>
      </c>
      <c r="L45" s="858"/>
      <c r="M45" s="858"/>
      <c r="N45" s="858"/>
      <c r="O45" s="858"/>
      <c r="P45" s="859">
        <f t="shared" si="169"/>
        <v>40</v>
      </c>
      <c r="Q45" s="849">
        <f t="shared" si="171"/>
        <v>56</v>
      </c>
      <c r="R45" s="860" t="s">
        <v>31</v>
      </c>
      <c r="S45" s="861" t="s">
        <v>10</v>
      </c>
      <c r="T45" s="862" t="s">
        <v>9</v>
      </c>
      <c r="U45" s="849">
        <v>0</v>
      </c>
      <c r="V45" s="849">
        <v>0</v>
      </c>
      <c r="W45" s="849"/>
      <c r="X45" s="863" t="s">
        <v>34</v>
      </c>
      <c r="Y45" s="864"/>
    </row>
    <row r="46" ht="14.25">
      <c r="A46" s="856" t="s">
        <v>35</v>
      </c>
      <c r="B46" s="857" t="s">
        <v>32</v>
      </c>
      <c r="C46" s="857" t="s">
        <v>33</v>
      </c>
      <c r="D46" s="857" t="s">
        <v>32</v>
      </c>
      <c r="E46" s="857" t="s">
        <v>33</v>
      </c>
      <c r="F46" s="857" t="s">
        <v>32</v>
      </c>
      <c r="G46" s="857" t="s">
        <v>33</v>
      </c>
      <c r="H46" s="857" t="s">
        <v>32</v>
      </c>
      <c r="I46" s="857" t="s">
        <v>33</v>
      </c>
      <c r="J46" s="857" t="s">
        <v>32</v>
      </c>
      <c r="K46" s="857" t="s">
        <v>33</v>
      </c>
      <c r="L46" s="891"/>
      <c r="M46" s="891" t="s">
        <v>111</v>
      </c>
      <c r="N46" s="891"/>
      <c r="O46" s="891" t="s">
        <v>86</v>
      </c>
      <c r="P46" s="859">
        <f t="shared" si="169"/>
        <v>41.5</v>
      </c>
      <c r="Q46" s="849">
        <f t="shared" si="171"/>
        <v>54.5</v>
      </c>
      <c r="R46" s="860" t="s">
        <v>35</v>
      </c>
      <c r="S46" s="866" t="s">
        <v>10</v>
      </c>
      <c r="T46" s="867" t="s">
        <v>9</v>
      </c>
      <c r="U46" s="849">
        <v>0</v>
      </c>
      <c r="V46" s="849">
        <v>0</v>
      </c>
      <c r="W46" s="849"/>
      <c r="X46" s="863" t="s">
        <v>34</v>
      </c>
      <c r="Y46" s="864"/>
    </row>
    <row r="47" ht="14.25">
      <c r="A47" s="856" t="s">
        <v>39</v>
      </c>
      <c r="B47" s="857" t="s">
        <v>32</v>
      </c>
      <c r="C47" s="857" t="s">
        <v>33</v>
      </c>
      <c r="D47" s="857" t="s">
        <v>32</v>
      </c>
      <c r="E47" s="857" t="s">
        <v>33</v>
      </c>
      <c r="F47" s="857" t="s">
        <v>32</v>
      </c>
      <c r="G47" s="857" t="s">
        <v>33</v>
      </c>
      <c r="H47" s="857" t="s">
        <v>32</v>
      </c>
      <c r="I47" s="857" t="s">
        <v>33</v>
      </c>
      <c r="J47" s="857" t="s">
        <v>32</v>
      </c>
      <c r="K47" s="857" t="s">
        <v>33</v>
      </c>
      <c r="L47" s="858"/>
      <c r="M47" s="858"/>
      <c r="N47" s="858"/>
      <c r="O47" s="858"/>
      <c r="P47" s="859">
        <f t="shared" si="169"/>
        <v>40</v>
      </c>
      <c r="Q47" s="849">
        <f t="shared" si="171"/>
        <v>56</v>
      </c>
      <c r="R47" s="860" t="s">
        <v>39</v>
      </c>
      <c r="S47" s="866" t="s">
        <v>10</v>
      </c>
      <c r="T47" s="867" t="s">
        <v>9</v>
      </c>
      <c r="U47" s="849">
        <v>0</v>
      </c>
      <c r="V47" s="849">
        <v>0</v>
      </c>
      <c r="W47" s="849"/>
      <c r="X47" s="868" t="s">
        <v>34</v>
      </c>
      <c r="Y47" s="864"/>
    </row>
    <row r="48" ht="14.25">
      <c r="A48" s="856" t="s">
        <v>40</v>
      </c>
      <c r="B48" s="857" t="s">
        <v>32</v>
      </c>
      <c r="C48" s="857" t="s">
        <v>33</v>
      </c>
      <c r="D48" s="857" t="s">
        <v>32</v>
      </c>
      <c r="E48" s="857" t="s">
        <v>33</v>
      </c>
      <c r="F48" s="857" t="s">
        <v>32</v>
      </c>
      <c r="G48" s="857" t="s">
        <v>33</v>
      </c>
      <c r="H48" s="857" t="s">
        <v>32</v>
      </c>
      <c r="I48" s="857" t="s">
        <v>33</v>
      </c>
      <c r="J48" s="857" t="s">
        <v>32</v>
      </c>
      <c r="K48" s="857" t="s">
        <v>33</v>
      </c>
      <c r="L48" s="858"/>
      <c r="M48" s="858"/>
      <c r="N48" s="858"/>
      <c r="O48" s="858"/>
      <c r="P48" s="859">
        <f t="shared" si="169"/>
        <v>40</v>
      </c>
      <c r="Q48" s="849">
        <f t="shared" si="171"/>
        <v>56</v>
      </c>
      <c r="R48" s="860" t="s">
        <v>40</v>
      </c>
      <c r="S48" s="866" t="s">
        <v>10</v>
      </c>
      <c r="T48" s="867" t="s">
        <v>9</v>
      </c>
      <c r="U48" s="849">
        <v>0</v>
      </c>
      <c r="V48" s="849">
        <v>0</v>
      </c>
      <c r="W48" s="849"/>
      <c r="X48" s="863" t="s">
        <v>38</v>
      </c>
      <c r="Y48" s="864"/>
    </row>
    <row r="49" ht="14.25">
      <c r="A49" s="856" t="s">
        <v>42</v>
      </c>
      <c r="B49" s="875" t="s">
        <v>32</v>
      </c>
      <c r="C49" s="875" t="s">
        <v>33</v>
      </c>
      <c r="D49" s="897" t="s">
        <v>32</v>
      </c>
      <c r="E49" s="897" t="s">
        <v>33</v>
      </c>
      <c r="F49" s="897" t="s">
        <v>32</v>
      </c>
      <c r="G49" s="897" t="s">
        <v>33</v>
      </c>
      <c r="H49" s="897" t="s">
        <v>32</v>
      </c>
      <c r="I49" s="897" t="s">
        <v>33</v>
      </c>
      <c r="J49" s="897" t="s">
        <v>32</v>
      </c>
      <c r="K49" s="897" t="s">
        <v>33</v>
      </c>
      <c r="L49" s="858"/>
      <c r="M49" s="858"/>
      <c r="N49" s="858"/>
      <c r="O49" s="858"/>
      <c r="P49" s="859">
        <f t="shared" si="169"/>
        <v>40</v>
      </c>
      <c r="Q49" s="849">
        <f t="shared" si="171"/>
        <v>56</v>
      </c>
      <c r="R49" s="860" t="s">
        <v>42</v>
      </c>
      <c r="S49" s="866" t="s">
        <v>10</v>
      </c>
      <c r="T49" s="867" t="s">
        <v>9</v>
      </c>
      <c r="U49" s="849"/>
      <c r="V49" s="849"/>
      <c r="W49" s="849"/>
      <c r="X49" s="863" t="s">
        <v>38</v>
      </c>
      <c r="Y49" s="864"/>
    </row>
    <row r="50" ht="14.25">
      <c r="A50" s="870" t="s">
        <v>43</v>
      </c>
      <c r="B50" s="871"/>
      <c r="C50" s="871"/>
      <c r="D50" s="858"/>
      <c r="E50" s="858"/>
      <c r="F50" s="867"/>
      <c r="G50" s="867" t="s">
        <v>4</v>
      </c>
      <c r="H50" s="867"/>
      <c r="I50" s="867" t="s">
        <v>4</v>
      </c>
      <c r="J50" s="871"/>
      <c r="K50" s="871"/>
      <c r="L50" s="818"/>
      <c r="M50" s="818" t="s">
        <v>4</v>
      </c>
      <c r="N50" s="858"/>
      <c r="O50" s="858"/>
      <c r="P50" s="859">
        <f t="shared" si="169"/>
        <v>36</v>
      </c>
      <c r="Q50" s="849">
        <f t="shared" si="171"/>
        <v>56</v>
      </c>
      <c r="R50" s="860" t="s">
        <v>43</v>
      </c>
      <c r="S50" s="861" t="s">
        <v>12</v>
      </c>
      <c r="T50" s="862" t="s">
        <v>11</v>
      </c>
      <c r="U50" s="849">
        <v>0</v>
      </c>
      <c r="V50" s="849">
        <v>0</v>
      </c>
      <c r="W50" s="849"/>
      <c r="X50" s="863" t="s">
        <v>44</v>
      </c>
      <c r="Y50" s="869"/>
    </row>
    <row r="51" ht="14.25">
      <c r="A51" s="870" t="s">
        <v>45</v>
      </c>
      <c r="B51" s="866"/>
      <c r="C51" s="866" t="s">
        <v>4</v>
      </c>
      <c r="D51" s="866"/>
      <c r="E51" s="866" t="s">
        <v>4</v>
      </c>
      <c r="F51" s="858"/>
      <c r="G51" s="858"/>
      <c r="H51" s="858"/>
      <c r="I51" s="858"/>
      <c r="J51" s="871"/>
      <c r="K51" s="871"/>
      <c r="L51" s="871"/>
      <c r="M51" s="871"/>
      <c r="N51" s="871"/>
      <c r="O51" s="871"/>
      <c r="P51" s="859">
        <f t="shared" si="169"/>
        <v>24</v>
      </c>
      <c r="Q51" s="849">
        <f t="shared" si="171"/>
        <v>68</v>
      </c>
      <c r="R51" s="860" t="s">
        <v>45</v>
      </c>
      <c r="S51" s="866" t="s">
        <v>10</v>
      </c>
      <c r="T51" s="867" t="s">
        <v>9</v>
      </c>
      <c r="U51" s="849">
        <v>0</v>
      </c>
      <c r="V51" s="849">
        <v>0</v>
      </c>
      <c r="W51" s="849"/>
      <c r="X51" s="863" t="s">
        <v>34</v>
      </c>
      <c r="Y51" s="864"/>
    </row>
    <row r="52" ht="14.25">
      <c r="A52" s="870" t="s">
        <v>46</v>
      </c>
      <c r="B52" s="858"/>
      <c r="C52" s="858"/>
      <c r="D52" s="858"/>
      <c r="E52" s="858"/>
      <c r="F52" s="898"/>
      <c r="G52" s="898" t="s">
        <v>33</v>
      </c>
      <c r="H52" s="898"/>
      <c r="I52" s="898" t="s">
        <v>33</v>
      </c>
      <c r="J52" s="898"/>
      <c r="K52" s="898" t="s">
        <v>33</v>
      </c>
      <c r="L52" s="898"/>
      <c r="M52" s="898"/>
      <c r="N52" s="899"/>
      <c r="O52" s="899"/>
      <c r="P52" s="859">
        <f t="shared" si="169"/>
        <v>24</v>
      </c>
      <c r="Q52" s="849">
        <f t="shared" si="171"/>
        <v>56</v>
      </c>
      <c r="R52" s="860" t="s">
        <v>46</v>
      </c>
      <c r="S52" s="866" t="s">
        <v>10</v>
      </c>
      <c r="T52" s="867" t="s">
        <v>9</v>
      </c>
      <c r="U52" s="849">
        <v>0</v>
      </c>
      <c r="V52" s="849">
        <v>0</v>
      </c>
      <c r="W52" s="849"/>
      <c r="X52" s="863" t="s">
        <v>34</v>
      </c>
      <c r="Y52" s="864"/>
    </row>
    <row r="53" ht="14.25">
      <c r="A53" s="870" t="s">
        <v>47</v>
      </c>
      <c r="B53" s="871"/>
      <c r="C53" s="871"/>
      <c r="D53" s="867"/>
      <c r="E53" s="867" t="s">
        <v>4</v>
      </c>
      <c r="F53" s="858"/>
      <c r="G53" s="858"/>
      <c r="H53" s="858"/>
      <c r="I53" s="858"/>
      <c r="J53" s="866"/>
      <c r="K53" s="866" t="s">
        <v>4</v>
      </c>
      <c r="L53" s="866"/>
      <c r="M53" s="866" t="s">
        <v>4</v>
      </c>
      <c r="N53" s="871"/>
      <c r="O53" s="871"/>
      <c r="P53" s="859">
        <f t="shared" si="169"/>
        <v>36</v>
      </c>
      <c r="Q53" s="849">
        <f t="shared" si="171"/>
        <v>68</v>
      </c>
      <c r="R53" s="860" t="s">
        <v>47</v>
      </c>
      <c r="S53" s="866" t="s">
        <v>10</v>
      </c>
      <c r="T53" s="867" t="s">
        <v>9</v>
      </c>
      <c r="U53" s="849">
        <v>0</v>
      </c>
      <c r="V53" s="849">
        <v>0</v>
      </c>
      <c r="W53" s="849"/>
      <c r="X53" s="863" t="s">
        <v>34</v>
      </c>
      <c r="Y53" s="864"/>
    </row>
    <row r="54" ht="14.25">
      <c r="A54" s="870" t="s">
        <v>48</v>
      </c>
      <c r="B54" s="871"/>
      <c r="C54" s="871"/>
      <c r="D54" s="866"/>
      <c r="E54" s="866" t="s">
        <v>33</v>
      </c>
      <c r="F54" s="858"/>
      <c r="G54" s="858"/>
      <c r="H54" s="836"/>
      <c r="I54" s="836"/>
      <c r="J54" s="871"/>
      <c r="K54" s="871"/>
      <c r="L54" s="867"/>
      <c r="M54" s="867" t="s">
        <v>4</v>
      </c>
      <c r="N54" s="867"/>
      <c r="O54" s="867" t="s">
        <v>4</v>
      </c>
      <c r="P54" s="859">
        <f t="shared" si="169"/>
        <v>32</v>
      </c>
      <c r="Q54" s="849">
        <f t="shared" si="171"/>
        <v>72</v>
      </c>
      <c r="R54" s="860" t="s">
        <v>48</v>
      </c>
      <c r="S54" s="861" t="s">
        <v>8</v>
      </c>
      <c r="T54" s="862" t="s">
        <v>7</v>
      </c>
      <c r="U54" s="849">
        <v>0</v>
      </c>
      <c r="V54" s="849">
        <v>0</v>
      </c>
      <c r="W54" s="849"/>
      <c r="X54" s="863" t="s">
        <v>49</v>
      </c>
      <c r="Y54" s="864"/>
    </row>
    <row r="55" ht="14.25">
      <c r="A55" s="870" t="s">
        <v>50</v>
      </c>
      <c r="B55" s="867"/>
      <c r="C55" s="867" t="s">
        <v>33</v>
      </c>
      <c r="D55" s="867"/>
      <c r="E55" s="867" t="s">
        <v>33</v>
      </c>
      <c r="F55" s="866"/>
      <c r="G55" s="866" t="s">
        <v>4</v>
      </c>
      <c r="H55" s="889"/>
      <c r="I55" s="889" t="s">
        <v>4</v>
      </c>
      <c r="J55" s="871"/>
      <c r="K55" s="871"/>
      <c r="L55" s="871"/>
      <c r="M55" s="871"/>
      <c r="N55" s="889"/>
      <c r="O55" s="889" t="s">
        <v>4</v>
      </c>
      <c r="P55" s="859">
        <f t="shared" si="169"/>
        <v>52</v>
      </c>
      <c r="Q55" s="849">
        <f t="shared" si="171"/>
        <v>52</v>
      </c>
      <c r="R55" s="860" t="s">
        <v>50</v>
      </c>
      <c r="S55" s="861" t="s">
        <v>12</v>
      </c>
      <c r="T55" s="862" t="s">
        <v>11</v>
      </c>
      <c r="U55" s="849">
        <v>0</v>
      </c>
      <c r="V55" s="849">
        <v>0</v>
      </c>
      <c r="W55" s="849"/>
      <c r="X55" s="863" t="s">
        <v>44</v>
      </c>
      <c r="Y55" s="864"/>
    </row>
    <row r="56" ht="14.25">
      <c r="A56" s="872" t="s">
        <v>51</v>
      </c>
      <c r="B56" s="875"/>
      <c r="C56" s="875" t="s">
        <v>33</v>
      </c>
      <c r="D56" s="875"/>
      <c r="E56" s="875" t="s">
        <v>33</v>
      </c>
      <c r="F56" s="875"/>
      <c r="G56" s="875" t="s">
        <v>33</v>
      </c>
      <c r="H56" s="875"/>
      <c r="I56" s="875" t="s">
        <v>33</v>
      </c>
      <c r="J56" s="875"/>
      <c r="K56" s="875" t="s">
        <v>33</v>
      </c>
      <c r="L56" s="875"/>
      <c r="M56" s="875"/>
      <c r="N56" s="874"/>
      <c r="O56" s="874"/>
      <c r="P56" s="859">
        <f t="shared" si="169"/>
        <v>40</v>
      </c>
      <c r="Q56" s="849">
        <f t="shared" si="171"/>
        <v>68</v>
      </c>
      <c r="R56" s="860" t="s">
        <v>51</v>
      </c>
      <c r="S56" s="861" t="s">
        <v>10</v>
      </c>
      <c r="T56" s="862" t="s">
        <v>9</v>
      </c>
      <c r="U56" s="849">
        <v>0</v>
      </c>
      <c r="V56" s="849">
        <v>0</v>
      </c>
      <c r="W56" s="849"/>
      <c r="X56" s="863" t="s">
        <v>34</v>
      </c>
      <c r="Y56" s="864"/>
    </row>
    <row r="57" ht="14.25">
      <c r="A57" s="860"/>
      <c r="B57" s="850" t="s">
        <v>104</v>
      </c>
      <c r="C57" s="850"/>
      <c r="D57" s="850" t="s">
        <v>105</v>
      </c>
      <c r="E57" s="850"/>
      <c r="F57" s="850" t="s">
        <v>106</v>
      </c>
      <c r="G57" s="850"/>
      <c r="H57" s="850" t="s">
        <v>107</v>
      </c>
      <c r="I57" s="850"/>
      <c r="J57" s="850" t="s">
        <v>108</v>
      </c>
      <c r="K57" s="850"/>
      <c r="L57" s="850" t="s">
        <v>109</v>
      </c>
      <c r="M57" s="850"/>
      <c r="N57" s="850" t="s">
        <v>110</v>
      </c>
      <c r="O57" s="851"/>
      <c r="P57" s="900"/>
      <c r="Q57" s="849"/>
      <c r="R57" s="860"/>
      <c r="S57" s="858"/>
      <c r="T57" s="858"/>
      <c r="U57" s="853" t="s">
        <v>27</v>
      </c>
      <c r="V57" s="854" t="s">
        <v>28</v>
      </c>
      <c r="W57" s="849" t="s">
        <v>29</v>
      </c>
      <c r="X57" s="895"/>
      <c r="Y57" s="816"/>
    </row>
    <row r="58" ht="15">
      <c r="A58" s="881"/>
      <c r="B58" s="836"/>
      <c r="C58" s="836"/>
      <c r="D58" s="836"/>
      <c r="E58" s="836"/>
      <c r="F58" s="836"/>
      <c r="G58" s="836"/>
      <c r="H58" s="836"/>
      <c r="I58" s="836"/>
      <c r="J58" s="836"/>
      <c r="K58" s="836"/>
      <c r="L58" s="836"/>
      <c r="M58" s="836"/>
      <c r="N58" s="836"/>
      <c r="O58" s="836"/>
      <c r="P58" s="881"/>
      <c r="Q58" s="881"/>
      <c r="R58" s="881"/>
      <c r="S58" s="836"/>
      <c r="T58" s="901"/>
      <c r="U58" s="902"/>
      <c r="V58" s="902"/>
      <c r="W58" s="902"/>
      <c r="X58" s="816"/>
      <c r="Y58" s="816"/>
    </row>
    <row r="59" ht="14.25">
      <c r="A59" s="849"/>
      <c r="B59" s="841" t="s">
        <v>17</v>
      </c>
      <c r="C59" s="896"/>
      <c r="D59" s="841" t="s">
        <v>18</v>
      </c>
      <c r="E59" s="896"/>
      <c r="F59" s="841" t="s">
        <v>19</v>
      </c>
      <c r="G59" s="841"/>
      <c r="H59" s="841" t="s">
        <v>20</v>
      </c>
      <c r="I59" s="896"/>
      <c r="J59" s="843" t="s">
        <v>21</v>
      </c>
      <c r="K59" s="843"/>
      <c r="L59" s="841" t="s">
        <v>22</v>
      </c>
      <c r="M59" s="841"/>
      <c r="N59" s="841" t="s">
        <v>23</v>
      </c>
      <c r="O59" s="841"/>
      <c r="P59" s="845" t="s">
        <v>24</v>
      </c>
      <c r="Q59" s="846"/>
      <c r="R59" s="849"/>
      <c r="S59" s="858"/>
      <c r="T59" s="858"/>
      <c r="U59" s="849"/>
      <c r="V59" s="849"/>
      <c r="W59" s="849"/>
      <c r="X59" s="848"/>
      <c r="Y59" s="816"/>
    </row>
    <row r="60" ht="14.25">
      <c r="A60" s="849"/>
      <c r="B60" s="850" t="s">
        <v>112</v>
      </c>
      <c r="C60" s="850"/>
      <c r="D60" s="850" t="s">
        <v>113</v>
      </c>
      <c r="E60" s="850"/>
      <c r="F60" s="850" t="s">
        <v>114</v>
      </c>
      <c r="G60" s="850"/>
      <c r="H60" s="850" t="s">
        <v>115</v>
      </c>
      <c r="I60" s="850"/>
      <c r="J60" s="850" t="s">
        <v>116</v>
      </c>
      <c r="K60" s="850"/>
      <c r="L60" s="850" t="s">
        <v>117</v>
      </c>
      <c r="M60" s="850"/>
      <c r="N60" s="850" t="s">
        <v>118</v>
      </c>
      <c r="O60" s="851"/>
      <c r="P60" s="852" t="s">
        <v>25</v>
      </c>
      <c r="Q60" s="852" t="s">
        <v>26</v>
      </c>
      <c r="R60" s="849"/>
      <c r="S60" s="858"/>
      <c r="T60" s="858"/>
      <c r="U60" s="853" t="s">
        <v>27</v>
      </c>
      <c r="V60" s="854" t="s">
        <v>28</v>
      </c>
      <c r="W60" s="849" t="s">
        <v>29</v>
      </c>
      <c r="X60" s="855" t="s">
        <v>30</v>
      </c>
      <c r="Y60" s="816"/>
    </row>
    <row r="61" ht="14.25">
      <c r="A61" s="856" t="s">
        <v>31</v>
      </c>
      <c r="B61" s="857" t="s">
        <v>32</v>
      </c>
      <c r="C61" s="857" t="s">
        <v>33</v>
      </c>
      <c r="D61" s="857" t="s">
        <v>32</v>
      </c>
      <c r="E61" s="857" t="s">
        <v>33</v>
      </c>
      <c r="F61" s="857" t="s">
        <v>32</v>
      </c>
      <c r="G61" s="857" t="s">
        <v>33</v>
      </c>
      <c r="H61" s="857" t="s">
        <v>32</v>
      </c>
      <c r="I61" s="857" t="s">
        <v>33</v>
      </c>
      <c r="J61" s="857" t="s">
        <v>32</v>
      </c>
      <c r="K61" s="857" t="s">
        <v>33</v>
      </c>
      <c r="L61" s="858"/>
      <c r="M61" s="858"/>
      <c r="N61" s="858"/>
      <c r="O61" s="858"/>
      <c r="P61" s="859">
        <f t="shared" si="169"/>
        <v>40</v>
      </c>
      <c r="Q61" s="849">
        <f t="shared" si="171"/>
        <v>16</v>
      </c>
      <c r="R61" s="860" t="s">
        <v>31</v>
      </c>
      <c r="S61" s="861" t="s">
        <v>10</v>
      </c>
      <c r="T61" s="862" t="s">
        <v>9</v>
      </c>
      <c r="U61" s="849">
        <v>0</v>
      </c>
      <c r="V61" s="849">
        <v>0</v>
      </c>
      <c r="W61" s="849"/>
      <c r="X61" s="863" t="s">
        <v>34</v>
      </c>
      <c r="Y61" s="864"/>
    </row>
    <row r="62" ht="14.25">
      <c r="A62" s="865" t="s">
        <v>35</v>
      </c>
      <c r="B62" s="857" t="s">
        <v>32</v>
      </c>
      <c r="C62" s="857" t="s">
        <v>33</v>
      </c>
      <c r="D62" s="857" t="s">
        <v>32</v>
      </c>
      <c r="E62" s="857" t="s">
        <v>33</v>
      </c>
      <c r="F62" s="857" t="s">
        <v>32</v>
      </c>
      <c r="G62" s="857" t="s">
        <v>33</v>
      </c>
      <c r="H62" s="857" t="s">
        <v>32</v>
      </c>
      <c r="I62" s="857" t="s">
        <v>72</v>
      </c>
      <c r="J62" s="857" t="s">
        <v>32</v>
      </c>
      <c r="K62" s="857" t="s">
        <v>33</v>
      </c>
      <c r="L62" s="858"/>
      <c r="M62" s="858"/>
      <c r="N62" s="858"/>
      <c r="O62" s="858"/>
      <c r="P62" s="859">
        <f t="shared" si="169"/>
        <v>40.5</v>
      </c>
      <c r="Q62" s="849">
        <f t="shared" si="171"/>
        <v>14</v>
      </c>
      <c r="R62" s="860" t="s">
        <v>35</v>
      </c>
      <c r="S62" s="866" t="s">
        <v>10</v>
      </c>
      <c r="T62" s="867" t="s">
        <v>9</v>
      </c>
      <c r="U62" s="849">
        <v>0</v>
      </c>
      <c r="V62" s="849">
        <v>0</v>
      </c>
      <c r="W62" s="849"/>
      <c r="X62" s="863" t="s">
        <v>34</v>
      </c>
      <c r="Y62" s="864"/>
    </row>
    <row r="63" ht="14.25">
      <c r="A63" s="856" t="s">
        <v>39</v>
      </c>
      <c r="B63" s="857" t="s">
        <v>32</v>
      </c>
      <c r="C63" s="857" t="s">
        <v>33</v>
      </c>
      <c r="D63" s="857" t="s">
        <v>32</v>
      </c>
      <c r="E63" s="857" t="s">
        <v>33</v>
      </c>
      <c r="F63" s="857" t="s">
        <v>32</v>
      </c>
      <c r="G63" s="857" t="s">
        <v>33</v>
      </c>
      <c r="H63" s="857" t="s">
        <v>32</v>
      </c>
      <c r="I63" s="857" t="s">
        <v>33</v>
      </c>
      <c r="J63" s="857" t="s">
        <v>32</v>
      </c>
      <c r="K63" s="857" t="s">
        <v>33</v>
      </c>
      <c r="L63" s="858"/>
      <c r="M63" s="858"/>
      <c r="N63" s="858"/>
      <c r="O63" s="858"/>
      <c r="P63" s="859">
        <f t="shared" si="169"/>
        <v>40</v>
      </c>
      <c r="Q63" s="849">
        <f t="shared" si="171"/>
        <v>16</v>
      </c>
      <c r="R63" s="860" t="s">
        <v>39</v>
      </c>
      <c r="S63" s="866" t="s">
        <v>10</v>
      </c>
      <c r="T63" s="867" t="s">
        <v>9</v>
      </c>
      <c r="U63" s="849">
        <v>0</v>
      </c>
      <c r="V63" s="849">
        <v>0</v>
      </c>
      <c r="W63" s="849"/>
      <c r="X63" s="868" t="s">
        <v>34</v>
      </c>
      <c r="Y63" s="864"/>
    </row>
    <row r="64" ht="14.25">
      <c r="A64" s="856" t="s">
        <v>40</v>
      </c>
      <c r="B64" s="857" t="s">
        <v>32</v>
      </c>
      <c r="C64" s="857" t="s">
        <v>33</v>
      </c>
      <c r="D64" s="857" t="s">
        <v>32</v>
      </c>
      <c r="E64" s="857" t="s">
        <v>33</v>
      </c>
      <c r="F64" s="857" t="s">
        <v>32</v>
      </c>
      <c r="G64" s="857" t="s">
        <v>33</v>
      </c>
      <c r="H64" s="857" t="s">
        <v>32</v>
      </c>
      <c r="I64" s="857" t="s">
        <v>33</v>
      </c>
      <c r="J64" s="857" t="s">
        <v>32</v>
      </c>
      <c r="K64" s="857" t="s">
        <v>33</v>
      </c>
      <c r="L64" s="858"/>
      <c r="M64" s="858"/>
      <c r="N64" s="858"/>
      <c r="O64" s="858"/>
      <c r="P64" s="859">
        <f t="shared" si="169"/>
        <v>40</v>
      </c>
      <c r="Q64" s="849">
        <f t="shared" si="171"/>
        <v>16</v>
      </c>
      <c r="R64" s="860" t="s">
        <v>40</v>
      </c>
      <c r="S64" s="866" t="s">
        <v>10</v>
      </c>
      <c r="T64" s="867" t="s">
        <v>9</v>
      </c>
      <c r="U64" s="849">
        <v>0</v>
      </c>
      <c r="V64" s="849">
        <v>0</v>
      </c>
      <c r="W64" s="849"/>
      <c r="X64" s="863" t="s">
        <v>38</v>
      </c>
      <c r="Y64" s="864"/>
    </row>
    <row r="65" ht="15">
      <c r="A65" s="856" t="s">
        <v>42</v>
      </c>
      <c r="B65" s="903" t="s">
        <v>32</v>
      </c>
      <c r="C65" s="903" t="s">
        <v>33</v>
      </c>
      <c r="D65" s="857" t="s">
        <v>32</v>
      </c>
      <c r="E65" s="857" t="s">
        <v>33</v>
      </c>
      <c r="F65" s="857" t="s">
        <v>32</v>
      </c>
      <c r="G65" s="857" t="s">
        <v>33</v>
      </c>
      <c r="H65" s="857" t="s">
        <v>32</v>
      </c>
      <c r="I65" s="857" t="s">
        <v>33</v>
      </c>
      <c r="J65" s="857" t="s">
        <v>32</v>
      </c>
      <c r="K65" s="857" t="s">
        <v>33</v>
      </c>
      <c r="L65" s="904"/>
      <c r="M65" s="904"/>
      <c r="N65" s="904"/>
      <c r="O65" s="904"/>
      <c r="P65" s="859">
        <f t="shared" si="169"/>
        <v>40</v>
      </c>
      <c r="Q65" s="849">
        <f t="shared" si="171"/>
        <v>16</v>
      </c>
      <c r="R65" s="860" t="s">
        <v>42</v>
      </c>
      <c r="S65" s="866" t="s">
        <v>10</v>
      </c>
      <c r="T65" s="867" t="s">
        <v>9</v>
      </c>
      <c r="U65" s="849"/>
      <c r="V65" s="849"/>
      <c r="W65" s="849"/>
      <c r="X65" s="863" t="s">
        <v>38</v>
      </c>
      <c r="Y65" s="864"/>
    </row>
    <row r="66" ht="15">
      <c r="A66" s="870" t="s">
        <v>43</v>
      </c>
      <c r="B66" s="873"/>
      <c r="C66" s="873" t="s">
        <v>4</v>
      </c>
      <c r="D66" s="858"/>
      <c r="E66" s="858"/>
      <c r="F66" s="858"/>
      <c r="G66" s="858"/>
      <c r="H66" s="873"/>
      <c r="I66" s="873" t="s">
        <v>33</v>
      </c>
      <c r="J66" s="867"/>
      <c r="K66" s="867" t="s">
        <v>4</v>
      </c>
      <c r="L66" s="836"/>
      <c r="M66" s="836"/>
      <c r="N66" s="858"/>
      <c r="O66" s="858"/>
      <c r="P66" s="859">
        <f t="shared" si="169"/>
        <v>32</v>
      </c>
      <c r="Q66" s="849">
        <f t="shared" si="171"/>
        <v>24</v>
      </c>
      <c r="R66" s="860" t="s">
        <v>43</v>
      </c>
      <c r="S66" s="861" t="s">
        <v>12</v>
      </c>
      <c r="T66" s="862" t="s">
        <v>11</v>
      </c>
      <c r="U66" s="849">
        <v>0</v>
      </c>
      <c r="V66" s="849">
        <v>0</v>
      </c>
      <c r="W66" s="849"/>
      <c r="X66" s="863" t="s">
        <v>44</v>
      </c>
      <c r="Y66" s="869"/>
    </row>
    <row r="67" ht="15">
      <c r="A67" s="870" t="s">
        <v>45</v>
      </c>
      <c r="B67" s="866"/>
      <c r="C67" s="866" t="s">
        <v>4</v>
      </c>
      <c r="D67" s="866"/>
      <c r="E67" s="866" t="s">
        <v>4</v>
      </c>
      <c r="F67" s="892"/>
      <c r="G67" s="892"/>
      <c r="H67" s="836"/>
      <c r="I67" s="836"/>
      <c r="J67" s="858"/>
      <c r="K67" s="858"/>
      <c r="L67" s="873"/>
      <c r="M67" s="873" t="s">
        <v>4</v>
      </c>
      <c r="N67" s="867"/>
      <c r="O67" s="867" t="s">
        <v>4</v>
      </c>
      <c r="P67" s="859">
        <f t="shared" si="169"/>
        <v>48</v>
      </c>
      <c r="Q67" s="849">
        <f t="shared" si="171"/>
        <v>20</v>
      </c>
      <c r="R67" s="860" t="s">
        <v>45</v>
      </c>
      <c r="S67" s="866" t="s">
        <v>10</v>
      </c>
      <c r="T67" s="867" t="s">
        <v>9</v>
      </c>
      <c r="U67" s="849">
        <v>0</v>
      </c>
      <c r="V67" s="849">
        <v>0</v>
      </c>
      <c r="W67" s="849"/>
      <c r="X67" s="863" t="s">
        <v>34</v>
      </c>
      <c r="Y67" s="864"/>
    </row>
    <row r="68" ht="15">
      <c r="A68" s="870" t="s">
        <v>46</v>
      </c>
      <c r="B68" s="898"/>
      <c r="C68" s="898" t="s">
        <v>33</v>
      </c>
      <c r="D68" s="898"/>
      <c r="E68" s="898" t="s">
        <v>33</v>
      </c>
      <c r="F68" s="898"/>
      <c r="G68" s="898" t="s">
        <v>33</v>
      </c>
      <c r="H68" s="898"/>
      <c r="I68" s="898" t="s">
        <v>33</v>
      </c>
      <c r="J68" s="898"/>
      <c r="K68" s="898" t="s">
        <v>33</v>
      </c>
      <c r="L68" s="898"/>
      <c r="M68" s="898"/>
      <c r="N68" s="898"/>
      <c r="O68" s="898"/>
      <c r="P68" s="859">
        <f t="shared" si="169"/>
        <v>40</v>
      </c>
      <c r="Q68" s="849">
        <f t="shared" si="171"/>
        <v>16</v>
      </c>
      <c r="R68" s="860" t="s">
        <v>46</v>
      </c>
      <c r="S68" s="866" t="s">
        <v>10</v>
      </c>
      <c r="T68" s="867" t="s">
        <v>9</v>
      </c>
      <c r="U68" s="849">
        <v>0</v>
      </c>
      <c r="V68" s="849">
        <v>0</v>
      </c>
      <c r="W68" s="849"/>
      <c r="X68" s="863" t="s">
        <v>34</v>
      </c>
      <c r="Y68" s="864"/>
    </row>
    <row r="69" ht="15">
      <c r="A69" s="870" t="s">
        <v>47</v>
      </c>
      <c r="B69" s="858"/>
      <c r="C69" s="858"/>
      <c r="D69" s="867"/>
      <c r="E69" s="867" t="s">
        <v>4</v>
      </c>
      <c r="F69" s="867"/>
      <c r="G69" s="867" t="s">
        <v>33</v>
      </c>
      <c r="H69" s="858"/>
      <c r="I69" s="858"/>
      <c r="J69" s="866"/>
      <c r="K69" s="866" t="s">
        <v>4</v>
      </c>
      <c r="L69" s="858"/>
      <c r="M69" s="858"/>
      <c r="N69" s="871"/>
      <c r="O69" s="871"/>
      <c r="P69" s="859">
        <f t="shared" si="169"/>
        <v>32</v>
      </c>
      <c r="Q69" s="849">
        <f t="shared" si="171"/>
        <v>36</v>
      </c>
      <c r="R69" s="860" t="s">
        <v>47</v>
      </c>
      <c r="S69" s="866" t="s">
        <v>10</v>
      </c>
      <c r="T69" s="867" t="s">
        <v>9</v>
      </c>
      <c r="U69" s="849">
        <v>0</v>
      </c>
      <c r="V69" s="849">
        <v>0</v>
      </c>
      <c r="W69" s="849"/>
      <c r="X69" s="863" t="s">
        <v>34</v>
      </c>
      <c r="Y69" s="864"/>
    </row>
    <row r="70" ht="15">
      <c r="A70" s="870" t="s">
        <v>48</v>
      </c>
      <c r="B70" s="858"/>
      <c r="C70" s="858"/>
      <c r="D70" s="871"/>
      <c r="E70" s="871"/>
      <c r="F70" s="866"/>
      <c r="G70" s="866" t="s">
        <v>4</v>
      </c>
      <c r="H70" s="866"/>
      <c r="I70" s="866" t="s">
        <v>4</v>
      </c>
      <c r="J70" s="836"/>
      <c r="K70" s="836"/>
      <c r="L70" s="866"/>
      <c r="M70" s="866" t="s">
        <v>4</v>
      </c>
      <c r="N70" s="866"/>
      <c r="O70" s="866" t="s">
        <v>4</v>
      </c>
      <c r="P70" s="859">
        <f t="shared" si="169"/>
        <v>48</v>
      </c>
      <c r="Q70" s="849">
        <f t="shared" si="171"/>
        <v>24</v>
      </c>
      <c r="R70" s="860" t="s">
        <v>48</v>
      </c>
      <c r="S70" s="861" t="s">
        <v>8</v>
      </c>
      <c r="T70" s="862" t="s">
        <v>7</v>
      </c>
      <c r="U70" s="849">
        <v>0</v>
      </c>
      <c r="V70" s="849">
        <v>0</v>
      </c>
      <c r="W70" s="849"/>
      <c r="X70" s="863" t="s">
        <v>49</v>
      </c>
      <c r="Y70" s="864"/>
    </row>
    <row r="71" ht="15">
      <c r="A71" s="870" t="s">
        <v>50</v>
      </c>
      <c r="B71" s="819"/>
      <c r="C71" s="819" t="s">
        <v>4</v>
      </c>
      <c r="D71" s="891"/>
      <c r="E71" s="891"/>
      <c r="F71" s="898"/>
      <c r="G71" s="898" t="s">
        <v>33</v>
      </c>
      <c r="H71" s="898"/>
      <c r="I71" s="898" t="s">
        <v>33</v>
      </c>
      <c r="J71" s="905"/>
      <c r="K71" s="905" t="s">
        <v>33</v>
      </c>
      <c r="L71" s="905"/>
      <c r="M71" s="905"/>
      <c r="N71" s="898"/>
      <c r="O71" s="898"/>
      <c r="P71" s="859">
        <f t="shared" si="169"/>
        <v>36</v>
      </c>
      <c r="Q71" s="849">
        <f t="shared" si="171"/>
        <v>16</v>
      </c>
      <c r="R71" s="860" t="s">
        <v>50</v>
      </c>
      <c r="S71" s="861" t="s">
        <v>12</v>
      </c>
      <c r="T71" s="862" t="s">
        <v>11</v>
      </c>
      <c r="U71" s="849">
        <v>0</v>
      </c>
      <c r="V71" s="849">
        <v>0</v>
      </c>
      <c r="W71" s="849"/>
      <c r="X71" s="863" t="s">
        <v>44</v>
      </c>
      <c r="Y71" s="864"/>
    </row>
    <row r="72" ht="15">
      <c r="A72" s="872" t="s">
        <v>51</v>
      </c>
      <c r="B72" s="875"/>
      <c r="C72" s="875" t="s">
        <v>33</v>
      </c>
      <c r="D72" s="874"/>
      <c r="E72" s="874" t="s">
        <v>33</v>
      </c>
      <c r="F72" s="875"/>
      <c r="G72" s="875" t="s">
        <v>33</v>
      </c>
      <c r="H72" s="893"/>
      <c r="I72" s="893" t="s">
        <v>33</v>
      </c>
      <c r="J72" s="906"/>
      <c r="K72" s="906"/>
      <c r="L72" s="907"/>
      <c r="M72" s="907"/>
      <c r="N72" s="907"/>
      <c r="O72" s="908"/>
      <c r="P72" s="859">
        <f t="shared" si="169"/>
        <v>32</v>
      </c>
      <c r="Q72" s="849">
        <f t="shared" si="171"/>
        <v>36</v>
      </c>
      <c r="R72" s="860" t="s">
        <v>51</v>
      </c>
      <c r="S72" s="861" t="s">
        <v>10</v>
      </c>
      <c r="T72" s="862" t="s">
        <v>9</v>
      </c>
      <c r="U72" s="849">
        <v>0</v>
      </c>
      <c r="V72" s="849">
        <v>0</v>
      </c>
      <c r="W72" s="849"/>
      <c r="X72" s="863" t="s">
        <v>34</v>
      </c>
      <c r="Y72" s="864"/>
    </row>
    <row r="73" ht="15">
      <c r="A73" s="849"/>
      <c r="B73" s="850" t="s">
        <v>112</v>
      </c>
      <c r="C73" s="850"/>
      <c r="D73" s="850" t="s">
        <v>113</v>
      </c>
      <c r="E73" s="850"/>
      <c r="F73" s="850" t="s">
        <v>114</v>
      </c>
      <c r="G73" s="850"/>
      <c r="H73" s="850" t="s">
        <v>115</v>
      </c>
      <c r="I73" s="850"/>
      <c r="J73" s="850" t="s">
        <v>116</v>
      </c>
      <c r="K73" s="850"/>
      <c r="L73" s="850" t="s">
        <v>117</v>
      </c>
      <c r="M73" s="850"/>
      <c r="N73" s="850" t="s">
        <v>118</v>
      </c>
      <c r="O73" s="851"/>
      <c r="P73" s="900"/>
      <c r="Q73" s="849"/>
      <c r="R73" s="860"/>
      <c r="S73" s="858"/>
      <c r="T73" s="858"/>
      <c r="U73" s="853" t="s">
        <v>27</v>
      </c>
      <c r="V73" s="854" t="s">
        <v>28</v>
      </c>
      <c r="W73" s="849" t="s">
        <v>29</v>
      </c>
      <c r="X73" s="895"/>
      <c r="Y73" s="816"/>
    </row>
    <row r="74" ht="15">
      <c r="A74" s="909"/>
      <c r="B74" s="827"/>
      <c r="C74" s="827"/>
      <c r="D74" s="827"/>
      <c r="E74" s="827"/>
      <c r="F74" s="827"/>
      <c r="G74" s="827"/>
      <c r="H74" s="827"/>
      <c r="I74" s="827"/>
      <c r="J74" s="827"/>
      <c r="K74" s="827"/>
      <c r="L74" s="827"/>
      <c r="M74" s="827"/>
      <c r="N74" s="827"/>
      <c r="O74" s="827"/>
      <c r="P74" s="909"/>
      <c r="Q74" s="902"/>
      <c r="R74" s="909"/>
      <c r="S74" s="827"/>
      <c r="T74" s="827"/>
      <c r="U74" s="902"/>
      <c r="V74" s="902"/>
      <c r="W74" s="902"/>
      <c r="X74" s="816"/>
      <c r="Y74" s="816"/>
    </row>
    <row r="75" ht="15">
      <c r="A75" s="849"/>
      <c r="B75" s="841" t="s">
        <v>17</v>
      </c>
      <c r="C75" s="896"/>
      <c r="D75" s="841" t="s">
        <v>18</v>
      </c>
      <c r="E75" s="896"/>
      <c r="F75" s="841" t="s">
        <v>19</v>
      </c>
      <c r="G75" s="841"/>
      <c r="H75" s="841" t="s">
        <v>20</v>
      </c>
      <c r="I75" s="896"/>
      <c r="J75" s="843" t="s">
        <v>21</v>
      </c>
      <c r="K75" s="843"/>
      <c r="L75" s="841" t="s">
        <v>22</v>
      </c>
      <c r="M75" s="841"/>
      <c r="N75" s="841" t="s">
        <v>23</v>
      </c>
      <c r="O75" s="841"/>
      <c r="P75" s="845" t="s">
        <v>24</v>
      </c>
      <c r="Q75" s="846"/>
      <c r="R75" s="849"/>
      <c r="S75" s="858"/>
      <c r="T75" s="858"/>
      <c r="U75" s="849"/>
      <c r="V75" s="849"/>
      <c r="W75" s="849"/>
      <c r="X75" s="848"/>
      <c r="Y75" s="816"/>
    </row>
    <row r="76" ht="15">
      <c r="A76" s="849"/>
      <c r="B76" s="850" t="s">
        <v>119</v>
      </c>
      <c r="C76" s="850"/>
      <c r="D76" s="850" t="s">
        <v>120</v>
      </c>
      <c r="E76" s="850"/>
      <c r="F76" s="910" t="s">
        <v>121</v>
      </c>
      <c r="G76" s="910"/>
      <c r="H76" s="850" t="s">
        <v>122</v>
      </c>
      <c r="I76" s="850"/>
      <c r="J76" s="850" t="s">
        <v>123</v>
      </c>
      <c r="K76" s="850"/>
      <c r="L76" s="850" t="s">
        <v>124</v>
      </c>
      <c r="M76" s="850"/>
      <c r="N76" s="850" t="s">
        <v>125</v>
      </c>
      <c r="O76" s="851"/>
      <c r="P76" s="852" t="s">
        <v>25</v>
      </c>
      <c r="Q76" s="852" t="s">
        <v>26</v>
      </c>
      <c r="R76" s="849"/>
      <c r="S76" s="858"/>
      <c r="T76" s="858"/>
      <c r="U76" s="853" t="s">
        <v>27</v>
      </c>
      <c r="V76" s="854" t="s">
        <v>28</v>
      </c>
      <c r="W76" s="849" t="s">
        <v>29</v>
      </c>
      <c r="X76" s="855" t="s">
        <v>30</v>
      </c>
      <c r="Y76" s="816"/>
    </row>
    <row r="77" ht="15">
      <c r="A77" s="856" t="s">
        <v>31</v>
      </c>
      <c r="B77" s="857" t="s">
        <v>32</v>
      </c>
      <c r="C77" s="857" t="s">
        <v>33</v>
      </c>
      <c r="D77" s="857" t="s">
        <v>32</v>
      </c>
      <c r="E77" s="857" t="s">
        <v>33</v>
      </c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9">
        <f t="shared" ref="P76:P81" si="172">C77+E77+G77+I77+K77+M77+O77</f>
        <v>16</v>
      </c>
      <c r="Q77" s="849">
        <f t="shared" si="171"/>
        <v>0</v>
      </c>
      <c r="R77" s="860" t="s">
        <v>31</v>
      </c>
      <c r="S77" s="861" t="s">
        <v>10</v>
      </c>
      <c r="T77" s="862" t="s">
        <v>9</v>
      </c>
      <c r="U77" s="849">
        <v>0</v>
      </c>
      <c r="V77" s="849">
        <v>0</v>
      </c>
      <c r="W77" s="849"/>
      <c r="X77" s="863" t="s">
        <v>34</v>
      </c>
      <c r="Y77" s="864"/>
    </row>
    <row r="78" ht="15">
      <c r="A78" s="856" t="s">
        <v>35</v>
      </c>
      <c r="B78" s="857" t="s">
        <v>32</v>
      </c>
      <c r="C78" s="857" t="s">
        <v>53</v>
      </c>
      <c r="D78" s="857" t="s">
        <v>32</v>
      </c>
      <c r="E78" s="857" t="s">
        <v>33</v>
      </c>
      <c r="F78" s="858"/>
      <c r="G78" s="858"/>
      <c r="H78" s="858"/>
      <c r="I78" s="858"/>
      <c r="J78" s="858"/>
      <c r="K78" s="858"/>
      <c r="L78" s="858"/>
      <c r="M78" s="858"/>
      <c r="N78" s="858"/>
      <c r="O78" s="858"/>
      <c r="P78" s="859">
        <f t="shared" si="172"/>
        <v>18</v>
      </c>
      <c r="Q78" s="849">
        <f t="shared" si="171"/>
        <v>-4</v>
      </c>
      <c r="R78" s="860" t="s">
        <v>35</v>
      </c>
      <c r="S78" s="866" t="s">
        <v>10</v>
      </c>
      <c r="T78" s="867" t="s">
        <v>9</v>
      </c>
      <c r="U78" s="849">
        <v>0</v>
      </c>
      <c r="V78" s="849">
        <v>0</v>
      </c>
      <c r="W78" s="849"/>
      <c r="X78" s="863" t="s">
        <v>34</v>
      </c>
      <c r="Y78" s="864"/>
    </row>
    <row r="79" ht="15">
      <c r="A79" s="856" t="s">
        <v>39</v>
      </c>
      <c r="B79" s="857" t="s">
        <v>32</v>
      </c>
      <c r="C79" s="857" t="s">
        <v>33</v>
      </c>
      <c r="D79" s="857" t="s">
        <v>32</v>
      </c>
      <c r="E79" s="857" t="s">
        <v>33</v>
      </c>
      <c r="F79" s="858"/>
      <c r="G79" s="858"/>
      <c r="H79" s="858"/>
      <c r="I79" s="858"/>
      <c r="J79" s="858"/>
      <c r="K79" s="858"/>
      <c r="L79" s="858"/>
      <c r="M79" s="858"/>
      <c r="N79" s="858"/>
      <c r="O79" s="858"/>
      <c r="P79" s="859">
        <f t="shared" si="172"/>
        <v>16</v>
      </c>
      <c r="Q79" s="849">
        <f t="shared" si="171"/>
        <v>0</v>
      </c>
      <c r="R79" s="860" t="s">
        <v>39</v>
      </c>
      <c r="S79" s="866" t="s">
        <v>10</v>
      </c>
      <c r="T79" s="867" t="s">
        <v>9</v>
      </c>
      <c r="U79" s="849">
        <v>0</v>
      </c>
      <c r="V79" s="849">
        <v>0</v>
      </c>
      <c r="W79" s="849"/>
      <c r="X79" s="868" t="s">
        <v>34</v>
      </c>
      <c r="Y79" s="864"/>
    </row>
    <row r="80" ht="15">
      <c r="A80" s="856" t="s">
        <v>40</v>
      </c>
      <c r="B80" s="857" t="s">
        <v>32</v>
      </c>
      <c r="C80" s="857" t="s">
        <v>33</v>
      </c>
      <c r="D80" s="857" t="s">
        <v>32</v>
      </c>
      <c r="E80" s="857" t="s">
        <v>33</v>
      </c>
      <c r="F80" s="858"/>
      <c r="G80" s="858"/>
      <c r="H80" s="911"/>
      <c r="I80" s="911"/>
      <c r="J80" s="911"/>
      <c r="K80" s="911"/>
      <c r="L80" s="911"/>
      <c r="M80" s="911"/>
      <c r="N80" s="911"/>
      <c r="O80" s="911"/>
      <c r="P80" s="859">
        <f t="shared" si="172"/>
        <v>16</v>
      </c>
      <c r="Q80" s="849">
        <f t="shared" si="171"/>
        <v>0</v>
      </c>
      <c r="R80" s="860" t="s">
        <v>40</v>
      </c>
      <c r="S80" s="866" t="s">
        <v>10</v>
      </c>
      <c r="T80" s="867" t="s">
        <v>9</v>
      </c>
      <c r="U80" s="849">
        <v>0</v>
      </c>
      <c r="V80" s="849">
        <v>0</v>
      </c>
      <c r="W80" s="849"/>
      <c r="X80" s="863" t="s">
        <v>38</v>
      </c>
      <c r="Y80" s="864"/>
    </row>
    <row r="81" ht="15">
      <c r="A81" s="856" t="s">
        <v>42</v>
      </c>
      <c r="B81" s="857" t="s">
        <v>32</v>
      </c>
      <c r="C81" s="857" t="s">
        <v>33</v>
      </c>
      <c r="D81" s="857" t="s">
        <v>32</v>
      </c>
      <c r="E81" s="857" t="s">
        <v>33</v>
      </c>
      <c r="F81" s="858"/>
      <c r="G81" s="912"/>
      <c r="H81" s="913"/>
      <c r="I81" s="913"/>
      <c r="J81" s="914"/>
      <c r="K81" s="914"/>
      <c r="L81" s="913"/>
      <c r="M81" s="913"/>
      <c r="N81" s="915"/>
      <c r="O81" s="915"/>
      <c r="P81" s="859">
        <f t="shared" si="172"/>
        <v>16</v>
      </c>
      <c r="Q81" s="849">
        <f t="shared" si="171"/>
        <v>0</v>
      </c>
      <c r="R81" s="860" t="s">
        <v>42</v>
      </c>
      <c r="S81" s="866" t="s">
        <v>10</v>
      </c>
      <c r="T81" s="867" t="s">
        <v>9</v>
      </c>
      <c r="U81" s="849"/>
      <c r="V81" s="849"/>
      <c r="W81" s="849"/>
      <c r="X81" s="863" t="s">
        <v>38</v>
      </c>
      <c r="Y81" s="864"/>
    </row>
    <row r="82" ht="15">
      <c r="A82" s="870" t="s">
        <v>43</v>
      </c>
      <c r="B82" s="866"/>
      <c r="C82" s="866" t="s">
        <v>4</v>
      </c>
      <c r="D82" s="866"/>
      <c r="E82" s="866" t="s">
        <v>4</v>
      </c>
      <c r="F82" s="858"/>
      <c r="G82" s="912"/>
      <c r="H82" s="913"/>
      <c r="I82" s="21"/>
      <c r="J82" s="916"/>
      <c r="K82" s="112"/>
      <c r="L82" s="913"/>
      <c r="M82" s="21"/>
      <c r="N82" s="915"/>
      <c r="O82" s="915"/>
      <c r="P82" s="917">
        <f t="shared" ref="P82:P88" si="173">C82+E82+G82+I81+K81+M81+O81</f>
        <v>24</v>
      </c>
      <c r="Q82" s="849">
        <f t="shared" si="171"/>
        <v>0</v>
      </c>
      <c r="R82" s="860" t="s">
        <v>43</v>
      </c>
      <c r="S82" s="861" t="s">
        <v>12</v>
      </c>
      <c r="T82" s="862" t="s">
        <v>11</v>
      </c>
      <c r="U82" s="849">
        <v>0</v>
      </c>
      <c r="V82" s="849">
        <v>0</v>
      </c>
      <c r="W82" s="849"/>
      <c r="X82" s="863" t="s">
        <v>44</v>
      </c>
      <c r="Y82" s="869"/>
    </row>
    <row r="83" ht="15">
      <c r="A83" s="870" t="s">
        <v>45</v>
      </c>
      <c r="B83" s="871"/>
      <c r="C83" s="871"/>
      <c r="D83" s="889"/>
      <c r="E83" s="890" t="s">
        <v>33</v>
      </c>
      <c r="F83" s="871"/>
      <c r="G83" s="918"/>
      <c r="H83" s="919"/>
      <c r="I83" s="919"/>
      <c r="J83" s="920"/>
      <c r="K83" s="921"/>
      <c r="L83" s="273"/>
      <c r="M83" s="915"/>
      <c r="N83" s="112"/>
      <c r="O83" s="916"/>
      <c r="P83" s="917">
        <f t="shared" si="173"/>
        <v>8</v>
      </c>
      <c r="Q83" s="849">
        <f t="shared" si="171"/>
        <v>12</v>
      </c>
      <c r="R83" s="860" t="s">
        <v>45</v>
      </c>
      <c r="S83" s="866" t="s">
        <v>10</v>
      </c>
      <c r="T83" s="867" t="s">
        <v>9</v>
      </c>
      <c r="U83" s="849">
        <v>0</v>
      </c>
      <c r="V83" s="849">
        <v>0</v>
      </c>
      <c r="W83" s="849"/>
      <c r="X83" s="863" t="s">
        <v>34</v>
      </c>
      <c r="Y83" s="864"/>
    </row>
    <row r="84" ht="15">
      <c r="A84" s="870" t="s">
        <v>46</v>
      </c>
      <c r="B84" s="898"/>
      <c r="C84" s="898" t="s">
        <v>33</v>
      </c>
      <c r="D84" s="898"/>
      <c r="E84" s="898" t="s">
        <v>33</v>
      </c>
      <c r="F84" s="898"/>
      <c r="G84" s="922"/>
      <c r="H84" s="913"/>
      <c r="I84" s="21"/>
      <c r="J84" s="919"/>
      <c r="K84" s="89"/>
      <c r="L84" s="919"/>
      <c r="M84" s="89"/>
      <c r="N84" s="915"/>
      <c r="O84" s="915"/>
      <c r="P84" s="917">
        <f t="shared" si="173"/>
        <v>16</v>
      </c>
      <c r="Q84" s="849">
        <f t="shared" si="171"/>
        <v>0</v>
      </c>
      <c r="R84" s="860" t="s">
        <v>46</v>
      </c>
      <c r="S84" s="866" t="s">
        <v>10</v>
      </c>
      <c r="T84" s="867" t="s">
        <v>9</v>
      </c>
      <c r="U84" s="849">
        <v>0</v>
      </c>
      <c r="V84" s="849">
        <v>0</v>
      </c>
      <c r="W84" s="849"/>
      <c r="X84" s="863" t="s">
        <v>34</v>
      </c>
      <c r="Y84" s="864"/>
    </row>
    <row r="85" ht="15">
      <c r="A85" s="870" t="s">
        <v>47</v>
      </c>
      <c r="B85" s="871"/>
      <c r="C85" s="871"/>
      <c r="D85" s="871"/>
      <c r="E85" s="871"/>
      <c r="F85" s="858"/>
      <c r="G85" s="912"/>
      <c r="H85" s="923"/>
      <c r="I85" s="923"/>
      <c r="J85" s="273"/>
      <c r="K85" s="915"/>
      <c r="L85" s="89"/>
      <c r="M85" s="919"/>
      <c r="N85" s="89"/>
      <c r="O85" s="919"/>
      <c r="P85" s="917">
        <f t="shared" si="173"/>
        <v>0</v>
      </c>
      <c r="Q85" s="849">
        <f t="shared" si="171"/>
        <v>36</v>
      </c>
      <c r="R85" s="860" t="s">
        <v>47</v>
      </c>
      <c r="S85" s="866" t="s">
        <v>10</v>
      </c>
      <c r="T85" s="867" t="s">
        <v>9</v>
      </c>
      <c r="U85" s="849">
        <v>0</v>
      </c>
      <c r="V85" s="849">
        <v>0</v>
      </c>
      <c r="W85" s="849"/>
      <c r="X85" s="863" t="s">
        <v>34</v>
      </c>
      <c r="Y85" s="864"/>
    </row>
    <row r="86" ht="15">
      <c r="A86" s="870" t="s">
        <v>48</v>
      </c>
      <c r="B86" s="866"/>
      <c r="C86" s="866" t="s">
        <v>4</v>
      </c>
      <c r="D86" s="858"/>
      <c r="E86" s="858"/>
      <c r="F86" s="867"/>
      <c r="G86" s="924" t="s">
        <v>4</v>
      </c>
      <c r="H86" s="916"/>
      <c r="I86" s="112"/>
      <c r="J86" s="925"/>
      <c r="K86" s="302"/>
      <c r="L86" s="915"/>
      <c r="M86" s="273"/>
      <c r="N86" s="919"/>
      <c r="O86" s="919"/>
      <c r="P86" s="917">
        <f t="shared" si="173"/>
        <v>24</v>
      </c>
      <c r="Q86" s="849">
        <f t="shared" si="171"/>
        <v>0</v>
      </c>
      <c r="R86" s="860" t="s">
        <v>48</v>
      </c>
      <c r="S86" s="861" t="s">
        <v>8</v>
      </c>
      <c r="T86" s="862" t="s">
        <v>7</v>
      </c>
      <c r="U86" s="849">
        <v>0</v>
      </c>
      <c r="V86" s="849">
        <v>0</v>
      </c>
      <c r="W86" s="849"/>
      <c r="X86" s="863" t="s">
        <v>49</v>
      </c>
      <c r="Y86" s="864"/>
    </row>
    <row r="87" ht="15">
      <c r="A87" s="870" t="s">
        <v>50</v>
      </c>
      <c r="B87" s="898"/>
      <c r="C87" s="898" t="s">
        <v>33</v>
      </c>
      <c r="D87" s="898"/>
      <c r="E87" s="898" t="s">
        <v>33</v>
      </c>
      <c r="F87" s="814"/>
      <c r="G87" s="926"/>
      <c r="H87" s="927"/>
      <c r="I87" s="927"/>
      <c r="J87" s="916"/>
      <c r="K87" s="916"/>
      <c r="L87" s="923"/>
      <c r="M87" s="923"/>
      <c r="N87" s="925"/>
      <c r="O87" s="925"/>
      <c r="P87" s="917">
        <f t="shared" si="173"/>
        <v>16</v>
      </c>
      <c r="Q87" s="849">
        <f t="shared" si="171"/>
        <v>0</v>
      </c>
      <c r="R87" s="860" t="s">
        <v>50</v>
      </c>
      <c r="S87" s="861" t="s">
        <v>12</v>
      </c>
      <c r="T87" s="862" t="s">
        <v>11</v>
      </c>
      <c r="U87" s="849">
        <v>0</v>
      </c>
      <c r="V87" s="849">
        <v>0</v>
      </c>
      <c r="W87" s="849"/>
      <c r="X87" s="863" t="s">
        <v>44</v>
      </c>
      <c r="Y87" s="864"/>
    </row>
    <row r="88" ht="15">
      <c r="A88" s="872" t="s">
        <v>51</v>
      </c>
      <c r="B88" s="906"/>
      <c r="C88" s="906"/>
      <c r="D88" s="906"/>
      <c r="E88" s="906"/>
      <c r="F88" s="928"/>
      <c r="G88" s="929" t="s">
        <v>4</v>
      </c>
      <c r="H88" s="919"/>
      <c r="I88" s="919"/>
      <c r="J88" s="915"/>
      <c r="K88" s="915"/>
      <c r="L88" s="930"/>
      <c r="M88" s="930"/>
      <c r="N88" s="916"/>
      <c r="O88" s="916"/>
      <c r="P88" s="917">
        <f t="shared" si="173"/>
        <v>12</v>
      </c>
      <c r="Q88" s="849">
        <f t="shared" si="171"/>
        <v>24</v>
      </c>
      <c r="R88" s="860" t="s">
        <v>51</v>
      </c>
      <c r="S88" s="861" t="s">
        <v>10</v>
      </c>
      <c r="T88" s="862" t="s">
        <v>9</v>
      </c>
      <c r="U88" s="849">
        <v>0</v>
      </c>
      <c r="V88" s="849">
        <v>0</v>
      </c>
      <c r="W88" s="849"/>
      <c r="X88" s="863" t="s">
        <v>34</v>
      </c>
      <c r="Y88" s="864"/>
    </row>
    <row r="89" ht="15">
      <c r="A89" s="860"/>
      <c r="B89" s="850" t="s">
        <v>119</v>
      </c>
      <c r="C89" s="850"/>
      <c r="D89" s="850" t="s">
        <v>120</v>
      </c>
      <c r="E89" s="850"/>
      <c r="F89" s="910" t="s">
        <v>121</v>
      </c>
      <c r="G89" s="910"/>
      <c r="H89" s="931" t="s">
        <v>122</v>
      </c>
      <c r="I89" s="931"/>
      <c r="J89" s="931" t="s">
        <v>123</v>
      </c>
      <c r="K89" s="931"/>
      <c r="L89" s="931" t="s">
        <v>124</v>
      </c>
      <c r="M89" s="931"/>
      <c r="N89" s="931" t="s">
        <v>125</v>
      </c>
      <c r="O89" s="932"/>
      <c r="P89" s="900"/>
      <c r="Q89" s="849"/>
      <c r="R89" s="860"/>
      <c r="S89" s="858"/>
      <c r="T89" s="858"/>
      <c r="U89" s="853" t="s">
        <v>27</v>
      </c>
      <c r="V89" s="854" t="s">
        <v>28</v>
      </c>
      <c r="W89" s="849" t="s">
        <v>29</v>
      </c>
      <c r="X89" s="895"/>
      <c r="Y89" s="816"/>
    </row>
    <row r="90" ht="15">
      <c r="A90" s="909"/>
      <c r="B90" s="827"/>
      <c r="C90" s="827"/>
      <c r="D90" s="827"/>
      <c r="E90" s="827"/>
      <c r="F90" s="827"/>
      <c r="G90" s="827"/>
      <c r="H90" s="827"/>
      <c r="I90" s="827"/>
      <c r="J90" s="827"/>
      <c r="K90" s="827"/>
      <c r="L90" s="827"/>
      <c r="M90" s="827"/>
      <c r="N90" s="827"/>
      <c r="O90" s="827"/>
      <c r="P90" s="909"/>
      <c r="Q90" s="902"/>
      <c r="R90" s="909"/>
      <c r="S90" s="827"/>
      <c r="T90" s="827"/>
      <c r="U90" s="902"/>
      <c r="V90" s="902"/>
      <c r="W90" s="902"/>
      <c r="X90" s="816"/>
      <c r="Y90" s="816"/>
    </row>
  </sheetData>
  <mergeCells count="11">
    <mergeCell ref="F1:J1"/>
    <mergeCell ref="F2:K5"/>
    <mergeCell ref="A9:Q9"/>
    <mergeCell ref="U9:V9"/>
    <mergeCell ref="P10:Q10"/>
    <mergeCell ref="A26:Q26"/>
    <mergeCell ref="P27:Q27"/>
    <mergeCell ref="A42:Q42"/>
    <mergeCell ref="P43:Q43"/>
    <mergeCell ref="P59:Q59"/>
    <mergeCell ref="P75:Q7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2" zoomScale="100" workbookViewId="0">
      <selection activeCell="A1" activeCellId="0" sqref="A1"/>
    </sheetView>
  </sheetViews>
  <sheetFormatPr defaultRowHeight="15"/>
  <cols>
    <col customWidth="1" min="1" max="1" width="18.44140625"/>
    <col customWidth="1" min="2" max="2" width="12.109375"/>
    <col customWidth="1" min="3" max="3" width="5.109375"/>
    <col customWidth="1" min="4" max="4" width="12.33203125"/>
    <col customWidth="1" min="5" max="5" width="5.109375"/>
    <col customWidth="1" min="6" max="6" width="13.33203125"/>
    <col customWidth="1" min="7" max="7" width="6.109375"/>
    <col customWidth="1" min="8" max="8" width="13.5546875"/>
    <col customWidth="1" min="9" max="9" width="6"/>
    <col customWidth="1" min="10" max="10" width="10.6640625"/>
    <col customWidth="1" min="11" max="11" width="5.88671875"/>
    <col customWidth="1" min="12" max="12" width="11.88671875"/>
    <col customWidth="1" min="13" max="13" width="5.109375"/>
    <col customWidth="1" min="14" max="14" width="11"/>
    <col customWidth="1" min="15" max="15" width="5.88671875"/>
    <col customWidth="1" min="16" max="17" width="9.140625"/>
    <col customWidth="1" min="18" max="18" width="13.33203125"/>
    <col customWidth="1" min="19" max="30" width="9.140625"/>
  </cols>
  <sheetData>
    <row r="1" ht="14.25">
      <c r="A1" s="1" t="s">
        <v>0</v>
      </c>
      <c r="B1" s="2" t="s">
        <v>1</v>
      </c>
      <c r="C1" s="3">
        <v>8</v>
      </c>
      <c r="D1" s="4" t="s">
        <v>1</v>
      </c>
      <c r="E1" s="5">
        <v>8</v>
      </c>
      <c r="F1" s="6" t="s">
        <v>2</v>
      </c>
      <c r="G1" s="6"/>
      <c r="H1" s="6"/>
      <c r="I1" s="6"/>
      <c r="J1" s="6"/>
      <c r="K1" s="7"/>
      <c r="L1" s="8"/>
      <c r="M1" s="8"/>
      <c r="N1" s="8"/>
      <c r="O1" s="9"/>
      <c r="P1" s="9"/>
      <c r="Q1" s="10"/>
      <c r="R1" s="10"/>
      <c r="S1" s="11"/>
      <c r="T1" s="11"/>
      <c r="U1" s="12"/>
      <c r="V1" s="7"/>
      <c r="W1" s="7"/>
      <c r="X1" s="7"/>
      <c r="Y1" s="7"/>
      <c r="Z1" s="13"/>
      <c r="AA1" s="13"/>
      <c r="AB1" s="13"/>
    </row>
    <row r="2" ht="14.25">
      <c r="A2" s="14"/>
      <c r="B2" s="15" t="s">
        <v>3</v>
      </c>
      <c r="C2" s="15" t="s">
        <v>81</v>
      </c>
      <c r="D2" s="16" t="s">
        <v>5</v>
      </c>
      <c r="E2" s="16" t="s">
        <v>81</v>
      </c>
      <c r="F2" s="6" t="s">
        <v>6</v>
      </c>
      <c r="G2" s="6"/>
      <c r="H2" s="6"/>
      <c r="I2" s="6"/>
      <c r="J2" s="6"/>
      <c r="K2" s="6"/>
      <c r="L2" s="18"/>
      <c r="M2" s="18"/>
      <c r="N2" s="18"/>
      <c r="O2" s="19"/>
      <c r="P2" s="20"/>
      <c r="Q2" s="10"/>
      <c r="R2" s="10"/>
      <c r="S2" s="10"/>
      <c r="T2" s="10"/>
      <c r="U2" s="12"/>
      <c r="V2" s="7"/>
      <c r="W2" s="7"/>
      <c r="X2" s="7"/>
      <c r="Y2" s="7"/>
      <c r="Z2" s="13"/>
      <c r="AA2" s="13"/>
      <c r="AB2" s="13"/>
    </row>
    <row r="3" ht="14.25">
      <c r="A3" s="14"/>
      <c r="B3" s="15" t="s">
        <v>7</v>
      </c>
      <c r="C3" s="15" t="s">
        <v>81</v>
      </c>
      <c r="D3" s="16" t="s">
        <v>8</v>
      </c>
      <c r="E3" s="16" t="s">
        <v>81</v>
      </c>
      <c r="F3" s="21"/>
      <c r="G3" s="21"/>
      <c r="H3" s="21"/>
      <c r="I3" s="21"/>
      <c r="J3" s="21"/>
      <c r="K3" s="21"/>
      <c r="L3" s="18"/>
      <c r="M3" s="18"/>
      <c r="N3" s="18"/>
      <c r="O3" s="19"/>
      <c r="P3" s="18"/>
      <c r="Q3" s="10"/>
      <c r="R3" s="10"/>
      <c r="S3" s="10"/>
      <c r="T3" s="10"/>
      <c r="U3" s="12"/>
      <c r="V3" s="7"/>
      <c r="W3" s="7"/>
      <c r="X3" s="7"/>
      <c r="Y3" s="7"/>
      <c r="Z3" s="13"/>
      <c r="AA3" s="13"/>
      <c r="AB3" s="13"/>
    </row>
    <row r="4" ht="14.25">
      <c r="A4" s="14"/>
      <c r="B4" s="15" t="s">
        <v>9</v>
      </c>
      <c r="C4" s="15" t="s">
        <v>81</v>
      </c>
      <c r="D4" s="16" t="s">
        <v>10</v>
      </c>
      <c r="E4" s="16" t="s">
        <v>81</v>
      </c>
      <c r="F4" s="21"/>
      <c r="G4" s="21"/>
      <c r="H4" s="21"/>
      <c r="I4" s="21"/>
      <c r="J4" s="21"/>
      <c r="K4" s="21"/>
      <c r="L4" s="18"/>
      <c r="M4" s="18"/>
      <c r="N4" s="18"/>
      <c r="O4" s="19"/>
      <c r="P4" s="18"/>
      <c r="Q4" s="10"/>
      <c r="R4" s="10"/>
      <c r="S4" s="10"/>
      <c r="T4" s="10"/>
      <c r="U4" s="12"/>
      <c r="V4" s="7"/>
      <c r="W4" s="7"/>
      <c r="X4" s="7"/>
      <c r="Y4" s="7"/>
      <c r="Z4" s="13"/>
      <c r="AA4" s="13"/>
      <c r="AB4" s="13"/>
    </row>
    <row r="5" ht="14.25">
      <c r="A5" s="14"/>
      <c r="B5" s="15" t="s">
        <v>11</v>
      </c>
      <c r="C5" s="15" t="s">
        <v>81</v>
      </c>
      <c r="D5" s="16" t="s">
        <v>12</v>
      </c>
      <c r="E5" s="16" t="s">
        <v>81</v>
      </c>
      <c r="F5" s="21"/>
      <c r="G5" s="21"/>
      <c r="H5" s="21"/>
      <c r="I5" s="21"/>
      <c r="J5" s="21"/>
      <c r="K5" s="21"/>
      <c r="L5" s="18"/>
      <c r="M5" s="18"/>
      <c r="N5" s="18"/>
      <c r="O5" s="19"/>
      <c r="P5" s="18"/>
      <c r="Q5" s="10"/>
      <c r="R5" s="10"/>
      <c r="S5" s="10"/>
      <c r="T5" s="10"/>
      <c r="U5" s="12"/>
      <c r="V5" s="7"/>
      <c r="W5" s="7"/>
      <c r="X5" s="7"/>
      <c r="Y5" s="7"/>
      <c r="Z5" s="13"/>
      <c r="AA5" s="13"/>
      <c r="AB5" s="13"/>
    </row>
    <row r="6" ht="14.25">
      <c r="A6" s="6"/>
      <c r="F6" s="6"/>
      <c r="G6" s="6"/>
      <c r="H6" s="6"/>
      <c r="I6" s="6"/>
      <c r="J6" s="6"/>
      <c r="K6" s="7"/>
      <c r="L6" s="23"/>
      <c r="M6" s="24"/>
      <c r="N6" s="25"/>
      <c r="O6" s="25"/>
      <c r="P6" s="25"/>
      <c r="Q6" s="19"/>
      <c r="R6" s="18"/>
      <c r="S6" s="10"/>
      <c r="T6" s="10"/>
      <c r="U6" s="10"/>
      <c r="V6" s="10"/>
      <c r="W6" s="12"/>
      <c r="X6" s="7"/>
      <c r="Y6" s="7"/>
      <c r="Z6" s="7"/>
      <c r="AA6" s="7"/>
      <c r="AB6" s="13"/>
      <c r="AC6" s="13"/>
      <c r="AD6" s="13"/>
    </row>
    <row r="7" ht="14.25">
      <c r="A7" s="7"/>
      <c r="B7" s="7"/>
      <c r="C7" s="7"/>
      <c r="D7" s="532"/>
      <c r="E7" s="933"/>
      <c r="F7" s="28"/>
      <c r="G7" s="28"/>
      <c r="H7" s="28"/>
      <c r="I7" s="28"/>
      <c r="J7" s="28"/>
      <c r="K7" s="7"/>
      <c r="L7" s="29"/>
      <c r="M7" s="29"/>
      <c r="N7" s="18"/>
      <c r="O7" s="18"/>
      <c r="P7" s="18"/>
      <c r="Q7" s="19"/>
      <c r="R7" s="18"/>
      <c r="S7" s="10"/>
      <c r="T7" s="10"/>
      <c r="U7" s="11"/>
      <c r="V7" s="11"/>
      <c r="W7" s="12"/>
      <c r="X7" s="7"/>
      <c r="Y7" s="7"/>
      <c r="Z7" s="7"/>
      <c r="AA7" s="7"/>
      <c r="AB7" s="13"/>
      <c r="AC7" s="13"/>
      <c r="AD7" s="13"/>
    </row>
    <row r="8" ht="17.25">
      <c r="A8" s="30"/>
      <c r="B8" s="30"/>
      <c r="C8" s="30"/>
      <c r="D8" s="155"/>
      <c r="E8" s="155"/>
      <c r="F8" s="30"/>
      <c r="G8" s="30"/>
      <c r="H8" s="31" t="s">
        <v>13</v>
      </c>
      <c r="I8" s="31"/>
      <c r="J8" s="31"/>
      <c r="K8" s="31"/>
      <c r="L8" s="31"/>
      <c r="M8" s="30"/>
      <c r="N8" s="30"/>
      <c r="O8" s="30"/>
      <c r="P8" s="30"/>
      <c r="Q8" s="32"/>
      <c r="R8" s="33"/>
      <c r="S8" s="30"/>
      <c r="T8" s="30"/>
      <c r="U8" s="32"/>
      <c r="V8" s="32"/>
      <c r="W8" s="12"/>
      <c r="X8" s="7"/>
      <c r="Y8" s="7"/>
      <c r="Z8" s="7"/>
      <c r="AA8" s="7"/>
      <c r="AB8" s="13"/>
      <c r="AC8" s="13"/>
      <c r="AD8" s="13"/>
    </row>
    <row r="9" ht="18.75">
      <c r="A9" s="34" t="s">
        <v>14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6"/>
      <c r="R9" s="37" t="s">
        <v>15</v>
      </c>
      <c r="S9" s="38"/>
      <c r="T9" s="38"/>
      <c r="U9" s="39" t="s">
        <v>16</v>
      </c>
      <c r="V9" s="40"/>
      <c r="W9" s="41"/>
      <c r="X9" s="7"/>
      <c r="Y9" s="7"/>
      <c r="Z9" s="7"/>
      <c r="AA9" s="7"/>
      <c r="AB9" s="13"/>
      <c r="AC9" s="13"/>
      <c r="AD9" s="13"/>
    </row>
    <row r="10" ht="14.25">
      <c r="A10" s="143"/>
      <c r="B10" s="214" t="s">
        <v>17</v>
      </c>
      <c r="C10" s="492"/>
      <c r="D10" s="214" t="s">
        <v>18</v>
      </c>
      <c r="E10" s="492"/>
      <c r="F10" s="214" t="s">
        <v>19</v>
      </c>
      <c r="G10" s="214"/>
      <c r="H10" s="214" t="s">
        <v>20</v>
      </c>
      <c r="I10" s="492"/>
      <c r="J10" s="493" t="s">
        <v>21</v>
      </c>
      <c r="K10" s="493"/>
      <c r="L10" s="214" t="s">
        <v>22</v>
      </c>
      <c r="M10" s="214"/>
      <c r="N10" s="214" t="s">
        <v>23</v>
      </c>
      <c r="O10" s="214"/>
      <c r="P10" s="208" t="s">
        <v>24</v>
      </c>
      <c r="Q10" s="209"/>
      <c r="R10" s="143">
        <v>152</v>
      </c>
      <c r="S10" s="143"/>
      <c r="T10" s="143"/>
      <c r="U10" s="286">
        <v>152</v>
      </c>
      <c r="V10" s="90"/>
      <c r="W10" s="62"/>
      <c r="X10" s="51"/>
      <c r="Y10" s="7"/>
      <c r="Z10" s="7"/>
      <c r="AA10" s="7"/>
      <c r="AB10" s="13"/>
      <c r="AC10" s="13"/>
      <c r="AD10" s="13"/>
    </row>
    <row r="11" ht="14.25">
      <c r="A11" s="143"/>
      <c r="B11" s="526">
        <v>46048</v>
      </c>
      <c r="C11" s="528"/>
      <c r="D11" s="526">
        <v>46049</v>
      </c>
      <c r="E11" s="528"/>
      <c r="F11" s="526">
        <v>46050</v>
      </c>
      <c r="G11" s="528"/>
      <c r="H11" s="526">
        <v>46051</v>
      </c>
      <c r="I11" s="528"/>
      <c r="J11" s="526">
        <v>46052</v>
      </c>
      <c r="K11" s="528"/>
      <c r="L11" s="526">
        <v>46053</v>
      </c>
      <c r="M11" s="528"/>
      <c r="N11" s="526">
        <v>46023</v>
      </c>
      <c r="O11" s="528"/>
      <c r="P11" s="213" t="s">
        <v>25</v>
      </c>
      <c r="Q11" s="214" t="s">
        <v>26</v>
      </c>
      <c r="R11" s="537"/>
      <c r="S11" s="147"/>
      <c r="T11" s="147"/>
      <c r="U11" s="60" t="s">
        <v>27</v>
      </c>
      <c r="V11" s="61" t="s">
        <v>28</v>
      </c>
      <c r="W11" s="62" t="s">
        <v>29</v>
      </c>
      <c r="X11" s="63" t="s">
        <v>30</v>
      </c>
      <c r="Y11" s="7"/>
      <c r="Z11" s="7"/>
      <c r="AA11" s="7"/>
      <c r="AB11" s="13"/>
      <c r="AC11" s="13"/>
      <c r="AD11" s="13"/>
    </row>
    <row r="12" ht="14.25">
      <c r="A12" s="440" t="s">
        <v>35</v>
      </c>
      <c r="B12" s="540"/>
      <c r="C12" s="540"/>
      <c r="D12" s="540"/>
      <c r="E12" s="540"/>
      <c r="F12" s="540"/>
      <c r="G12" s="540"/>
      <c r="H12" s="540"/>
      <c r="I12" s="540"/>
      <c r="J12" s="540"/>
      <c r="K12" s="540"/>
      <c r="L12" s="541"/>
      <c r="M12" s="541"/>
      <c r="N12" s="541"/>
      <c r="O12" s="541"/>
      <c r="P12" s="253">
        <f t="shared" ref="P12:P75" si="174">C12+E12+G12+I12+K12+M12+O12</f>
        <v>0</v>
      </c>
      <c r="Q12" s="62">
        <f>R10-P12</f>
        <v>152</v>
      </c>
      <c r="R12" s="219" t="str">
        <f t="shared" ref="R12:R75" si="175">A12</f>
        <v>Рычков</v>
      </c>
      <c r="S12" s="76" t="s">
        <v>10</v>
      </c>
      <c r="T12" s="77" t="s">
        <v>9</v>
      </c>
      <c r="U12" s="73">
        <f>COUNTIF(T11,B11)+COUNTIF(T11,D11)+COUNTIF(T11,F11)+COUNTIF(T11,H11)+COUNTIF(T11,J11)+COUNTIF(T11,L11)+COUNTIF(T11,N11)</f>
        <v>0</v>
      </c>
      <c r="V12" s="62">
        <f>COUNTIF(S11,B11)+COUNTIF(S11,D11)+COUNTIF(S11,F11)+COUNTIF(S11,H11)+COUNTIF(S11,J11)+COUNTIF(S11,L11)+COUNTIF(S11,N11)</f>
        <v>0</v>
      </c>
      <c r="W12" s="62"/>
      <c r="X12" s="74" t="s">
        <v>34</v>
      </c>
      <c r="Y12" s="7"/>
      <c r="Z12" s="7"/>
      <c r="AA12" s="7"/>
      <c r="AB12" s="13"/>
      <c r="AC12" s="13"/>
      <c r="AD12" s="13"/>
    </row>
    <row r="13" ht="14.25">
      <c r="A13" s="440" t="s">
        <v>39</v>
      </c>
      <c r="B13" s="540"/>
      <c r="C13" s="540"/>
      <c r="D13" s="540"/>
      <c r="E13" s="540"/>
      <c r="F13" s="540"/>
      <c r="G13" s="540"/>
      <c r="H13" s="540"/>
      <c r="I13" s="540"/>
      <c r="J13" s="540"/>
      <c r="K13" s="540"/>
      <c r="L13" s="541"/>
      <c r="M13" s="541"/>
      <c r="N13" s="541"/>
      <c r="O13" s="541"/>
      <c r="P13" s="253">
        <f t="shared" si="174"/>
        <v>0</v>
      </c>
      <c r="Q13" s="62">
        <f>R10-P13</f>
        <v>152</v>
      </c>
      <c r="R13" s="219" t="str">
        <f t="shared" si="175"/>
        <v>Игумнов</v>
      </c>
      <c r="S13" s="76" t="s">
        <v>10</v>
      </c>
      <c r="T13" s="77" t="s">
        <v>9</v>
      </c>
      <c r="U13" s="73">
        <f t="shared" ref="U13:U67" si="176">COUNTIF(T13,B13)+COUNTIF(T13,D13)+COUNTIF(T13,F13)+COUNTIF(T13,H13)+COUNTIF(T13,J13)+COUNTIF(T13,L13)+COUNTIF(T13,N13)</f>
        <v>0</v>
      </c>
      <c r="V13" s="62">
        <f t="shared" ref="V13:V61" si="177">COUNTIF(S13,B13)+COUNTIF(S13,D13)+COUNTIF(S13,F13)+COUNTIF(S13,H13)+COUNTIF(S13,J13)+COUNTIF(S13,L13)+COUNTIF(S13,N13)</f>
        <v>0</v>
      </c>
      <c r="W13" s="62"/>
      <c r="X13" s="79" t="s">
        <v>34</v>
      </c>
      <c r="Y13" s="7"/>
      <c r="Z13" s="7"/>
      <c r="AA13" s="7"/>
      <c r="AB13" s="13"/>
      <c r="AC13" s="13"/>
      <c r="AD13" s="13"/>
    </row>
    <row r="14" ht="14.25">
      <c r="A14" s="440" t="s">
        <v>40</v>
      </c>
      <c r="B14" s="540"/>
      <c r="C14" s="540"/>
      <c r="D14" s="540"/>
      <c r="E14" s="540"/>
      <c r="F14" s="540"/>
      <c r="G14" s="540"/>
      <c r="H14" s="540"/>
      <c r="I14" s="540"/>
      <c r="J14" s="540"/>
      <c r="K14" s="540"/>
      <c r="L14" s="541"/>
      <c r="M14" s="541"/>
      <c r="N14" s="541" t="s">
        <v>82</v>
      </c>
      <c r="O14" s="541"/>
      <c r="P14" s="253">
        <f t="shared" si="174"/>
        <v>0</v>
      </c>
      <c r="Q14" s="62">
        <f>R10-P14</f>
        <v>152</v>
      </c>
      <c r="R14" s="219" t="str">
        <f t="shared" si="175"/>
        <v>Душин</v>
      </c>
      <c r="S14" s="76" t="s">
        <v>10</v>
      </c>
      <c r="T14" s="77" t="s">
        <v>9</v>
      </c>
      <c r="U14" s="73">
        <f t="shared" si="176"/>
        <v>0</v>
      </c>
      <c r="V14" s="62">
        <f t="shared" si="177"/>
        <v>0</v>
      </c>
      <c r="W14" s="62"/>
      <c r="X14" s="74" t="s">
        <v>38</v>
      </c>
      <c r="Y14" s="7"/>
      <c r="Z14" s="7"/>
      <c r="AA14" s="7"/>
      <c r="AB14" s="13"/>
      <c r="AC14" s="13"/>
      <c r="AD14" s="13"/>
    </row>
    <row r="15" ht="14.25">
      <c r="A15" s="440" t="s">
        <v>31</v>
      </c>
      <c r="B15" s="540"/>
      <c r="C15" s="540"/>
      <c r="D15" s="540"/>
      <c r="E15" s="540"/>
      <c r="F15" s="540"/>
      <c r="G15" s="540"/>
      <c r="H15" s="540"/>
      <c r="I15" s="540"/>
      <c r="J15" s="540"/>
      <c r="K15" s="540"/>
      <c r="L15" s="541"/>
      <c r="M15" s="541"/>
      <c r="N15" s="541"/>
      <c r="O15" s="541"/>
      <c r="P15" s="253">
        <f t="shared" si="174"/>
        <v>0</v>
      </c>
      <c r="Q15" s="62">
        <f>R10-P15</f>
        <v>152</v>
      </c>
      <c r="R15" s="219" t="str">
        <f t="shared" si="175"/>
        <v>Нетронин</v>
      </c>
      <c r="S15" s="76" t="s">
        <v>58</v>
      </c>
      <c r="T15" s="77" t="s">
        <v>59</v>
      </c>
      <c r="U15" s="73"/>
      <c r="V15" s="62"/>
      <c r="W15" s="62"/>
      <c r="X15" s="74" t="s">
        <v>34</v>
      </c>
      <c r="Y15" s="7"/>
      <c r="Z15" s="7"/>
      <c r="AA15" s="7"/>
      <c r="AB15" s="13"/>
      <c r="AC15" s="13"/>
      <c r="AD15" s="13"/>
    </row>
    <row r="16" ht="14.25">
      <c r="A16" s="440" t="s">
        <v>42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  <c r="L16" s="541"/>
      <c r="M16" s="541"/>
      <c r="N16" s="541"/>
      <c r="O16" s="541"/>
      <c r="P16" s="253">
        <f t="shared" si="174"/>
        <v>0</v>
      </c>
      <c r="Q16" s="62">
        <f>R10-P16</f>
        <v>152</v>
      </c>
      <c r="R16" s="219" t="str">
        <f t="shared" si="175"/>
        <v>Юращик</v>
      </c>
      <c r="S16" s="76" t="s">
        <v>10</v>
      </c>
      <c r="T16" s="77" t="s">
        <v>9</v>
      </c>
      <c r="U16" s="73"/>
      <c r="V16" s="62"/>
      <c r="W16" s="62"/>
      <c r="X16" s="74" t="s">
        <v>38</v>
      </c>
      <c r="Y16" s="7"/>
      <c r="Z16" s="7"/>
      <c r="AA16" s="7"/>
      <c r="AB16" s="13"/>
      <c r="AC16" s="13"/>
      <c r="AD16" s="13"/>
    </row>
    <row r="17" ht="14.25">
      <c r="A17" s="361" t="s">
        <v>45</v>
      </c>
      <c r="B17" s="541"/>
      <c r="C17" s="541"/>
      <c r="D17" s="632"/>
      <c r="E17" s="632"/>
      <c r="F17" s="541"/>
      <c r="G17" s="541"/>
      <c r="H17" s="541"/>
      <c r="I17" s="541"/>
      <c r="J17" s="247"/>
      <c r="K17" s="247"/>
      <c r="L17" s="295"/>
      <c r="M17" s="295"/>
      <c r="N17" s="295"/>
      <c r="O17" s="295" t="s">
        <v>81</v>
      </c>
      <c r="P17" s="253">
        <f t="shared" si="174"/>
        <v>11</v>
      </c>
      <c r="Q17" s="62">
        <f>R10-P17</f>
        <v>141</v>
      </c>
      <c r="R17" s="219" t="str">
        <f t="shared" si="175"/>
        <v>Пузырь</v>
      </c>
      <c r="S17" s="76" t="s">
        <v>10</v>
      </c>
      <c r="T17" s="77" t="s">
        <v>9</v>
      </c>
      <c r="U17" s="73">
        <f t="shared" si="176"/>
        <v>0</v>
      </c>
      <c r="V17" s="62">
        <f t="shared" si="177"/>
        <v>0</v>
      </c>
      <c r="W17" s="62"/>
      <c r="X17" s="74" t="s">
        <v>34</v>
      </c>
      <c r="Y17" s="7"/>
      <c r="Z17" s="7"/>
      <c r="AA17" s="7"/>
      <c r="AB17" s="13"/>
      <c r="AC17" s="13"/>
      <c r="AD17" s="13"/>
    </row>
    <row r="18" ht="14.25">
      <c r="A18" s="361" t="s">
        <v>46</v>
      </c>
      <c r="B18" s="635"/>
      <c r="C18" s="635"/>
      <c r="D18" s="635"/>
      <c r="E18" s="635"/>
      <c r="F18" s="254"/>
      <c r="G18" s="254"/>
      <c r="H18" s="636"/>
      <c r="I18" s="636"/>
      <c r="J18" s="637"/>
      <c r="K18" s="637"/>
      <c r="L18" s="15"/>
      <c r="M18" s="15"/>
      <c r="N18" s="754"/>
      <c r="O18" s="754" t="s">
        <v>81</v>
      </c>
      <c r="P18" s="253">
        <f t="shared" si="174"/>
        <v>11</v>
      </c>
      <c r="Q18" s="62">
        <f>R10-P18</f>
        <v>141</v>
      </c>
      <c r="R18" s="219" t="str">
        <f t="shared" si="175"/>
        <v>Голышев</v>
      </c>
      <c r="S18" s="76" t="s">
        <v>10</v>
      </c>
      <c r="T18" s="77" t="s">
        <v>9</v>
      </c>
      <c r="U18" s="73">
        <f t="shared" si="176"/>
        <v>0</v>
      </c>
      <c r="V18" s="62">
        <f t="shared" si="177"/>
        <v>0</v>
      </c>
      <c r="W18" s="62"/>
      <c r="X18" s="74" t="s">
        <v>34</v>
      </c>
      <c r="Y18" s="7"/>
      <c r="Z18" s="7"/>
      <c r="AA18" s="7"/>
      <c r="AB18" s="13"/>
      <c r="AC18" s="13"/>
      <c r="AD18" s="13"/>
    </row>
    <row r="19" ht="14.25">
      <c r="A19" s="361" t="s">
        <v>47</v>
      </c>
      <c r="B19" s="294"/>
      <c r="C19" s="294"/>
      <c r="D19" s="294"/>
      <c r="E19" s="294"/>
      <c r="F19" s="247"/>
      <c r="G19" s="247"/>
      <c r="H19" s="254"/>
      <c r="I19" s="254"/>
      <c r="J19" s="640"/>
      <c r="K19" s="640"/>
      <c r="L19" s="254"/>
      <c r="M19" s="254"/>
      <c r="N19" s="544"/>
      <c r="O19" s="544"/>
      <c r="P19" s="253">
        <f t="shared" si="174"/>
        <v>0</v>
      </c>
      <c r="Q19" s="62">
        <f>R10-P19</f>
        <v>152</v>
      </c>
      <c r="R19" s="219" t="str">
        <f t="shared" si="175"/>
        <v>Торубара</v>
      </c>
      <c r="S19" s="76" t="s">
        <v>10</v>
      </c>
      <c r="T19" s="77" t="s">
        <v>9</v>
      </c>
      <c r="U19" s="73">
        <f t="shared" si="176"/>
        <v>0</v>
      </c>
      <c r="V19" s="62">
        <f t="shared" si="177"/>
        <v>0</v>
      </c>
      <c r="W19" s="62"/>
      <c r="X19" s="74" t="s">
        <v>34</v>
      </c>
      <c r="Y19" s="7"/>
      <c r="Z19" s="7"/>
      <c r="AA19" s="7"/>
      <c r="AB19" s="13"/>
      <c r="AC19" s="13"/>
      <c r="AD19" s="13"/>
    </row>
    <row r="20" ht="14.25">
      <c r="A20" s="361" t="s">
        <v>48</v>
      </c>
      <c r="B20" s="541"/>
      <c r="C20" s="541"/>
      <c r="D20" s="541"/>
      <c r="E20" s="541"/>
      <c r="F20" s="637"/>
      <c r="G20" s="637"/>
      <c r="H20" s="635"/>
      <c r="I20" s="642"/>
      <c r="J20" s="247"/>
      <c r="K20" s="247"/>
      <c r="L20" s="541"/>
      <c r="M20" s="643"/>
      <c r="N20" s="295"/>
      <c r="O20" s="295" t="s">
        <v>81</v>
      </c>
      <c r="P20" s="285">
        <f t="shared" si="174"/>
        <v>11</v>
      </c>
      <c r="Q20" s="62">
        <f>R10-P20</f>
        <v>141</v>
      </c>
      <c r="R20" s="219" t="str">
        <f t="shared" si="175"/>
        <v>Стрыгин</v>
      </c>
      <c r="S20" s="71" t="s">
        <v>8</v>
      </c>
      <c r="T20" s="72" t="s">
        <v>7</v>
      </c>
      <c r="U20" s="73">
        <f t="shared" si="176"/>
        <v>0</v>
      </c>
      <c r="V20" s="62">
        <f t="shared" si="177"/>
        <v>0</v>
      </c>
      <c r="W20" s="62"/>
      <c r="X20" s="74" t="s">
        <v>49</v>
      </c>
      <c r="Y20" s="7"/>
      <c r="Z20" s="7"/>
      <c r="AA20" s="7"/>
      <c r="AB20" s="13"/>
      <c r="AC20" s="13"/>
      <c r="AD20" s="13"/>
    </row>
    <row r="21" ht="14.25">
      <c r="A21" s="361" t="s">
        <v>50</v>
      </c>
      <c r="B21" s="644"/>
      <c r="C21" s="644"/>
      <c r="D21" s="541"/>
      <c r="E21" s="541"/>
      <c r="F21" s="247"/>
      <c r="G21" s="247"/>
      <c r="H21" s="637"/>
      <c r="I21" s="637"/>
      <c r="J21" s="642"/>
      <c r="K21" s="642"/>
      <c r="L21" s="247"/>
      <c r="M21" s="649"/>
      <c r="N21" s="754"/>
      <c r="O21" s="754" t="s">
        <v>81</v>
      </c>
      <c r="P21" s="285">
        <f t="shared" si="174"/>
        <v>11</v>
      </c>
      <c r="Q21" s="62">
        <f>R10-P21</f>
        <v>141</v>
      </c>
      <c r="R21" s="219" t="str">
        <f t="shared" si="175"/>
        <v>Фрик</v>
      </c>
      <c r="S21" s="71" t="s">
        <v>12</v>
      </c>
      <c r="T21" s="72" t="s">
        <v>11</v>
      </c>
      <c r="U21" s="73">
        <f t="shared" si="176"/>
        <v>0</v>
      </c>
      <c r="V21" s="62">
        <f t="shared" si="177"/>
        <v>0</v>
      </c>
      <c r="W21" s="62"/>
      <c r="X21" s="74" t="s">
        <v>44</v>
      </c>
      <c r="Y21" s="7"/>
      <c r="Z21" s="7"/>
      <c r="AA21" s="7"/>
      <c r="AB21" s="13"/>
      <c r="AC21" s="13"/>
      <c r="AD21" s="13"/>
    </row>
    <row r="22" ht="14.25">
      <c r="A22" s="576" t="s">
        <v>51</v>
      </c>
      <c r="B22" s="632"/>
      <c r="C22" s="632"/>
      <c r="D22" s="541"/>
      <c r="E22" s="541"/>
      <c r="F22" s="646"/>
      <c r="G22" s="636"/>
      <c r="H22" s="648"/>
      <c r="I22" s="648"/>
      <c r="J22" s="541"/>
      <c r="K22" s="541"/>
      <c r="L22" s="247"/>
      <c r="M22" s="649"/>
      <c r="N22" s="550"/>
      <c r="O22" s="550"/>
      <c r="P22" s="285">
        <f t="shared" si="174"/>
        <v>0</v>
      </c>
      <c r="Q22" s="62">
        <f>R10-P22</f>
        <v>152</v>
      </c>
      <c r="R22" s="219" t="str">
        <f t="shared" si="175"/>
        <v>Истрашкин</v>
      </c>
      <c r="S22" s="71" t="s">
        <v>10</v>
      </c>
      <c r="T22" s="72" t="s">
        <v>9</v>
      </c>
      <c r="U22" s="73">
        <f t="shared" si="176"/>
        <v>0</v>
      </c>
      <c r="V22" s="62">
        <f t="shared" si="177"/>
        <v>0</v>
      </c>
      <c r="W22" s="62"/>
      <c r="X22" s="74" t="s">
        <v>34</v>
      </c>
      <c r="Y22" s="7"/>
      <c r="Z22" s="7"/>
      <c r="AA22" s="7"/>
      <c r="AB22" s="13"/>
      <c r="AC22" s="13"/>
      <c r="AD22" s="13"/>
    </row>
    <row r="23" ht="14.25">
      <c r="A23" s="361" t="s">
        <v>43</v>
      </c>
      <c r="B23" s="637"/>
      <c r="C23" s="637"/>
      <c r="D23" s="650"/>
      <c r="E23" s="650"/>
      <c r="F23" s="651"/>
      <c r="G23" s="652"/>
      <c r="H23" s="653"/>
      <c r="I23" s="653"/>
      <c r="J23" s="653"/>
      <c r="K23" s="653"/>
      <c r="L23" s="254"/>
      <c r="M23" s="254"/>
      <c r="N23" s="136"/>
      <c r="O23" s="136"/>
      <c r="P23" s="253">
        <f t="shared" si="174"/>
        <v>0</v>
      </c>
      <c r="Q23" s="62">
        <f>R10-P23</f>
        <v>152</v>
      </c>
      <c r="R23" s="219" t="str">
        <f t="shared" si="175"/>
        <v>Дащенко</v>
      </c>
      <c r="S23" s="71" t="s">
        <v>12</v>
      </c>
      <c r="T23" s="72" t="s">
        <v>11</v>
      </c>
      <c r="U23" s="73">
        <f t="shared" si="176"/>
        <v>0</v>
      </c>
      <c r="V23" s="62">
        <f t="shared" si="177"/>
        <v>0</v>
      </c>
      <c r="W23" s="62"/>
      <c r="X23" s="80" t="s">
        <v>44</v>
      </c>
      <c r="Y23" s="7"/>
      <c r="Z23" s="7"/>
      <c r="AA23" s="7"/>
      <c r="AB23" s="13"/>
      <c r="AC23" s="13"/>
      <c r="AD23" s="13"/>
    </row>
    <row r="24" ht="14.25">
      <c r="A24" s="207"/>
      <c r="B24" s="526">
        <v>46048</v>
      </c>
      <c r="C24" s="528"/>
      <c r="D24" s="526">
        <v>46049</v>
      </c>
      <c r="E24" s="528"/>
      <c r="F24" s="526">
        <v>46050</v>
      </c>
      <c r="G24" s="528"/>
      <c r="H24" s="526">
        <v>46051</v>
      </c>
      <c r="I24" s="528"/>
      <c r="J24" s="526">
        <v>46052</v>
      </c>
      <c r="K24" s="528"/>
      <c r="L24" s="526">
        <v>46053</v>
      </c>
      <c r="M24" s="528"/>
      <c r="N24" s="526">
        <v>46023</v>
      </c>
      <c r="O24" s="528"/>
      <c r="P24" s="253"/>
      <c r="Q24" s="254"/>
      <c r="R24" s="207"/>
      <c r="S24" s="138"/>
      <c r="T24" s="138"/>
      <c r="U24" s="60" t="s">
        <v>27</v>
      </c>
      <c r="V24" s="61" t="s">
        <v>28</v>
      </c>
      <c r="W24" s="62" t="s">
        <v>29</v>
      </c>
      <c r="X24" s="7"/>
      <c r="Y24" s="7"/>
      <c r="Z24" s="7"/>
      <c r="AA24" s="7"/>
      <c r="AB24" s="13"/>
      <c r="AC24" s="13"/>
      <c r="AD24" s="13"/>
    </row>
    <row r="25" ht="14.25">
      <c r="A25" s="162"/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4"/>
      <c r="R25" s="165"/>
      <c r="S25" s="165"/>
      <c r="T25" s="165"/>
      <c r="U25" s="100"/>
      <c r="V25" s="100"/>
      <c r="W25" s="100"/>
      <c r="X25" s="7"/>
      <c r="Y25" s="7"/>
      <c r="Z25" s="7"/>
      <c r="AA25" s="7"/>
      <c r="AB25" s="13"/>
      <c r="AC25" s="13"/>
      <c r="AD25" s="13"/>
    </row>
    <row r="26" ht="14.25">
      <c r="A26" s="165"/>
      <c r="B26" s="237" t="s">
        <v>17</v>
      </c>
      <c r="C26" s="237"/>
      <c r="D26" s="237" t="s">
        <v>18</v>
      </c>
      <c r="E26" s="237"/>
      <c r="F26" s="237" t="s">
        <v>19</v>
      </c>
      <c r="G26" s="237"/>
      <c r="H26" s="237" t="s">
        <v>20</v>
      </c>
      <c r="I26" s="237"/>
      <c r="J26" s="578" t="s">
        <v>21</v>
      </c>
      <c r="K26" s="578"/>
      <c r="L26" s="237" t="s">
        <v>22</v>
      </c>
      <c r="M26" s="237"/>
      <c r="N26" s="237" t="s">
        <v>23</v>
      </c>
      <c r="O26" s="237"/>
      <c r="P26" s="234" t="s">
        <v>24</v>
      </c>
      <c r="Q26" s="235"/>
      <c r="R26" s="165"/>
      <c r="S26" s="165"/>
      <c r="T26" s="165"/>
      <c r="U26" s="100"/>
      <c r="V26" s="100"/>
      <c r="W26" s="100"/>
      <c r="X26" s="51"/>
      <c r="Y26" s="7"/>
      <c r="Z26" s="7"/>
      <c r="AA26" s="7"/>
      <c r="AB26" s="13"/>
      <c r="AC26" s="13"/>
      <c r="AD26" s="13"/>
    </row>
    <row r="27" ht="14.25">
      <c r="A27" s="165"/>
      <c r="B27" s="526">
        <v>46055</v>
      </c>
      <c r="C27" s="528"/>
      <c r="D27" s="526">
        <v>46056</v>
      </c>
      <c r="E27" s="528"/>
      <c r="F27" s="526">
        <v>46057</v>
      </c>
      <c r="G27" s="528"/>
      <c r="H27" s="526">
        <v>46058</v>
      </c>
      <c r="I27" s="528"/>
      <c r="J27" s="526">
        <v>46059</v>
      </c>
      <c r="K27" s="528"/>
      <c r="L27" s="526">
        <v>46060</v>
      </c>
      <c r="M27" s="528"/>
      <c r="N27" s="526">
        <v>46061</v>
      </c>
      <c r="O27" s="528"/>
      <c r="P27" s="236" t="s">
        <v>25</v>
      </c>
      <c r="Q27" s="237" t="s">
        <v>26</v>
      </c>
      <c r="R27" s="579"/>
      <c r="S27" s="239"/>
      <c r="T27" s="239"/>
      <c r="U27" s="15" t="s">
        <v>27</v>
      </c>
      <c r="V27" s="106" t="s">
        <v>28</v>
      </c>
      <c r="W27" s="100" t="s">
        <v>29</v>
      </c>
      <c r="X27" s="63" t="s">
        <v>30</v>
      </c>
      <c r="Y27" s="7"/>
      <c r="Z27" s="7"/>
      <c r="AA27" s="7"/>
      <c r="AB27" s="13"/>
      <c r="AC27" s="13"/>
      <c r="AD27" s="13"/>
    </row>
    <row r="28" ht="14.25">
      <c r="A28" s="538" t="s">
        <v>35</v>
      </c>
      <c r="B28" s="540" t="s">
        <v>32</v>
      </c>
      <c r="C28" s="540" t="s">
        <v>33</v>
      </c>
      <c r="D28" s="540" t="s">
        <v>32</v>
      </c>
      <c r="E28" s="540" t="s">
        <v>33</v>
      </c>
      <c r="F28" s="540" t="s">
        <v>32</v>
      </c>
      <c r="G28" s="540" t="s">
        <v>33</v>
      </c>
      <c r="H28" s="540" t="s">
        <v>32</v>
      </c>
      <c r="I28" s="540" t="s">
        <v>33</v>
      </c>
      <c r="J28" s="540" t="s">
        <v>32</v>
      </c>
      <c r="K28" s="540" t="s">
        <v>33</v>
      </c>
      <c r="L28" s="655"/>
      <c r="M28" s="655"/>
      <c r="N28" s="541"/>
      <c r="O28" s="541"/>
      <c r="P28" s="253">
        <f t="shared" si="174"/>
        <v>40</v>
      </c>
      <c r="Q28" s="62">
        <f t="shared" ref="Q28:Q31" si="178">Q12-P28</f>
        <v>112</v>
      </c>
      <c r="R28" s="219" t="str">
        <f t="shared" si="175"/>
        <v>Рычков</v>
      </c>
      <c r="S28" s="76" t="s">
        <v>10</v>
      </c>
      <c r="T28" s="77" t="s">
        <v>9</v>
      </c>
      <c r="U28" s="73">
        <f t="shared" si="176"/>
        <v>0</v>
      </c>
      <c r="V28" s="62">
        <f t="shared" si="177"/>
        <v>0</v>
      </c>
      <c r="W28" s="62"/>
      <c r="X28" s="74" t="s">
        <v>34</v>
      </c>
      <c r="Y28" s="7"/>
      <c r="Z28" s="7"/>
      <c r="AA28" s="7"/>
      <c r="AB28" s="13"/>
      <c r="AC28" s="13"/>
      <c r="AD28" s="13"/>
    </row>
    <row r="29" ht="14.25">
      <c r="A29" s="440" t="s">
        <v>39</v>
      </c>
      <c r="B29" s="540" t="s">
        <v>32</v>
      </c>
      <c r="C29" s="540" t="s">
        <v>33</v>
      </c>
      <c r="D29" s="540" t="s">
        <v>32</v>
      </c>
      <c r="E29" s="540" t="s">
        <v>33</v>
      </c>
      <c r="F29" s="540" t="s">
        <v>32</v>
      </c>
      <c r="G29" s="540" t="s">
        <v>33</v>
      </c>
      <c r="H29" s="540" t="s">
        <v>32</v>
      </c>
      <c r="I29" s="540" t="s">
        <v>33</v>
      </c>
      <c r="J29" s="540" t="s">
        <v>32</v>
      </c>
      <c r="K29" s="540" t="s">
        <v>33</v>
      </c>
      <c r="L29" s="541"/>
      <c r="M29" s="541"/>
      <c r="N29" s="541"/>
      <c r="O29" s="541"/>
      <c r="P29" s="253">
        <f t="shared" si="174"/>
        <v>40</v>
      </c>
      <c r="Q29" s="62">
        <f t="shared" si="178"/>
        <v>112</v>
      </c>
      <c r="R29" s="219" t="str">
        <f t="shared" si="175"/>
        <v>Игумнов</v>
      </c>
      <c r="S29" s="76" t="s">
        <v>10</v>
      </c>
      <c r="T29" s="77" t="s">
        <v>9</v>
      </c>
      <c r="U29" s="73">
        <f t="shared" si="176"/>
        <v>0</v>
      </c>
      <c r="V29" s="62">
        <f t="shared" si="177"/>
        <v>0</v>
      </c>
      <c r="W29" s="62"/>
      <c r="X29" s="79" t="s">
        <v>34</v>
      </c>
      <c r="Y29" s="7"/>
      <c r="Z29" s="80"/>
      <c r="AA29" s="80"/>
      <c r="AB29" s="13"/>
      <c r="AC29" s="13"/>
      <c r="AD29" s="13"/>
    </row>
    <row r="30" ht="14.25">
      <c r="A30" s="440" t="s">
        <v>40</v>
      </c>
      <c r="B30" s="540" t="s">
        <v>32</v>
      </c>
      <c r="C30" s="540" t="s">
        <v>33</v>
      </c>
      <c r="D30" s="540" t="s">
        <v>32</v>
      </c>
      <c r="E30" s="540" t="s">
        <v>33</v>
      </c>
      <c r="F30" s="540" t="s">
        <v>32</v>
      </c>
      <c r="G30" s="540" t="s">
        <v>33</v>
      </c>
      <c r="H30" s="540" t="s">
        <v>32</v>
      </c>
      <c r="I30" s="540" t="s">
        <v>33</v>
      </c>
      <c r="J30" s="540" t="s">
        <v>32</v>
      </c>
      <c r="K30" s="540" t="s">
        <v>33</v>
      </c>
      <c r="L30" s="541"/>
      <c r="M30" s="541"/>
      <c r="N30" s="541"/>
      <c r="O30" s="541"/>
      <c r="P30" s="253">
        <f t="shared" si="174"/>
        <v>40</v>
      </c>
      <c r="Q30" s="62">
        <f t="shared" si="178"/>
        <v>112</v>
      </c>
      <c r="R30" s="219" t="str">
        <f t="shared" si="175"/>
        <v>Душин</v>
      </c>
      <c r="S30" s="76" t="s">
        <v>10</v>
      </c>
      <c r="T30" s="77" t="s">
        <v>9</v>
      </c>
      <c r="U30" s="73">
        <f t="shared" si="176"/>
        <v>0</v>
      </c>
      <c r="V30" s="62">
        <f t="shared" si="177"/>
        <v>0</v>
      </c>
      <c r="W30" s="62"/>
      <c r="X30" s="74" t="s">
        <v>38</v>
      </c>
      <c r="Y30" s="80"/>
      <c r="Z30" s="80"/>
      <c r="AA30" s="80"/>
      <c r="AB30" s="13"/>
      <c r="AC30" s="13"/>
      <c r="AD30" s="13"/>
    </row>
    <row r="31" ht="14.25">
      <c r="A31" s="440" t="s">
        <v>31</v>
      </c>
      <c r="B31" s="540" t="s">
        <v>32</v>
      </c>
      <c r="C31" s="540" t="s">
        <v>33</v>
      </c>
      <c r="D31" s="540" t="s">
        <v>32</v>
      </c>
      <c r="E31" s="540" t="s">
        <v>33</v>
      </c>
      <c r="F31" s="540" t="s">
        <v>32</v>
      </c>
      <c r="G31" s="540" t="s">
        <v>33</v>
      </c>
      <c r="H31" s="540" t="s">
        <v>32</v>
      </c>
      <c r="I31" s="540" t="s">
        <v>33</v>
      </c>
      <c r="J31" s="540" t="s">
        <v>32</v>
      </c>
      <c r="K31" s="540" t="s">
        <v>33</v>
      </c>
      <c r="L31" s="541"/>
      <c r="M31" s="541"/>
      <c r="N31" s="541"/>
      <c r="O31" s="541"/>
      <c r="P31" s="253">
        <f t="shared" si="174"/>
        <v>40</v>
      </c>
      <c r="Q31" s="62">
        <f t="shared" si="178"/>
        <v>112</v>
      </c>
      <c r="R31" s="219" t="str">
        <f t="shared" si="175"/>
        <v>Нетронин</v>
      </c>
      <c r="S31" s="76" t="s">
        <v>58</v>
      </c>
      <c r="T31" s="77" t="s">
        <v>59</v>
      </c>
      <c r="U31" s="73">
        <f t="shared" si="176"/>
        <v>0</v>
      </c>
      <c r="V31" s="62">
        <f t="shared" si="177"/>
        <v>0</v>
      </c>
      <c r="W31" s="62"/>
      <c r="X31" s="74" t="s">
        <v>34</v>
      </c>
      <c r="Y31" s="80"/>
      <c r="Z31" s="80"/>
      <c r="AA31" s="80"/>
      <c r="AB31" s="13"/>
      <c r="AC31" s="13"/>
      <c r="AD31" s="13"/>
    </row>
    <row r="32" ht="14.25">
      <c r="A32" s="440" t="s">
        <v>42</v>
      </c>
      <c r="B32" s="543" t="s">
        <v>32</v>
      </c>
      <c r="C32" s="543" t="s">
        <v>33</v>
      </c>
      <c r="D32" s="543" t="s">
        <v>32</v>
      </c>
      <c r="E32" s="543" t="s">
        <v>33</v>
      </c>
      <c r="F32" s="543" t="s">
        <v>32</v>
      </c>
      <c r="G32" s="543" t="s">
        <v>33</v>
      </c>
      <c r="H32" s="543" t="s">
        <v>32</v>
      </c>
      <c r="I32" s="543" t="s">
        <v>33</v>
      </c>
      <c r="J32" s="543" t="s">
        <v>32</v>
      </c>
      <c r="K32" s="543" t="s">
        <v>33</v>
      </c>
      <c r="L32" s="544"/>
      <c r="M32" s="544"/>
      <c r="N32" s="544"/>
      <c r="O32" s="544"/>
      <c r="P32" s="253">
        <f t="shared" si="174"/>
        <v>40</v>
      </c>
      <c r="Q32" s="62">
        <f>Q19-P32</f>
        <v>112</v>
      </c>
      <c r="R32" s="219" t="str">
        <f t="shared" si="175"/>
        <v>Юращик</v>
      </c>
      <c r="S32" s="76" t="s">
        <v>10</v>
      </c>
      <c r="T32" s="77" t="s">
        <v>9</v>
      </c>
      <c r="U32" s="73">
        <f t="shared" si="176"/>
        <v>0</v>
      </c>
      <c r="V32" s="62">
        <f t="shared" si="177"/>
        <v>0</v>
      </c>
      <c r="W32" s="62"/>
      <c r="X32" s="74" t="s">
        <v>38</v>
      </c>
      <c r="Y32" s="80"/>
      <c r="Z32" s="80"/>
      <c r="AA32" s="80"/>
      <c r="AB32" s="13"/>
      <c r="AC32" s="13"/>
      <c r="AD32" s="13"/>
    </row>
    <row r="33" ht="14.25">
      <c r="A33" s="278" t="s">
        <v>43</v>
      </c>
      <c r="B33" s="295"/>
      <c r="C33" s="295" t="s">
        <v>81</v>
      </c>
      <c r="D33" s="295"/>
      <c r="E33" s="295" t="s">
        <v>81</v>
      </c>
      <c r="F33" s="934"/>
      <c r="G33" s="291"/>
      <c r="H33" s="291"/>
      <c r="I33" s="935"/>
      <c r="J33" s="754"/>
      <c r="K33" s="754" t="s">
        <v>81</v>
      </c>
      <c r="L33" s="754"/>
      <c r="M33" s="754" t="s">
        <v>81</v>
      </c>
      <c r="N33" s="934"/>
      <c r="O33" s="291"/>
      <c r="P33" s="285">
        <f t="shared" si="174"/>
        <v>44</v>
      </c>
      <c r="Q33" s="62">
        <f>Q23-P33</f>
        <v>108</v>
      </c>
      <c r="R33" s="219" t="str">
        <f t="shared" si="175"/>
        <v>Дащенко</v>
      </c>
      <c r="S33" s="71" t="s">
        <v>12</v>
      </c>
      <c r="T33" s="72" t="s">
        <v>11</v>
      </c>
      <c r="U33" s="73">
        <f t="shared" si="176"/>
        <v>0</v>
      </c>
      <c r="V33" s="62">
        <f t="shared" si="177"/>
        <v>0</v>
      </c>
      <c r="W33" s="62"/>
      <c r="X33" s="416" t="s">
        <v>44</v>
      </c>
      <c r="Y33" s="7"/>
      <c r="Z33" s="7"/>
      <c r="AA33" s="7"/>
      <c r="AB33" s="13"/>
      <c r="AC33" s="13"/>
      <c r="AD33" s="13"/>
    </row>
    <row r="34" ht="14.25">
      <c r="A34" s="278" t="s">
        <v>45</v>
      </c>
      <c r="B34" s="550"/>
      <c r="C34" s="550"/>
      <c r="D34" s="550"/>
      <c r="E34" s="936"/>
      <c r="F34" s="937"/>
      <c r="G34" s="937" t="s">
        <v>81</v>
      </c>
      <c r="H34" s="937"/>
      <c r="I34" s="937" t="s">
        <v>81</v>
      </c>
      <c r="J34" s="938"/>
      <c r="K34" s="550"/>
      <c r="L34" s="550"/>
      <c r="M34" s="936"/>
      <c r="N34" s="939"/>
      <c r="O34" s="939" t="s">
        <v>81</v>
      </c>
      <c r="P34" s="285">
        <f t="shared" si="174"/>
        <v>33</v>
      </c>
      <c r="Q34" s="62">
        <f>Q20-P34</f>
        <v>108</v>
      </c>
      <c r="R34" s="219" t="str">
        <f t="shared" si="175"/>
        <v>Пузырь</v>
      </c>
      <c r="S34" s="76" t="s">
        <v>10</v>
      </c>
      <c r="T34" s="77" t="s">
        <v>9</v>
      </c>
      <c r="U34" s="73">
        <f t="shared" si="176"/>
        <v>0</v>
      </c>
      <c r="V34" s="62">
        <f t="shared" si="177"/>
        <v>0</v>
      </c>
      <c r="W34" s="62"/>
      <c r="X34" s="74" t="s">
        <v>34</v>
      </c>
      <c r="Y34" s="80"/>
      <c r="Z34" s="7"/>
      <c r="AA34" s="7"/>
      <c r="AB34" s="13"/>
      <c r="AC34" s="13"/>
      <c r="AD34" s="13"/>
    </row>
    <row r="35" ht="14.25">
      <c r="A35" s="278" t="s">
        <v>46</v>
      </c>
      <c r="B35" s="291"/>
      <c r="C35" s="291"/>
      <c r="D35" s="291"/>
      <c r="E35" s="935"/>
      <c r="F35" s="295"/>
      <c r="G35" s="295" t="s">
        <v>81</v>
      </c>
      <c r="H35" s="295"/>
      <c r="I35" s="295" t="s">
        <v>81</v>
      </c>
      <c r="K35" s="291"/>
      <c r="M35" s="940"/>
      <c r="N35" s="754"/>
      <c r="O35" s="754" t="s">
        <v>81</v>
      </c>
      <c r="P35" s="285">
        <f t="shared" si="174"/>
        <v>33</v>
      </c>
      <c r="Q35" s="62">
        <f t="shared" ref="Q35:Q39" si="179">Q18-P35</f>
        <v>108</v>
      </c>
      <c r="R35" s="219" t="str">
        <f t="shared" si="175"/>
        <v>Голышев</v>
      </c>
      <c r="S35" s="76" t="s">
        <v>10</v>
      </c>
      <c r="T35" s="77" t="s">
        <v>9</v>
      </c>
      <c r="U35" s="73">
        <f t="shared" si="176"/>
        <v>0</v>
      </c>
      <c r="V35" s="62">
        <f t="shared" si="177"/>
        <v>0</v>
      </c>
      <c r="W35" s="62"/>
      <c r="X35" s="74" t="s">
        <v>34</v>
      </c>
      <c r="Y35" s="80"/>
      <c r="Z35" s="7"/>
      <c r="AA35" s="7"/>
      <c r="AB35" s="13"/>
      <c r="AC35" s="13"/>
      <c r="AD35" s="13"/>
    </row>
    <row r="36" ht="14.25">
      <c r="A36" s="278" t="s">
        <v>47</v>
      </c>
      <c r="B36" s="754"/>
      <c r="C36" s="754" t="s">
        <v>81</v>
      </c>
      <c r="D36" s="754"/>
      <c r="E36" s="754" t="s">
        <v>81</v>
      </c>
      <c r="F36" s="938"/>
      <c r="G36" s="550"/>
      <c r="H36" s="941"/>
      <c r="I36" s="942"/>
      <c r="J36" s="295"/>
      <c r="K36" s="295" t="s">
        <v>81</v>
      </c>
      <c r="L36" s="295"/>
      <c r="M36" s="295" t="s">
        <v>81</v>
      </c>
      <c r="N36" s="938"/>
      <c r="O36" s="550"/>
      <c r="P36" s="285">
        <f t="shared" si="174"/>
        <v>44</v>
      </c>
      <c r="Q36" s="62">
        <f t="shared" si="179"/>
        <v>108</v>
      </c>
      <c r="R36" s="219" t="str">
        <f t="shared" si="175"/>
        <v>Торубара</v>
      </c>
      <c r="S36" s="76" t="s">
        <v>10</v>
      </c>
      <c r="T36" s="77" t="s">
        <v>9</v>
      </c>
      <c r="U36" s="73">
        <f t="shared" si="176"/>
        <v>0</v>
      </c>
      <c r="V36" s="62">
        <f t="shared" si="177"/>
        <v>0</v>
      </c>
      <c r="W36" s="62"/>
      <c r="X36" s="74" t="s">
        <v>34</v>
      </c>
      <c r="Y36" s="7"/>
      <c r="Z36" s="7"/>
      <c r="AA36" s="7"/>
      <c r="AB36" s="13"/>
      <c r="AC36" s="13"/>
      <c r="AD36" s="13"/>
    </row>
    <row r="37" ht="14.25">
      <c r="A37" s="278" t="s">
        <v>48</v>
      </c>
      <c r="B37" s="295"/>
      <c r="C37" s="295" t="s">
        <v>81</v>
      </c>
      <c r="D37" s="938"/>
      <c r="E37" s="550"/>
      <c r="F37" s="87"/>
      <c r="G37" s="293"/>
      <c r="H37" s="937"/>
      <c r="I37" s="937" t="s">
        <v>81</v>
      </c>
      <c r="J37" s="937"/>
      <c r="K37" s="937" t="s">
        <v>81</v>
      </c>
      <c r="L37" s="938"/>
      <c r="M37" s="550"/>
      <c r="N37" s="87"/>
      <c r="O37" s="87"/>
      <c r="P37" s="285">
        <f t="shared" si="174"/>
        <v>33</v>
      </c>
      <c r="Q37" s="62">
        <f t="shared" si="179"/>
        <v>108</v>
      </c>
      <c r="R37" s="219" t="str">
        <f t="shared" si="175"/>
        <v>Стрыгин</v>
      </c>
      <c r="S37" s="71" t="s">
        <v>8</v>
      </c>
      <c r="T37" s="72" t="s">
        <v>7</v>
      </c>
      <c r="U37" s="73">
        <f t="shared" si="176"/>
        <v>0</v>
      </c>
      <c r="V37" s="62">
        <f t="shared" si="177"/>
        <v>0</v>
      </c>
      <c r="W37" s="62"/>
      <c r="X37" s="74" t="s">
        <v>49</v>
      </c>
      <c r="Y37" s="7"/>
      <c r="Z37" s="7"/>
      <c r="AA37" s="7"/>
      <c r="AB37" s="13"/>
      <c r="AC37" s="13"/>
      <c r="AD37" s="13"/>
    </row>
    <row r="38" ht="14.25">
      <c r="A38" s="278" t="s">
        <v>50</v>
      </c>
      <c r="B38" s="754"/>
      <c r="C38" s="754" t="s">
        <v>81</v>
      </c>
      <c r="D38" s="934"/>
      <c r="E38" s="291"/>
      <c r="F38" s="291"/>
      <c r="G38" s="935"/>
      <c r="H38" s="295"/>
      <c r="I38" s="295" t="s">
        <v>81</v>
      </c>
      <c r="J38" s="295"/>
      <c r="K38" s="295" t="s">
        <v>81</v>
      </c>
      <c r="L38" s="934"/>
      <c r="M38" s="291"/>
      <c r="N38" s="291"/>
      <c r="O38" s="291"/>
      <c r="P38" s="285">
        <f t="shared" si="174"/>
        <v>33</v>
      </c>
      <c r="Q38" s="62">
        <f t="shared" si="179"/>
        <v>108</v>
      </c>
      <c r="R38" s="219" t="str">
        <f t="shared" si="175"/>
        <v>Фрик</v>
      </c>
      <c r="S38" s="71" t="s">
        <v>12</v>
      </c>
      <c r="T38" s="72" t="s">
        <v>11</v>
      </c>
      <c r="U38" s="73">
        <f t="shared" si="176"/>
        <v>0</v>
      </c>
      <c r="V38" s="62">
        <f t="shared" si="177"/>
        <v>0</v>
      </c>
      <c r="W38" s="62"/>
      <c r="X38" s="74" t="s">
        <v>44</v>
      </c>
      <c r="Y38" s="7"/>
      <c r="Z38" s="7"/>
      <c r="AA38" s="7"/>
      <c r="AB38" s="13"/>
      <c r="AC38" s="13"/>
      <c r="AD38" s="13"/>
    </row>
    <row r="39" ht="14.25">
      <c r="A39" s="206" t="s">
        <v>51</v>
      </c>
      <c r="B39" s="550"/>
      <c r="C39" s="936"/>
      <c r="D39" s="937"/>
      <c r="E39" s="937" t="s">
        <v>81</v>
      </c>
      <c r="F39" s="937"/>
      <c r="G39" s="937" t="s">
        <v>81</v>
      </c>
      <c r="H39" s="938"/>
      <c r="I39" s="550"/>
      <c r="J39" s="550"/>
      <c r="K39" s="936"/>
      <c r="L39" s="295"/>
      <c r="M39" s="295" t="s">
        <v>81</v>
      </c>
      <c r="N39" s="295"/>
      <c r="O39" s="295" t="s">
        <v>81</v>
      </c>
      <c r="P39" s="285">
        <f t="shared" si="174"/>
        <v>44</v>
      </c>
      <c r="Q39" s="62">
        <f t="shared" si="179"/>
        <v>108</v>
      </c>
      <c r="R39" s="219" t="str">
        <f t="shared" si="175"/>
        <v>Истрашкин</v>
      </c>
      <c r="S39" s="71" t="s">
        <v>10</v>
      </c>
      <c r="T39" s="72" t="s">
        <v>9</v>
      </c>
      <c r="U39" s="73">
        <f t="shared" si="176"/>
        <v>0</v>
      </c>
      <c r="V39" s="62">
        <f t="shared" si="177"/>
        <v>0</v>
      </c>
      <c r="W39" s="62"/>
      <c r="X39" s="74" t="s">
        <v>34</v>
      </c>
      <c r="Y39" s="7"/>
      <c r="Z39" s="7"/>
      <c r="AA39" s="7"/>
      <c r="AB39" s="13"/>
      <c r="AC39" s="13"/>
      <c r="AD39" s="13"/>
    </row>
    <row r="40" ht="14.25">
      <c r="A40" s="245"/>
      <c r="B40" s="499">
        <v>46055</v>
      </c>
      <c r="C40" s="157"/>
      <c r="D40" s="500">
        <v>46056</v>
      </c>
      <c r="E40" s="686"/>
      <c r="F40" s="500">
        <v>46057</v>
      </c>
      <c r="G40" s="686"/>
      <c r="H40" s="500">
        <v>46058</v>
      </c>
      <c r="I40" s="686"/>
      <c r="J40" s="500">
        <v>46059</v>
      </c>
      <c r="K40" s="686"/>
      <c r="L40" s="500">
        <v>46060</v>
      </c>
      <c r="M40" s="686"/>
      <c r="N40" s="500">
        <v>46061</v>
      </c>
      <c r="O40" s="686"/>
      <c r="P40" s="246"/>
      <c r="Q40" s="247"/>
      <c r="R40" s="245"/>
      <c r="S40" s="178"/>
      <c r="T40" s="178"/>
      <c r="U40" s="100"/>
      <c r="V40" s="100"/>
      <c r="W40" s="100"/>
      <c r="X40" s="7"/>
      <c r="Y40" s="7"/>
      <c r="Z40" s="7"/>
      <c r="AA40" s="7"/>
      <c r="AB40" s="13"/>
      <c r="AC40" s="13"/>
      <c r="AD40" s="13"/>
    </row>
    <row r="41" ht="14.25">
      <c r="A41" s="162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4"/>
      <c r="R41" s="165"/>
      <c r="S41" s="165"/>
      <c r="T41" s="165"/>
      <c r="U41" s="100"/>
      <c r="V41" s="100"/>
      <c r="W41" s="100"/>
      <c r="X41" s="51"/>
      <c r="Y41" s="7"/>
      <c r="Z41" s="7"/>
      <c r="AA41" s="7"/>
      <c r="AB41" s="13"/>
      <c r="AC41" s="13"/>
      <c r="AD41" s="13"/>
    </row>
    <row r="42" ht="14.25">
      <c r="A42" s="143"/>
      <c r="B42" s="214" t="s">
        <v>17</v>
      </c>
      <c r="C42" s="492"/>
      <c r="D42" s="214" t="s">
        <v>18</v>
      </c>
      <c r="E42" s="492"/>
      <c r="F42" s="214" t="s">
        <v>19</v>
      </c>
      <c r="G42" s="214"/>
      <c r="H42" s="214" t="s">
        <v>20</v>
      </c>
      <c r="I42" s="492"/>
      <c r="J42" s="214" t="s">
        <v>21</v>
      </c>
      <c r="K42" s="214"/>
      <c r="L42" s="214" t="s">
        <v>22</v>
      </c>
      <c r="M42" s="214"/>
      <c r="N42" s="214" t="s">
        <v>23</v>
      </c>
      <c r="O42" s="214"/>
      <c r="P42" s="208" t="s">
        <v>24</v>
      </c>
      <c r="Q42" s="209"/>
      <c r="R42" s="143"/>
      <c r="S42" s="143"/>
      <c r="T42" s="143"/>
      <c r="U42" s="62"/>
      <c r="V42" s="62"/>
      <c r="W42" s="62"/>
      <c r="X42" s="63"/>
      <c r="Y42" s="7"/>
      <c r="Z42" s="7"/>
      <c r="AA42" s="7"/>
      <c r="AB42" s="13"/>
      <c r="AC42" s="13"/>
      <c r="AD42" s="13"/>
    </row>
    <row r="43" ht="14.25">
      <c r="A43" s="143"/>
      <c r="B43" s="526">
        <v>46062</v>
      </c>
      <c r="C43" s="528"/>
      <c r="D43" s="526">
        <v>46063</v>
      </c>
      <c r="E43" s="528"/>
      <c r="F43" s="526">
        <v>46064</v>
      </c>
      <c r="G43" s="528"/>
      <c r="H43" s="526">
        <v>46065</v>
      </c>
      <c r="I43" s="528"/>
      <c r="J43" s="526">
        <v>46066</v>
      </c>
      <c r="K43" s="528"/>
      <c r="L43" s="526">
        <v>46067</v>
      </c>
      <c r="M43" s="528"/>
      <c r="N43" s="526">
        <v>46068</v>
      </c>
      <c r="O43" s="528"/>
      <c r="P43" s="213" t="s">
        <v>25</v>
      </c>
      <c r="Q43" s="214" t="s">
        <v>26</v>
      </c>
      <c r="R43" s="537"/>
      <c r="S43" s="147"/>
      <c r="T43" s="147"/>
      <c r="U43" s="60" t="s">
        <v>27</v>
      </c>
      <c r="V43" s="61" t="s">
        <v>28</v>
      </c>
      <c r="W43" s="62" t="s">
        <v>29</v>
      </c>
      <c r="X43" s="63" t="s">
        <v>30</v>
      </c>
      <c r="Y43" s="7"/>
      <c r="Z43" s="7"/>
      <c r="AA43" s="7"/>
      <c r="AB43" s="13"/>
      <c r="AC43" s="13"/>
      <c r="AD43" s="13"/>
    </row>
    <row r="44" ht="14.25">
      <c r="A44" s="538" t="s">
        <v>35</v>
      </c>
      <c r="B44" s="540" t="s">
        <v>32</v>
      </c>
      <c r="C44" s="540" t="s">
        <v>33</v>
      </c>
      <c r="D44" s="540" t="s">
        <v>32</v>
      </c>
      <c r="E44" s="540" t="s">
        <v>33</v>
      </c>
      <c r="F44" s="540" t="s">
        <v>32</v>
      </c>
      <c r="G44" s="540" t="s">
        <v>33</v>
      </c>
      <c r="H44" s="540" t="s">
        <v>32</v>
      </c>
      <c r="I44" s="540" t="s">
        <v>33</v>
      </c>
      <c r="J44" s="540" t="s">
        <v>32</v>
      </c>
      <c r="K44" s="540" t="s">
        <v>33</v>
      </c>
      <c r="L44" s="541"/>
      <c r="M44" s="541"/>
      <c r="N44" s="541"/>
      <c r="O44" s="541"/>
      <c r="P44" s="253">
        <f t="shared" si="174"/>
        <v>40</v>
      </c>
      <c r="Q44" s="62">
        <f t="shared" ref="Q44:Q87" si="180">Q28-P44</f>
        <v>72</v>
      </c>
      <c r="R44" s="219" t="str">
        <f t="shared" si="175"/>
        <v>Рычков</v>
      </c>
      <c r="S44" s="76" t="s">
        <v>10</v>
      </c>
      <c r="T44" s="77" t="s">
        <v>9</v>
      </c>
      <c r="U44" s="73">
        <f t="shared" si="176"/>
        <v>0</v>
      </c>
      <c r="V44" s="62">
        <f t="shared" si="177"/>
        <v>0</v>
      </c>
      <c r="W44" s="62"/>
      <c r="X44" s="74" t="s">
        <v>34</v>
      </c>
      <c r="Y44" s="7"/>
      <c r="Z44" s="7"/>
      <c r="AA44" s="7"/>
      <c r="AB44" s="13"/>
      <c r="AC44" s="13"/>
      <c r="AD44" s="13"/>
    </row>
    <row r="45" ht="14.25">
      <c r="A45" s="440" t="s">
        <v>39</v>
      </c>
      <c r="B45" s="540" t="s">
        <v>32</v>
      </c>
      <c r="C45" s="540" t="s">
        <v>33</v>
      </c>
      <c r="D45" s="540" t="s">
        <v>32</v>
      </c>
      <c r="E45" s="540" t="s">
        <v>33</v>
      </c>
      <c r="F45" s="540" t="s">
        <v>32</v>
      </c>
      <c r="G45" s="540" t="s">
        <v>33</v>
      </c>
      <c r="H45" s="540" t="s">
        <v>32</v>
      </c>
      <c r="I45" s="540" t="s">
        <v>33</v>
      </c>
      <c r="J45" s="540" t="s">
        <v>32</v>
      </c>
      <c r="K45" s="540" t="s">
        <v>33</v>
      </c>
      <c r="L45" s="541"/>
      <c r="M45" s="541"/>
      <c r="N45" s="541"/>
      <c r="O45" s="541"/>
      <c r="P45" s="253">
        <f t="shared" si="174"/>
        <v>40</v>
      </c>
      <c r="Q45" s="62">
        <f t="shared" si="180"/>
        <v>72</v>
      </c>
      <c r="R45" s="219" t="str">
        <f t="shared" si="175"/>
        <v>Игумнов</v>
      </c>
      <c r="S45" s="76" t="s">
        <v>10</v>
      </c>
      <c r="T45" s="77" t="s">
        <v>9</v>
      </c>
      <c r="U45" s="73">
        <f t="shared" si="176"/>
        <v>0</v>
      </c>
      <c r="V45" s="62">
        <f t="shared" si="177"/>
        <v>0</v>
      </c>
      <c r="W45" s="62"/>
      <c r="X45" s="79" t="s">
        <v>34</v>
      </c>
      <c r="Y45" s="7"/>
      <c r="Z45" s="7"/>
      <c r="AA45" s="7"/>
      <c r="AB45" s="13"/>
      <c r="AC45" s="13"/>
      <c r="AD45" s="13"/>
    </row>
    <row r="46" ht="14.25">
      <c r="A46" s="440" t="s">
        <v>40</v>
      </c>
      <c r="B46" s="540" t="s">
        <v>32</v>
      </c>
      <c r="C46" s="540" t="s">
        <v>33</v>
      </c>
      <c r="D46" s="540" t="s">
        <v>32</v>
      </c>
      <c r="E46" s="540" t="s">
        <v>33</v>
      </c>
      <c r="F46" s="540" t="s">
        <v>32</v>
      </c>
      <c r="G46" s="540" t="s">
        <v>33</v>
      </c>
      <c r="H46" s="540" t="s">
        <v>32</v>
      </c>
      <c r="I46" s="540" t="s">
        <v>33</v>
      </c>
      <c r="J46" s="540" t="s">
        <v>32</v>
      </c>
      <c r="K46" s="540" t="s">
        <v>33</v>
      </c>
      <c r="L46" s="541"/>
      <c r="M46" s="541"/>
      <c r="N46" s="541"/>
      <c r="O46" s="541"/>
      <c r="P46" s="253">
        <f t="shared" si="174"/>
        <v>40</v>
      </c>
      <c r="Q46" s="62">
        <f t="shared" si="180"/>
        <v>72</v>
      </c>
      <c r="R46" s="219" t="str">
        <f t="shared" si="175"/>
        <v>Душин</v>
      </c>
      <c r="S46" s="76" t="s">
        <v>10</v>
      </c>
      <c r="T46" s="77" t="s">
        <v>9</v>
      </c>
      <c r="U46" s="73">
        <f t="shared" si="176"/>
        <v>0</v>
      </c>
      <c r="V46" s="62">
        <f t="shared" si="177"/>
        <v>0</v>
      </c>
      <c r="W46" s="62"/>
      <c r="X46" s="74" t="s">
        <v>38</v>
      </c>
      <c r="Y46" s="7"/>
      <c r="Z46" s="7"/>
      <c r="AA46" s="7"/>
      <c r="AB46" s="13"/>
      <c r="AC46" s="13"/>
      <c r="AD46" s="13"/>
    </row>
    <row r="47" ht="14.25">
      <c r="A47" s="440" t="s">
        <v>31</v>
      </c>
      <c r="B47" s="540" t="s">
        <v>32</v>
      </c>
      <c r="C47" s="540" t="s">
        <v>33</v>
      </c>
      <c r="D47" s="540" t="s">
        <v>32</v>
      </c>
      <c r="E47" s="540" t="s">
        <v>33</v>
      </c>
      <c r="F47" s="540" t="s">
        <v>32</v>
      </c>
      <c r="G47" s="540" t="s">
        <v>33</v>
      </c>
      <c r="H47" s="540" t="s">
        <v>32</v>
      </c>
      <c r="I47" s="540" t="s">
        <v>33</v>
      </c>
      <c r="J47" s="540" t="s">
        <v>32</v>
      </c>
      <c r="K47" s="540" t="s">
        <v>33</v>
      </c>
      <c r="L47" s="541"/>
      <c r="M47" s="541"/>
      <c r="N47" s="541"/>
      <c r="O47" s="541"/>
      <c r="P47" s="253">
        <f t="shared" si="174"/>
        <v>40</v>
      </c>
      <c r="Q47" s="62">
        <f t="shared" si="180"/>
        <v>72</v>
      </c>
      <c r="R47" s="219" t="str">
        <f t="shared" si="175"/>
        <v>Нетронин</v>
      </c>
      <c r="S47" s="76" t="s">
        <v>58</v>
      </c>
      <c r="T47" s="77" t="s">
        <v>59</v>
      </c>
      <c r="U47" s="73"/>
      <c r="V47" s="62"/>
      <c r="W47" s="62"/>
      <c r="X47" s="74" t="s">
        <v>34</v>
      </c>
      <c r="Y47" s="7"/>
      <c r="Z47" s="7"/>
      <c r="AA47" s="7"/>
      <c r="AB47" s="13"/>
      <c r="AC47" s="13"/>
      <c r="AD47" s="13"/>
    </row>
    <row r="48" ht="14.25">
      <c r="A48" s="440" t="s">
        <v>42</v>
      </c>
      <c r="B48" s="543" t="s">
        <v>32</v>
      </c>
      <c r="C48" s="543" t="s">
        <v>33</v>
      </c>
      <c r="D48" s="543" t="s">
        <v>32</v>
      </c>
      <c r="E48" s="543" t="s">
        <v>33</v>
      </c>
      <c r="F48" s="543" t="s">
        <v>32</v>
      </c>
      <c r="G48" s="543" t="s">
        <v>33</v>
      </c>
      <c r="H48" s="543" t="s">
        <v>32</v>
      </c>
      <c r="I48" s="543" t="s">
        <v>33</v>
      </c>
      <c r="J48" s="543" t="s">
        <v>32</v>
      </c>
      <c r="K48" s="543" t="s">
        <v>33</v>
      </c>
      <c r="L48" s="544"/>
      <c r="M48" s="544"/>
      <c r="N48" s="544"/>
      <c r="O48" s="544"/>
      <c r="P48" s="253">
        <f t="shared" si="174"/>
        <v>40</v>
      </c>
      <c r="Q48" s="62">
        <f t="shared" si="180"/>
        <v>72</v>
      </c>
      <c r="R48" s="219" t="str">
        <f t="shared" si="175"/>
        <v>Юращик</v>
      </c>
      <c r="S48" s="76" t="s">
        <v>10</v>
      </c>
      <c r="T48" s="77" t="s">
        <v>9</v>
      </c>
      <c r="U48" s="73"/>
      <c r="V48" s="62"/>
      <c r="W48" s="62"/>
      <c r="X48" s="74" t="s">
        <v>38</v>
      </c>
      <c r="Y48" s="7"/>
      <c r="Z48" s="7"/>
      <c r="AA48" s="7"/>
      <c r="AB48" s="13"/>
      <c r="AC48" s="13"/>
      <c r="AD48" s="13"/>
    </row>
    <row r="49" ht="14.25">
      <c r="A49" s="278" t="s">
        <v>43</v>
      </c>
      <c r="B49" s="291"/>
      <c r="C49" s="935"/>
      <c r="D49" s="295"/>
      <c r="E49" s="295" t="s">
        <v>81</v>
      </c>
      <c r="F49" s="295"/>
      <c r="G49" s="295" t="s">
        <v>81</v>
      </c>
      <c r="H49" s="934"/>
      <c r="I49" s="291"/>
      <c r="J49" s="291"/>
      <c r="K49" s="935"/>
      <c r="L49" s="937"/>
      <c r="M49" s="937" t="s">
        <v>81</v>
      </c>
      <c r="N49" s="937"/>
      <c r="O49" s="937" t="s">
        <v>81</v>
      </c>
      <c r="P49" s="285">
        <f t="shared" si="174"/>
        <v>44</v>
      </c>
      <c r="Q49" s="62">
        <f t="shared" si="180"/>
        <v>64</v>
      </c>
      <c r="R49" s="219" t="str">
        <f t="shared" si="175"/>
        <v>Дащенко</v>
      </c>
      <c r="S49" s="71" t="s">
        <v>12</v>
      </c>
      <c r="T49" s="72" t="s">
        <v>11</v>
      </c>
      <c r="U49" s="73">
        <f t="shared" si="176"/>
        <v>0</v>
      </c>
      <c r="V49" s="62">
        <f t="shared" si="177"/>
        <v>0</v>
      </c>
      <c r="W49" s="62"/>
      <c r="X49" s="416" t="s">
        <v>44</v>
      </c>
      <c r="Y49" s="7"/>
      <c r="Z49" s="7"/>
      <c r="AA49" s="7"/>
      <c r="AB49" s="13"/>
      <c r="AC49" s="13"/>
      <c r="AD49" s="13"/>
    </row>
    <row r="50" ht="14.25">
      <c r="A50" s="278" t="s">
        <v>45</v>
      </c>
      <c r="B50" s="939"/>
      <c r="C50" s="939" t="s">
        <v>81</v>
      </c>
      <c r="D50" s="938"/>
      <c r="E50" s="550"/>
      <c r="F50" s="550"/>
      <c r="G50" s="936"/>
      <c r="H50" s="937"/>
      <c r="I50" s="937" t="s">
        <v>81</v>
      </c>
      <c r="J50" s="937"/>
      <c r="K50" s="937" t="s">
        <v>81</v>
      </c>
      <c r="L50" s="938"/>
      <c r="M50" s="550"/>
      <c r="N50" s="550"/>
      <c r="O50" s="550"/>
      <c r="P50" s="285">
        <f t="shared" si="174"/>
        <v>33</v>
      </c>
      <c r="Q50" s="62">
        <f t="shared" si="180"/>
        <v>75</v>
      </c>
      <c r="R50" s="219" t="str">
        <f t="shared" si="175"/>
        <v>Пузырь</v>
      </c>
      <c r="S50" s="76" t="s">
        <v>10</v>
      </c>
      <c r="T50" s="77" t="s">
        <v>9</v>
      </c>
      <c r="U50" s="73">
        <f t="shared" si="176"/>
        <v>0</v>
      </c>
      <c r="V50" s="62">
        <f t="shared" si="177"/>
        <v>0</v>
      </c>
      <c r="W50" s="62"/>
      <c r="X50" s="74" t="s">
        <v>34</v>
      </c>
      <c r="Y50" s="7"/>
      <c r="Z50" s="7"/>
      <c r="AA50" s="7"/>
      <c r="AB50" s="13"/>
      <c r="AC50" s="13"/>
      <c r="AD50" s="13"/>
    </row>
    <row r="51" ht="14.25">
      <c r="A51" s="278" t="s">
        <v>46</v>
      </c>
      <c r="B51" s="754"/>
      <c r="C51" s="754" t="s">
        <v>81</v>
      </c>
      <c r="D51" s="934"/>
      <c r="E51" s="291"/>
      <c r="F51" s="291"/>
      <c r="G51" s="935"/>
      <c r="H51" s="295"/>
      <c r="I51" s="295" t="s">
        <v>81</v>
      </c>
      <c r="J51" s="295"/>
      <c r="K51" s="295" t="s">
        <v>81</v>
      </c>
      <c r="L51" s="934"/>
      <c r="M51" s="291"/>
      <c r="N51" s="291"/>
      <c r="O51" s="291"/>
      <c r="P51" s="285">
        <f t="shared" si="174"/>
        <v>33</v>
      </c>
      <c r="Q51" s="62">
        <f t="shared" si="180"/>
        <v>75</v>
      </c>
      <c r="R51" s="219" t="str">
        <f t="shared" si="175"/>
        <v>Голышев</v>
      </c>
      <c r="S51" s="76" t="s">
        <v>10</v>
      </c>
      <c r="T51" s="77" t="s">
        <v>9</v>
      </c>
      <c r="U51" s="73">
        <f t="shared" si="176"/>
        <v>0</v>
      </c>
      <c r="V51" s="62">
        <f t="shared" si="177"/>
        <v>0</v>
      </c>
      <c r="W51" s="62"/>
      <c r="X51" s="74" t="s">
        <v>34</v>
      </c>
      <c r="Y51" s="7"/>
      <c r="Z51" s="7"/>
      <c r="AA51" s="7"/>
      <c r="AB51" s="13"/>
      <c r="AC51" s="13"/>
      <c r="AD51" s="13"/>
    </row>
    <row r="52" ht="14.25">
      <c r="A52" s="278" t="s">
        <v>47</v>
      </c>
      <c r="B52" s="941"/>
      <c r="C52" s="942"/>
      <c r="D52" s="937"/>
      <c r="E52" s="937" t="s">
        <v>81</v>
      </c>
      <c r="F52" s="937"/>
      <c r="G52" s="937" t="s">
        <v>81</v>
      </c>
      <c r="H52" s="938"/>
      <c r="I52" s="550"/>
      <c r="J52" s="941"/>
      <c r="K52" s="942"/>
      <c r="L52" s="295"/>
      <c r="M52" s="295" t="s">
        <v>81</v>
      </c>
      <c r="N52" s="295"/>
      <c r="O52" s="295" t="s">
        <v>81</v>
      </c>
      <c r="P52" s="285">
        <f t="shared" si="174"/>
        <v>44</v>
      </c>
      <c r="Q52" s="62">
        <f t="shared" si="180"/>
        <v>64</v>
      </c>
      <c r="R52" s="219" t="str">
        <f t="shared" si="175"/>
        <v>Торубара</v>
      </c>
      <c r="S52" s="76" t="s">
        <v>10</v>
      </c>
      <c r="T52" s="77" t="s">
        <v>9</v>
      </c>
      <c r="U52" s="73">
        <f t="shared" si="176"/>
        <v>0</v>
      </c>
      <c r="V52" s="62">
        <f t="shared" si="177"/>
        <v>0</v>
      </c>
      <c r="W52" s="62"/>
      <c r="X52" s="74" t="s">
        <v>34</v>
      </c>
      <c r="Y52" s="7"/>
      <c r="Z52" s="7"/>
      <c r="AA52" s="7"/>
      <c r="AB52" s="13"/>
      <c r="AC52" s="13"/>
      <c r="AD52" s="13"/>
    </row>
    <row r="53" ht="14.25">
      <c r="A53" s="278" t="s">
        <v>48</v>
      </c>
      <c r="B53" s="295"/>
      <c r="C53" s="295" t="s">
        <v>81</v>
      </c>
      <c r="D53" s="295"/>
      <c r="E53" s="295" t="s">
        <v>81</v>
      </c>
      <c r="F53" s="938"/>
      <c r="G53" s="550"/>
      <c r="H53" s="87"/>
      <c r="I53" s="293"/>
      <c r="J53" s="937"/>
      <c r="K53" s="937" t="s">
        <v>81</v>
      </c>
      <c r="L53" s="937"/>
      <c r="M53" s="937" t="s">
        <v>81</v>
      </c>
      <c r="N53" s="938"/>
      <c r="O53" s="550"/>
      <c r="P53" s="285">
        <f t="shared" si="174"/>
        <v>44</v>
      </c>
      <c r="Q53" s="62">
        <f t="shared" si="180"/>
        <v>64</v>
      </c>
      <c r="R53" s="219" t="str">
        <f t="shared" si="175"/>
        <v>Стрыгин</v>
      </c>
      <c r="S53" s="71" t="s">
        <v>8</v>
      </c>
      <c r="T53" s="72" t="s">
        <v>7</v>
      </c>
      <c r="U53" s="73">
        <f t="shared" si="176"/>
        <v>0</v>
      </c>
      <c r="V53" s="62">
        <f t="shared" si="177"/>
        <v>0</v>
      </c>
      <c r="W53" s="62"/>
      <c r="X53" s="74" t="s">
        <v>49</v>
      </c>
      <c r="Y53" s="7"/>
      <c r="Z53" s="7"/>
      <c r="AA53" s="7"/>
      <c r="AB53" s="13"/>
      <c r="AC53" s="13"/>
      <c r="AD53" s="13"/>
    </row>
    <row r="54" ht="14.25">
      <c r="A54" s="278" t="s">
        <v>50</v>
      </c>
      <c r="B54" s="937"/>
      <c r="C54" s="937" t="s">
        <v>81</v>
      </c>
      <c r="D54" s="937"/>
      <c r="E54" s="937" t="s">
        <v>81</v>
      </c>
      <c r="F54" s="934"/>
      <c r="G54" s="291"/>
      <c r="H54" s="291"/>
      <c r="I54" s="935"/>
      <c r="J54" s="295"/>
      <c r="K54" s="295" t="s">
        <v>81</v>
      </c>
      <c r="L54" s="295"/>
      <c r="M54" s="295" t="s">
        <v>81</v>
      </c>
      <c r="N54" s="934"/>
      <c r="O54" s="291"/>
      <c r="P54" s="285">
        <f t="shared" si="174"/>
        <v>44</v>
      </c>
      <c r="Q54" s="62">
        <f t="shared" si="180"/>
        <v>64</v>
      </c>
      <c r="R54" s="219" t="str">
        <f t="shared" si="175"/>
        <v>Фрик</v>
      </c>
      <c r="S54" s="71" t="s">
        <v>12</v>
      </c>
      <c r="T54" s="72" t="s">
        <v>11</v>
      </c>
      <c r="U54" s="73">
        <f t="shared" si="176"/>
        <v>0</v>
      </c>
      <c r="V54" s="62">
        <f t="shared" si="177"/>
        <v>0</v>
      </c>
      <c r="W54" s="62"/>
      <c r="X54" s="74" t="s">
        <v>44</v>
      </c>
      <c r="Y54" s="7"/>
      <c r="Z54" s="7"/>
      <c r="AA54" s="7"/>
      <c r="AB54" s="13"/>
      <c r="AC54" s="13"/>
      <c r="AD54" s="13"/>
    </row>
    <row r="55" ht="14.25">
      <c r="A55" s="278" t="s">
        <v>51</v>
      </c>
      <c r="B55" s="550"/>
      <c r="C55" s="550"/>
      <c r="D55" s="550"/>
      <c r="E55" s="936"/>
      <c r="F55" s="937"/>
      <c r="G55" s="937" t="s">
        <v>81</v>
      </c>
      <c r="H55" s="937"/>
      <c r="I55" s="937" t="s">
        <v>81</v>
      </c>
      <c r="J55" s="938"/>
      <c r="K55" s="550"/>
      <c r="L55" s="550"/>
      <c r="M55" s="936"/>
      <c r="N55" s="295"/>
      <c r="O55" s="295" t="s">
        <v>81</v>
      </c>
      <c r="P55" s="285">
        <f t="shared" si="174"/>
        <v>33</v>
      </c>
      <c r="Q55" s="62">
        <f t="shared" si="180"/>
        <v>75</v>
      </c>
      <c r="R55" s="219" t="str">
        <f t="shared" si="175"/>
        <v>Истрашкин</v>
      </c>
      <c r="S55" s="71" t="s">
        <v>10</v>
      </c>
      <c r="T55" s="72" t="s">
        <v>9</v>
      </c>
      <c r="U55" s="73">
        <f t="shared" si="176"/>
        <v>0</v>
      </c>
      <c r="V55" s="62">
        <f t="shared" si="177"/>
        <v>0</v>
      </c>
      <c r="W55" s="62"/>
      <c r="X55" s="74" t="s">
        <v>34</v>
      </c>
      <c r="Y55" s="7"/>
      <c r="Z55" s="7"/>
      <c r="AA55" s="7"/>
      <c r="AB55" s="13"/>
      <c r="AC55" s="13"/>
      <c r="AD55" s="13"/>
    </row>
    <row r="56" ht="14.25">
      <c r="A56" s="207"/>
      <c r="B56" s="500">
        <v>46062</v>
      </c>
      <c r="C56" s="686"/>
      <c r="D56" s="500">
        <v>46063</v>
      </c>
      <c r="E56" s="686"/>
      <c r="F56" s="500">
        <v>46064</v>
      </c>
      <c r="G56" s="686"/>
      <c r="H56" s="500">
        <v>46064</v>
      </c>
      <c r="I56" s="686"/>
      <c r="J56" s="500">
        <v>46066</v>
      </c>
      <c r="K56" s="686"/>
      <c r="L56" s="499">
        <v>46067</v>
      </c>
      <c r="M56" s="157"/>
      <c r="N56" s="500">
        <v>46068</v>
      </c>
      <c r="O56" s="686"/>
      <c r="P56" s="253"/>
      <c r="Q56" s="254"/>
      <c r="R56" s="207"/>
      <c r="S56" s="138"/>
      <c r="T56" s="138"/>
      <c r="U56" s="60" t="s">
        <v>27</v>
      </c>
      <c r="V56" s="61" t="s">
        <v>28</v>
      </c>
      <c r="W56" s="62" t="s">
        <v>29</v>
      </c>
      <c r="X56" s="7"/>
      <c r="Y56" s="7"/>
      <c r="Z56" s="7"/>
      <c r="AA56" s="7"/>
      <c r="AB56" s="13"/>
      <c r="AC56" s="13"/>
      <c r="AD56" s="13"/>
    </row>
    <row r="57" ht="14.25">
      <c r="A57" s="165"/>
      <c r="B57" s="165"/>
      <c r="C57" s="165"/>
      <c r="D57" s="165"/>
      <c r="E57" s="165"/>
      <c r="F57" s="165"/>
      <c r="G57" s="165"/>
      <c r="H57" s="165"/>
      <c r="I57" s="165"/>
      <c r="J57" s="165"/>
      <c r="K57" s="165"/>
      <c r="L57" s="165"/>
      <c r="M57" s="165"/>
      <c r="N57" s="165"/>
      <c r="O57" s="165"/>
      <c r="P57" s="165"/>
      <c r="Q57" s="165"/>
      <c r="R57" s="193"/>
      <c r="S57" s="127"/>
      <c r="T57" s="127"/>
      <c r="U57" s="127"/>
      <c r="V57" s="127"/>
      <c r="W57" s="128"/>
      <c r="X57" s="7"/>
      <c r="Y57" s="7"/>
      <c r="Z57" s="7"/>
      <c r="AA57" s="7"/>
      <c r="AB57" s="13"/>
      <c r="AC57" s="13"/>
      <c r="AD57" s="13"/>
    </row>
    <row r="58" ht="14.25">
      <c r="A58" s="143"/>
      <c r="B58" s="214" t="s">
        <v>17</v>
      </c>
      <c r="C58" s="492"/>
      <c r="D58" s="214" t="s">
        <v>18</v>
      </c>
      <c r="E58" s="492"/>
      <c r="F58" s="214" t="s">
        <v>19</v>
      </c>
      <c r="G58" s="214"/>
      <c r="H58" s="214" t="s">
        <v>20</v>
      </c>
      <c r="I58" s="492"/>
      <c r="J58" s="493" t="s">
        <v>21</v>
      </c>
      <c r="K58" s="493"/>
      <c r="L58" s="214" t="s">
        <v>22</v>
      </c>
      <c r="M58" s="214"/>
      <c r="N58" s="214" t="s">
        <v>23</v>
      </c>
      <c r="O58" s="214"/>
      <c r="P58" s="208" t="s">
        <v>24</v>
      </c>
      <c r="Q58" s="209"/>
      <c r="R58" s="143"/>
      <c r="S58" s="143"/>
      <c r="T58" s="143"/>
      <c r="U58" s="62"/>
      <c r="V58" s="62"/>
      <c r="W58" s="62"/>
      <c r="X58" s="51"/>
      <c r="Y58" s="7"/>
      <c r="Z58" s="7"/>
      <c r="AA58" s="7"/>
      <c r="AB58" s="13"/>
      <c r="AC58" s="13"/>
      <c r="AD58" s="13"/>
    </row>
    <row r="59" ht="14.25">
      <c r="A59" s="143"/>
      <c r="B59" s="526">
        <v>46069</v>
      </c>
      <c r="C59" s="528"/>
      <c r="D59" s="526">
        <v>46070</v>
      </c>
      <c r="E59" s="528"/>
      <c r="F59" s="526">
        <v>46071</v>
      </c>
      <c r="G59" s="528"/>
      <c r="H59" s="526">
        <v>46072</v>
      </c>
      <c r="I59" s="528"/>
      <c r="J59" s="526">
        <v>46073</v>
      </c>
      <c r="K59" s="528"/>
      <c r="L59" s="526">
        <v>46074</v>
      </c>
      <c r="M59" s="528"/>
      <c r="N59" s="526">
        <v>46075</v>
      </c>
      <c r="O59" s="528"/>
      <c r="P59" s="213" t="s">
        <v>25</v>
      </c>
      <c r="Q59" s="214" t="s">
        <v>26</v>
      </c>
      <c r="R59" s="537"/>
      <c r="S59" s="147"/>
      <c r="T59" s="147"/>
      <c r="U59" s="60" t="s">
        <v>27</v>
      </c>
      <c r="V59" s="61" t="s">
        <v>28</v>
      </c>
      <c r="W59" s="62" t="s">
        <v>29</v>
      </c>
      <c r="X59" s="63" t="s">
        <v>30</v>
      </c>
      <c r="Y59" s="7"/>
      <c r="Z59" s="7"/>
      <c r="AA59" s="7"/>
      <c r="AB59" s="13"/>
      <c r="AC59" s="13"/>
      <c r="AD59" s="13"/>
    </row>
    <row r="60" ht="14.25">
      <c r="A60" s="440" t="s">
        <v>35</v>
      </c>
      <c r="B60" s="540" t="s">
        <v>32</v>
      </c>
      <c r="C60" s="540" t="s">
        <v>33</v>
      </c>
      <c r="D60" s="540" t="s">
        <v>32</v>
      </c>
      <c r="E60" s="540" t="s">
        <v>33</v>
      </c>
      <c r="F60" s="540" t="s">
        <v>32</v>
      </c>
      <c r="G60" s="540" t="s">
        <v>33</v>
      </c>
      <c r="H60" s="540" t="s">
        <v>32</v>
      </c>
      <c r="I60" s="540" t="s">
        <v>33</v>
      </c>
      <c r="J60" s="540" t="s">
        <v>32</v>
      </c>
      <c r="K60" s="540" t="s">
        <v>33</v>
      </c>
      <c r="L60" s="541"/>
      <c r="M60" s="541"/>
      <c r="N60" s="541"/>
      <c r="O60" s="541"/>
      <c r="P60" s="253">
        <f t="shared" si="174"/>
        <v>40</v>
      </c>
      <c r="Q60" s="62">
        <f t="shared" si="180"/>
        <v>32</v>
      </c>
      <c r="R60" s="219" t="str">
        <f t="shared" si="175"/>
        <v>Рычков</v>
      </c>
      <c r="S60" s="76" t="s">
        <v>10</v>
      </c>
      <c r="T60" s="77" t="s">
        <v>9</v>
      </c>
      <c r="U60" s="73">
        <f t="shared" si="176"/>
        <v>0</v>
      </c>
      <c r="V60" s="62">
        <f t="shared" si="177"/>
        <v>0</v>
      </c>
      <c r="W60" s="62"/>
      <c r="X60" s="74" t="s">
        <v>34</v>
      </c>
      <c r="Y60" s="7"/>
      <c r="Z60" s="7"/>
      <c r="AA60" s="7"/>
      <c r="AB60" s="13"/>
      <c r="AC60" s="13"/>
      <c r="AD60" s="13"/>
    </row>
    <row r="61" ht="14.25">
      <c r="A61" s="440" t="s">
        <v>39</v>
      </c>
      <c r="B61" s="540" t="s">
        <v>32</v>
      </c>
      <c r="C61" s="540" t="s">
        <v>33</v>
      </c>
      <c r="D61" s="540" t="s">
        <v>32</v>
      </c>
      <c r="E61" s="540" t="s">
        <v>33</v>
      </c>
      <c r="F61" s="540" t="s">
        <v>32</v>
      </c>
      <c r="G61" s="540" t="s">
        <v>33</v>
      </c>
      <c r="H61" s="540" t="s">
        <v>32</v>
      </c>
      <c r="I61" s="540" t="s">
        <v>33</v>
      </c>
      <c r="J61" s="540" t="s">
        <v>32</v>
      </c>
      <c r="K61" s="540" t="s">
        <v>33</v>
      </c>
      <c r="L61" s="541"/>
      <c r="M61" s="541"/>
      <c r="N61" s="541"/>
      <c r="O61" s="541"/>
      <c r="P61" s="253">
        <f t="shared" si="174"/>
        <v>40</v>
      </c>
      <c r="Q61" s="62">
        <f t="shared" si="180"/>
        <v>32</v>
      </c>
      <c r="R61" s="219" t="str">
        <f t="shared" si="175"/>
        <v>Игумнов</v>
      </c>
      <c r="S61" s="76" t="s">
        <v>10</v>
      </c>
      <c r="T61" s="77" t="s">
        <v>9</v>
      </c>
      <c r="U61" s="73">
        <f t="shared" si="176"/>
        <v>0</v>
      </c>
      <c r="V61" s="62">
        <f t="shared" si="177"/>
        <v>0</v>
      </c>
      <c r="W61" s="62"/>
      <c r="X61" s="79" t="s">
        <v>34</v>
      </c>
      <c r="Y61" s="7"/>
      <c r="Z61" s="7"/>
      <c r="AA61" s="7"/>
      <c r="AB61" s="13"/>
      <c r="AC61" s="13"/>
      <c r="AD61" s="13"/>
    </row>
    <row r="62" ht="14.25">
      <c r="A62" s="440" t="s">
        <v>40</v>
      </c>
      <c r="B62" s="540" t="s">
        <v>32</v>
      </c>
      <c r="C62" s="540" t="s">
        <v>33</v>
      </c>
      <c r="D62" s="540" t="s">
        <v>32</v>
      </c>
      <c r="E62" s="540" t="s">
        <v>33</v>
      </c>
      <c r="F62" s="540" t="s">
        <v>32</v>
      </c>
      <c r="G62" s="540" t="s">
        <v>33</v>
      </c>
      <c r="H62" s="540" t="s">
        <v>32</v>
      </c>
      <c r="I62" s="540" t="s">
        <v>33</v>
      </c>
      <c r="J62" s="540" t="s">
        <v>32</v>
      </c>
      <c r="K62" s="540" t="s">
        <v>33</v>
      </c>
      <c r="L62" s="541"/>
      <c r="M62" s="541"/>
      <c r="N62" s="541"/>
      <c r="O62" s="541"/>
      <c r="P62" s="253">
        <f t="shared" si="174"/>
        <v>40</v>
      </c>
      <c r="Q62" s="62">
        <f t="shared" si="180"/>
        <v>32</v>
      </c>
      <c r="R62" s="219" t="str">
        <f t="shared" si="175"/>
        <v>Душин</v>
      </c>
      <c r="S62" s="76" t="s">
        <v>10</v>
      </c>
      <c r="T62" s="77" t="s">
        <v>9</v>
      </c>
      <c r="U62" s="73">
        <f t="shared" si="176"/>
        <v>0</v>
      </c>
      <c r="V62" s="62">
        <f>COUNTIF(U62,C62)+COUNTIF(U62,E62)+COUNTIF(U62,G62)+COUNTIF(U62,I62)+COUNTIF(U62,K62)+COUNTIF(U62,M62)+COUNTIF(U62,O62)</f>
        <v>0</v>
      </c>
      <c r="W62" s="62"/>
      <c r="X62" s="74" t="s">
        <v>38</v>
      </c>
      <c r="Y62" s="7"/>
      <c r="Z62" s="7"/>
      <c r="AA62" s="7"/>
      <c r="AB62" s="13"/>
      <c r="AC62" s="13"/>
      <c r="AD62" s="13"/>
    </row>
    <row r="63" ht="14.25">
      <c r="A63" s="440" t="s">
        <v>31</v>
      </c>
      <c r="B63" s="540" t="s">
        <v>32</v>
      </c>
      <c r="C63" s="540" t="s">
        <v>33</v>
      </c>
      <c r="D63" s="540" t="s">
        <v>32</v>
      </c>
      <c r="E63" s="540" t="s">
        <v>33</v>
      </c>
      <c r="F63" s="540" t="s">
        <v>32</v>
      </c>
      <c r="G63" s="540" t="s">
        <v>33</v>
      </c>
      <c r="H63" s="540" t="s">
        <v>32</v>
      </c>
      <c r="I63" s="540" t="s">
        <v>33</v>
      </c>
      <c r="J63" s="540" t="s">
        <v>32</v>
      </c>
      <c r="K63" s="540" t="s">
        <v>33</v>
      </c>
      <c r="L63" s="541"/>
      <c r="M63" s="541"/>
      <c r="N63" s="541"/>
      <c r="O63" s="541"/>
      <c r="P63" s="253">
        <f t="shared" si="174"/>
        <v>40</v>
      </c>
      <c r="Q63" s="62">
        <f t="shared" si="180"/>
        <v>32</v>
      </c>
      <c r="R63" s="219" t="str">
        <f t="shared" si="175"/>
        <v>Нетронин</v>
      </c>
      <c r="S63" s="76" t="s">
        <v>58</v>
      </c>
      <c r="T63" s="77" t="s">
        <v>59</v>
      </c>
      <c r="U63" s="73"/>
      <c r="V63" s="62"/>
      <c r="W63" s="62"/>
      <c r="X63" s="74" t="s">
        <v>34</v>
      </c>
      <c r="Y63" s="7"/>
      <c r="Z63" s="7"/>
      <c r="AA63" s="7"/>
      <c r="AB63" s="13"/>
      <c r="AC63" s="13"/>
      <c r="AD63" s="13"/>
    </row>
    <row r="64" ht="14.25">
      <c r="A64" s="440" t="s">
        <v>42</v>
      </c>
      <c r="B64" s="543" t="s">
        <v>32</v>
      </c>
      <c r="C64" s="543" t="s">
        <v>33</v>
      </c>
      <c r="D64" s="543" t="s">
        <v>32</v>
      </c>
      <c r="E64" s="543" t="s">
        <v>33</v>
      </c>
      <c r="F64" s="543" t="s">
        <v>32</v>
      </c>
      <c r="G64" s="543" t="s">
        <v>33</v>
      </c>
      <c r="H64" s="543" t="s">
        <v>32</v>
      </c>
      <c r="I64" s="543" t="s">
        <v>33</v>
      </c>
      <c r="J64" s="543" t="s">
        <v>32</v>
      </c>
      <c r="K64" s="543" t="s">
        <v>33</v>
      </c>
      <c r="L64" s="544"/>
      <c r="M64" s="544"/>
      <c r="N64" s="544"/>
      <c r="O64" s="544"/>
      <c r="P64" s="253">
        <f t="shared" si="174"/>
        <v>40</v>
      </c>
      <c r="Q64" s="62">
        <f t="shared" si="180"/>
        <v>32</v>
      </c>
      <c r="R64" s="219" t="str">
        <f t="shared" si="175"/>
        <v>Юращик</v>
      </c>
      <c r="S64" s="76" t="s">
        <v>10</v>
      </c>
      <c r="T64" s="77" t="s">
        <v>9</v>
      </c>
      <c r="U64" s="73"/>
      <c r="V64" s="62"/>
      <c r="W64" s="62"/>
      <c r="X64" s="74" t="s">
        <v>38</v>
      </c>
      <c r="Y64" s="7"/>
      <c r="Z64" s="7"/>
      <c r="AA64" s="7"/>
      <c r="AB64" s="13"/>
      <c r="AC64" s="13"/>
      <c r="AD64" s="13"/>
    </row>
    <row r="65">
      <c r="A65" s="278" t="s">
        <v>43</v>
      </c>
      <c r="B65" s="291"/>
      <c r="C65" s="291"/>
      <c r="D65" s="291"/>
      <c r="E65" s="935"/>
      <c r="F65" s="295"/>
      <c r="G65" s="295" t="s">
        <v>81</v>
      </c>
      <c r="H65" s="295"/>
      <c r="I65" s="295" t="s">
        <v>81</v>
      </c>
      <c r="J65" s="934"/>
      <c r="K65" s="291"/>
      <c r="L65" s="291"/>
      <c r="M65" s="935"/>
      <c r="N65" s="937"/>
      <c r="O65" s="937" t="s">
        <v>81</v>
      </c>
      <c r="P65" s="285">
        <f t="shared" si="174"/>
        <v>33</v>
      </c>
      <c r="Q65" s="62">
        <f t="shared" si="180"/>
        <v>31</v>
      </c>
      <c r="R65" s="219" t="str">
        <f t="shared" si="175"/>
        <v>Дащенко</v>
      </c>
      <c r="S65" s="71" t="s">
        <v>12</v>
      </c>
      <c r="T65" s="72" t="s">
        <v>11</v>
      </c>
      <c r="U65" s="73">
        <f t="shared" si="176"/>
        <v>0</v>
      </c>
      <c r="V65" s="62">
        <f t="shared" ref="V65:V67" si="181">COUNTIF(S65,B65)+COUNTIF(S65,D65)+COUNTIF(S65,F65)+COUNTIF(S65,H65)+COUNTIF(S65,J65)+COUNTIF(S65,L65)+COUNTIF(S65,N65)</f>
        <v>0</v>
      </c>
      <c r="W65" s="62"/>
      <c r="X65" s="416" t="s">
        <v>44</v>
      </c>
      <c r="Y65" s="7"/>
      <c r="Z65" s="7"/>
      <c r="AA65" s="7"/>
      <c r="AB65" s="13"/>
      <c r="AC65" s="13"/>
      <c r="AD65" s="13"/>
    </row>
    <row r="66">
      <c r="A66" s="278" t="s">
        <v>45</v>
      </c>
      <c r="B66" s="943"/>
      <c r="C66" s="943" t="s">
        <v>81</v>
      </c>
      <c r="D66" s="939"/>
      <c r="E66" s="939" t="s">
        <v>81</v>
      </c>
      <c r="F66" s="938"/>
      <c r="G66" s="550"/>
      <c r="H66" s="550"/>
      <c r="I66" s="936"/>
      <c r="J66" s="937"/>
      <c r="K66" s="937" t="s">
        <v>81</v>
      </c>
      <c r="L66" s="937"/>
      <c r="M66" s="937" t="s">
        <v>81</v>
      </c>
      <c r="N66" s="938"/>
      <c r="O66" s="550"/>
      <c r="P66" s="218">
        <f t="shared" si="174"/>
        <v>44</v>
      </c>
      <c r="Q66" s="62">
        <f t="shared" si="180"/>
        <v>31</v>
      </c>
      <c r="R66" s="219" t="str">
        <f t="shared" si="175"/>
        <v>Пузырь</v>
      </c>
      <c r="S66" s="76" t="s">
        <v>10</v>
      </c>
      <c r="T66" s="77" t="s">
        <v>9</v>
      </c>
      <c r="U66" s="73">
        <f t="shared" si="176"/>
        <v>0</v>
      </c>
      <c r="V66" s="62">
        <f t="shared" si="181"/>
        <v>0</v>
      </c>
      <c r="W66" s="62"/>
      <c r="X66" s="74" t="s">
        <v>34</v>
      </c>
      <c r="Y66" s="7"/>
      <c r="Z66" s="7"/>
      <c r="AA66" s="7"/>
      <c r="AB66" s="13"/>
      <c r="AC66" s="13"/>
      <c r="AD66" s="13"/>
    </row>
    <row r="67">
      <c r="A67" s="278" t="s">
        <v>46</v>
      </c>
      <c r="B67" s="937"/>
      <c r="C67" s="937" t="s">
        <v>81</v>
      </c>
      <c r="D67" s="937"/>
      <c r="E67" s="937" t="s">
        <v>81</v>
      </c>
      <c r="F67" s="934"/>
      <c r="G67" s="291"/>
      <c r="H67" s="291"/>
      <c r="I67" s="935"/>
      <c r="J67" s="295"/>
      <c r="K67" s="295" t="s">
        <v>81</v>
      </c>
      <c r="L67" s="295"/>
      <c r="M67" s="295" t="s">
        <v>81</v>
      </c>
      <c r="N67" s="934"/>
      <c r="O67" s="291"/>
      <c r="P67" s="285">
        <f t="shared" si="174"/>
        <v>44</v>
      </c>
      <c r="Q67" s="62">
        <f t="shared" si="180"/>
        <v>31</v>
      </c>
      <c r="R67" s="219" t="str">
        <f t="shared" si="175"/>
        <v>Голышев</v>
      </c>
      <c r="S67" s="76" t="s">
        <v>10</v>
      </c>
      <c r="T67" s="77" t="s">
        <v>9</v>
      </c>
      <c r="U67" s="73">
        <f t="shared" si="176"/>
        <v>0</v>
      </c>
      <c r="V67" s="62">
        <f t="shared" si="181"/>
        <v>0</v>
      </c>
      <c r="W67" s="62"/>
      <c r="X67" s="74" t="s">
        <v>34</v>
      </c>
      <c r="Y67" s="7"/>
      <c r="Z67" s="7"/>
      <c r="AA67" s="7"/>
      <c r="AB67" s="13"/>
      <c r="AC67" s="13"/>
      <c r="AD67" s="13"/>
    </row>
    <row r="68">
      <c r="A68" s="278" t="s">
        <v>47</v>
      </c>
      <c r="B68" s="550"/>
      <c r="C68" s="550"/>
      <c r="D68" s="941"/>
      <c r="E68" s="942"/>
      <c r="F68" s="937"/>
      <c r="G68" s="937" t="s">
        <v>81</v>
      </c>
      <c r="H68" s="937"/>
      <c r="I68" s="937" t="s">
        <v>81</v>
      </c>
      <c r="J68" s="938"/>
      <c r="K68" s="550"/>
      <c r="L68" s="941"/>
      <c r="M68" s="942"/>
      <c r="N68" s="295"/>
      <c r="O68" s="295" t="s">
        <v>81</v>
      </c>
      <c r="P68" s="285">
        <f t="shared" si="174"/>
        <v>33</v>
      </c>
      <c r="Q68" s="62">
        <f t="shared" si="180"/>
        <v>31</v>
      </c>
      <c r="R68" s="219" t="str">
        <f t="shared" si="175"/>
        <v>Торубара</v>
      </c>
      <c r="S68" s="76" t="s">
        <v>10</v>
      </c>
      <c r="T68" s="77" t="s">
        <v>9</v>
      </c>
      <c r="U68" s="73">
        <f>COUNTIF(T68,B68)+COUNTIF(T68,D68)+COUNTIF(T68,F68)+COUNTIF(T68,H68)+COUNTIF(T68,N68)+COUNTIF(T68,L68)+COUNTIF(T68,#REF!)</f>
        <v>0</v>
      </c>
      <c r="V68" s="62">
        <f>COUNTIF(S68,B68)+COUNTIF(S68,D68)+COUNTIF(S68,F68)+COUNTIF(S68,H68)+COUNTIF(S68,N68)+COUNTIF(S68,L68)+COUNTIF(S68,#REF!)</f>
        <v>0</v>
      </c>
      <c r="W68" s="62"/>
      <c r="X68" s="74" t="s">
        <v>34</v>
      </c>
      <c r="Y68" s="7"/>
      <c r="Z68" s="7"/>
      <c r="AA68" s="7"/>
      <c r="AB68" s="13"/>
      <c r="AC68" s="13"/>
      <c r="AD68" s="13"/>
    </row>
    <row r="69">
      <c r="A69" s="278" t="s">
        <v>48</v>
      </c>
      <c r="B69" s="87"/>
      <c r="C69" s="293"/>
      <c r="D69" s="295"/>
      <c r="E69" s="295" t="s">
        <v>81</v>
      </c>
      <c r="F69" s="295"/>
      <c r="G69" s="295" t="s">
        <v>81</v>
      </c>
      <c r="H69" s="938"/>
      <c r="I69" s="550"/>
      <c r="J69" s="87"/>
      <c r="K69" s="293"/>
      <c r="L69" s="937"/>
      <c r="M69" s="937" t="s">
        <v>81</v>
      </c>
      <c r="N69" s="937"/>
      <c r="O69" s="937" t="s">
        <v>81</v>
      </c>
      <c r="P69" s="285">
        <f t="shared" si="174"/>
        <v>44</v>
      </c>
      <c r="Q69" s="62">
        <f t="shared" si="180"/>
        <v>20</v>
      </c>
      <c r="R69" s="219" t="str">
        <f t="shared" si="175"/>
        <v>Стрыгин</v>
      </c>
      <c r="S69" s="71" t="s">
        <v>8</v>
      </c>
      <c r="T69" s="72" t="s">
        <v>7</v>
      </c>
      <c r="U69" s="73">
        <f>COUNTIF(T69,B69)+COUNTIF(T69,D69)+COUNTIF(T69,F69)+COUNTIF(T69,#REF!)+COUNTIF(T69,H69)+COUNTIF(T69,L69)+COUNTIF(T69,N69)</f>
        <v>0</v>
      </c>
      <c r="V69" s="62">
        <f>COUNTIF(S69,B69)+COUNTIF(S69,D69)+COUNTIF(S69,F69)+COUNTIF(S69,#REF!)+COUNTIF(S69,H69)+COUNTIF(S69,L69)+COUNTIF(S69,N69)</f>
        <v>0</v>
      </c>
      <c r="W69" s="62"/>
      <c r="X69" s="74" t="s">
        <v>49</v>
      </c>
      <c r="Y69" s="7"/>
      <c r="Z69" s="7"/>
      <c r="AA69" s="7"/>
      <c r="AB69" s="13"/>
      <c r="AC69" s="13"/>
      <c r="AD69" s="13"/>
    </row>
    <row r="70">
      <c r="A70" s="205" t="s">
        <v>50</v>
      </c>
      <c r="B70" s="291"/>
      <c r="C70" s="935"/>
      <c r="D70" s="937"/>
      <c r="E70" s="937" t="s">
        <v>81</v>
      </c>
      <c r="F70" s="937"/>
      <c r="G70" s="937" t="s">
        <v>81</v>
      </c>
      <c r="H70" s="934"/>
      <c r="I70" s="291"/>
      <c r="J70" s="291"/>
      <c r="K70" s="935"/>
      <c r="L70" s="295"/>
      <c r="M70" s="295" t="s">
        <v>81</v>
      </c>
      <c r="N70" s="295"/>
      <c r="O70" s="295" t="s">
        <v>81</v>
      </c>
      <c r="P70" s="285">
        <f t="shared" si="174"/>
        <v>44</v>
      </c>
      <c r="Q70" s="62">
        <f t="shared" si="180"/>
        <v>20</v>
      </c>
      <c r="R70" s="219" t="str">
        <f t="shared" si="175"/>
        <v>Фрик</v>
      </c>
      <c r="S70" s="71" t="s">
        <v>12</v>
      </c>
      <c r="T70" s="72" t="s">
        <v>11</v>
      </c>
      <c r="U70" s="73">
        <f t="shared" ref="U70:U87" si="182">COUNTIF(T70,B70)+COUNTIF(T70,D70)+COUNTIF(T70,F70)+COUNTIF(T70,H70)+COUNTIF(T70,J70)+COUNTIF(T70,L70)+COUNTIF(T70,N70)</f>
        <v>0</v>
      </c>
      <c r="V70" s="62">
        <f t="shared" ref="V70:V87" si="183">COUNTIF(S70,B70)+COUNTIF(S70,D70)+COUNTIF(S70,F70)+COUNTIF(S70,H70)+COUNTIF(S70,J70)+COUNTIF(S70,L70)+COUNTIF(S70,N70)</f>
        <v>0</v>
      </c>
      <c r="W70" s="62"/>
      <c r="X70" s="74" t="s">
        <v>44</v>
      </c>
      <c r="Y70" s="7"/>
      <c r="Z70" s="7"/>
      <c r="AA70" s="7"/>
      <c r="AB70" s="13"/>
      <c r="AC70" s="13"/>
      <c r="AD70" s="13"/>
    </row>
    <row r="71">
      <c r="A71" s="683" t="s">
        <v>51</v>
      </c>
      <c r="B71" s="295"/>
      <c r="C71" s="295" t="s">
        <v>81</v>
      </c>
      <c r="D71" s="938"/>
      <c r="E71" s="550"/>
      <c r="F71" s="550"/>
      <c r="G71" s="936"/>
      <c r="H71" s="937"/>
      <c r="I71" s="937" t="s">
        <v>81</v>
      </c>
      <c r="J71" s="937"/>
      <c r="K71" s="937" t="s">
        <v>81</v>
      </c>
      <c r="L71" s="938"/>
      <c r="M71" s="550"/>
      <c r="N71" s="550"/>
      <c r="O71" s="550"/>
      <c r="P71" s="285">
        <f t="shared" si="174"/>
        <v>33</v>
      </c>
      <c r="Q71" s="62">
        <f t="shared" si="180"/>
        <v>42</v>
      </c>
      <c r="R71" s="219" t="str">
        <f t="shared" si="175"/>
        <v>Истрашкин</v>
      </c>
      <c r="S71" s="71" t="s">
        <v>10</v>
      </c>
      <c r="T71" s="72" t="s">
        <v>9</v>
      </c>
      <c r="U71" s="73">
        <f t="shared" si="182"/>
        <v>0</v>
      </c>
      <c r="V71" s="62">
        <f t="shared" si="183"/>
        <v>0</v>
      </c>
      <c r="W71" s="62"/>
      <c r="X71" s="74" t="s">
        <v>34</v>
      </c>
      <c r="Y71" s="7"/>
      <c r="Z71" s="7"/>
      <c r="AA71" s="7"/>
      <c r="AB71" s="13"/>
      <c r="AC71" s="13"/>
      <c r="AD71" s="13"/>
    </row>
    <row r="72">
      <c r="A72" s="207"/>
      <c r="B72" s="500">
        <v>46069</v>
      </c>
      <c r="C72" s="686"/>
      <c r="D72" s="500">
        <v>46070</v>
      </c>
      <c r="E72" s="686"/>
      <c r="F72" s="500">
        <v>46071</v>
      </c>
      <c r="G72" s="686"/>
      <c r="H72" s="500">
        <v>46072</v>
      </c>
      <c r="I72" s="686"/>
      <c r="J72" s="500">
        <v>46073</v>
      </c>
      <c r="K72" s="686"/>
      <c r="L72" s="500">
        <v>46074</v>
      </c>
      <c r="M72" s="686"/>
      <c r="N72" s="500">
        <v>46075</v>
      </c>
      <c r="O72" s="686"/>
      <c r="P72" s="253"/>
      <c r="Q72" s="254"/>
      <c r="R72" s="207"/>
      <c r="S72" s="138"/>
      <c r="T72" s="138"/>
      <c r="U72" s="60" t="s">
        <v>27</v>
      </c>
      <c r="V72" s="61" t="s">
        <v>28</v>
      </c>
      <c r="W72" s="62" t="s">
        <v>29</v>
      </c>
      <c r="X72" s="7"/>
      <c r="Y72" s="7"/>
      <c r="Z72" s="7"/>
      <c r="AA72" s="7"/>
      <c r="AB72" s="13"/>
      <c r="AC72" s="13"/>
      <c r="AD72" s="1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165"/>
      <c r="R73" s="944"/>
      <c r="S73" s="139"/>
      <c r="T73" s="139"/>
      <c r="U73" s="127"/>
      <c r="V73" s="127"/>
      <c r="W73" s="128"/>
      <c r="X73" s="7"/>
      <c r="Y73" s="7"/>
      <c r="Z73" s="7"/>
      <c r="AA73" s="7"/>
      <c r="AB73" s="13"/>
      <c r="AC73" s="13"/>
      <c r="AD73" s="13"/>
    </row>
    <row r="74">
      <c r="A74" s="143"/>
      <c r="B74" s="214" t="s">
        <v>17</v>
      </c>
      <c r="C74" s="492"/>
      <c r="D74" s="214" t="s">
        <v>18</v>
      </c>
      <c r="E74" s="492"/>
      <c r="F74" s="214" t="s">
        <v>19</v>
      </c>
      <c r="G74" s="214"/>
      <c r="H74" s="214" t="s">
        <v>20</v>
      </c>
      <c r="I74" s="492"/>
      <c r="J74" s="493" t="s">
        <v>21</v>
      </c>
      <c r="K74" s="493"/>
      <c r="L74" s="214" t="s">
        <v>22</v>
      </c>
      <c r="M74" s="214"/>
      <c r="N74" s="214" t="s">
        <v>23</v>
      </c>
      <c r="O74" s="214"/>
      <c r="P74" s="208" t="s">
        <v>24</v>
      </c>
      <c r="Q74" s="209"/>
      <c r="R74" s="143"/>
      <c r="S74" s="143"/>
      <c r="T74" s="143"/>
      <c r="U74" s="62"/>
      <c r="V74" s="62"/>
      <c r="W74" s="62"/>
      <c r="X74" s="51"/>
      <c r="Y74" s="7"/>
      <c r="Z74" s="7"/>
      <c r="AA74" s="7"/>
      <c r="AB74" s="13"/>
      <c r="AC74" s="13"/>
      <c r="AD74" s="13"/>
    </row>
    <row r="75">
      <c r="A75" s="143"/>
      <c r="B75" s="722">
        <v>46076</v>
      </c>
      <c r="C75" s="723"/>
      <c r="D75" s="526">
        <v>46077</v>
      </c>
      <c r="E75" s="528"/>
      <c r="F75" s="526">
        <v>46078</v>
      </c>
      <c r="G75" s="528"/>
      <c r="H75" s="526">
        <v>46079</v>
      </c>
      <c r="I75" s="528"/>
      <c r="J75" s="526">
        <v>46080</v>
      </c>
      <c r="K75" s="528"/>
      <c r="L75" s="526">
        <v>46081</v>
      </c>
      <c r="M75" s="528"/>
      <c r="N75" s="526">
        <v>46082</v>
      </c>
      <c r="O75" s="528"/>
      <c r="P75" s="213" t="s">
        <v>25</v>
      </c>
      <c r="Q75" s="214" t="s">
        <v>26</v>
      </c>
      <c r="R75" s="537"/>
      <c r="S75" s="147"/>
      <c r="T75" s="147"/>
      <c r="U75" s="60" t="s">
        <v>27</v>
      </c>
      <c r="V75" s="61" t="s">
        <v>28</v>
      </c>
      <c r="W75" s="62" t="s">
        <v>29</v>
      </c>
      <c r="X75" s="63" t="s">
        <v>30</v>
      </c>
      <c r="Y75" s="7"/>
      <c r="Z75" s="7"/>
      <c r="AA75" s="7"/>
      <c r="AB75" s="13"/>
      <c r="AC75" s="13"/>
      <c r="AD75" s="13"/>
    </row>
    <row r="76">
      <c r="A76" s="538" t="s">
        <v>35</v>
      </c>
      <c r="B76" s="539"/>
      <c r="C76" s="539"/>
      <c r="D76" s="540" t="s">
        <v>32</v>
      </c>
      <c r="E76" s="540" t="s">
        <v>33</v>
      </c>
      <c r="F76" s="540" t="s">
        <v>32</v>
      </c>
      <c r="G76" s="540" t="s">
        <v>33</v>
      </c>
      <c r="H76" s="540" t="s">
        <v>32</v>
      </c>
      <c r="I76" s="540" t="s">
        <v>33</v>
      </c>
      <c r="J76" s="540" t="s">
        <v>32</v>
      </c>
      <c r="K76" s="540" t="s">
        <v>33</v>
      </c>
      <c r="L76" s="541"/>
      <c r="M76" s="541"/>
      <c r="N76" s="541"/>
      <c r="O76" s="541"/>
      <c r="P76" s="253">
        <f t="shared" ref="P76:P87" si="184">C76+E76+G76+I76+K76+M76+O76</f>
        <v>32</v>
      </c>
      <c r="Q76" s="62">
        <f t="shared" si="180"/>
        <v>0</v>
      </c>
      <c r="R76" s="219" t="str">
        <f t="shared" ref="R76:R87" si="185">A76</f>
        <v>Рычков</v>
      </c>
      <c r="S76" s="76" t="s">
        <v>10</v>
      </c>
      <c r="T76" s="77" t="s">
        <v>9</v>
      </c>
      <c r="U76" s="73">
        <f t="shared" si="182"/>
        <v>0</v>
      </c>
      <c r="V76" s="62">
        <f t="shared" si="183"/>
        <v>0</v>
      </c>
      <c r="W76" s="62"/>
      <c r="X76" s="74" t="s">
        <v>34</v>
      </c>
      <c r="Y76" s="7"/>
      <c r="Z76" s="7"/>
      <c r="AA76" s="7"/>
      <c r="AB76" s="13"/>
      <c r="AC76" s="13"/>
      <c r="AD76" s="13"/>
    </row>
    <row r="77">
      <c r="A77" s="440" t="s">
        <v>39</v>
      </c>
      <c r="B77" s="539"/>
      <c r="C77" s="539"/>
      <c r="D77" s="540" t="s">
        <v>32</v>
      </c>
      <c r="E77" s="540" t="s">
        <v>33</v>
      </c>
      <c r="F77" s="540" t="s">
        <v>32</v>
      </c>
      <c r="G77" s="540" t="s">
        <v>33</v>
      </c>
      <c r="H77" s="540" t="s">
        <v>32</v>
      </c>
      <c r="I77" s="540" t="s">
        <v>33</v>
      </c>
      <c r="J77" s="540" t="s">
        <v>32</v>
      </c>
      <c r="K77" s="540" t="s">
        <v>33</v>
      </c>
      <c r="L77" s="541"/>
      <c r="M77" s="541"/>
      <c r="N77" s="541"/>
      <c r="O77" s="541"/>
      <c r="P77" s="253">
        <f t="shared" si="184"/>
        <v>32</v>
      </c>
      <c r="Q77" s="62">
        <f t="shared" si="180"/>
        <v>0</v>
      </c>
      <c r="R77" s="219" t="str">
        <f t="shared" si="185"/>
        <v>Игумнов</v>
      </c>
      <c r="S77" s="76" t="s">
        <v>10</v>
      </c>
      <c r="T77" s="77" t="s">
        <v>9</v>
      </c>
      <c r="U77" s="73">
        <f t="shared" si="182"/>
        <v>0</v>
      </c>
      <c r="V77" s="62">
        <f t="shared" si="183"/>
        <v>0</v>
      </c>
      <c r="W77" s="62"/>
      <c r="X77" s="79" t="s">
        <v>34</v>
      </c>
      <c r="Y77" s="7"/>
      <c r="Z77" s="7"/>
      <c r="AA77" s="7"/>
      <c r="AB77" s="13"/>
      <c r="AC77" s="13"/>
      <c r="AD77" s="13"/>
    </row>
    <row r="78">
      <c r="A78" s="440" t="s">
        <v>40</v>
      </c>
      <c r="B78" s="539"/>
      <c r="C78" s="539"/>
      <c r="D78" s="540" t="s">
        <v>32</v>
      </c>
      <c r="E78" s="540" t="s">
        <v>33</v>
      </c>
      <c r="F78" s="540" t="s">
        <v>32</v>
      </c>
      <c r="G78" s="540" t="s">
        <v>33</v>
      </c>
      <c r="H78" s="540" t="s">
        <v>32</v>
      </c>
      <c r="I78" s="540" t="s">
        <v>33</v>
      </c>
      <c r="J78" s="540" t="s">
        <v>32</v>
      </c>
      <c r="K78" s="540" t="s">
        <v>33</v>
      </c>
      <c r="L78" s="541"/>
      <c r="M78" s="541"/>
      <c r="N78" s="541"/>
      <c r="O78" s="541"/>
      <c r="P78" s="253">
        <f t="shared" si="184"/>
        <v>32</v>
      </c>
      <c r="Q78" s="62">
        <f t="shared" si="180"/>
        <v>0</v>
      </c>
      <c r="R78" s="219" t="str">
        <f t="shared" si="185"/>
        <v>Душин</v>
      </c>
      <c r="S78" s="76" t="s">
        <v>10</v>
      </c>
      <c r="T78" s="77" t="s">
        <v>9</v>
      </c>
      <c r="U78" s="73">
        <f t="shared" si="182"/>
        <v>0</v>
      </c>
      <c r="V78" s="62">
        <f t="shared" si="183"/>
        <v>0</v>
      </c>
      <c r="W78" s="62"/>
      <c r="X78" s="74" t="s">
        <v>38</v>
      </c>
      <c r="Y78" s="7"/>
      <c r="Z78" s="7"/>
      <c r="AA78" s="7"/>
      <c r="AB78" s="13"/>
      <c r="AC78" s="13"/>
      <c r="AD78" s="13"/>
    </row>
    <row r="79">
      <c r="A79" s="440" t="s">
        <v>31</v>
      </c>
      <c r="B79" s="539"/>
      <c r="C79" s="539"/>
      <c r="D79" s="540" t="s">
        <v>32</v>
      </c>
      <c r="E79" s="540" t="s">
        <v>33</v>
      </c>
      <c r="F79" s="540" t="s">
        <v>32</v>
      </c>
      <c r="G79" s="540" t="s">
        <v>33</v>
      </c>
      <c r="H79" s="540" t="s">
        <v>32</v>
      </c>
      <c r="I79" s="540" t="s">
        <v>33</v>
      </c>
      <c r="J79" s="540" t="s">
        <v>32</v>
      </c>
      <c r="K79" s="540" t="s">
        <v>33</v>
      </c>
      <c r="L79" s="541"/>
      <c r="M79" s="541"/>
      <c r="N79" s="541"/>
      <c r="O79" s="541"/>
      <c r="P79" s="253">
        <f t="shared" si="184"/>
        <v>32</v>
      </c>
      <c r="Q79" s="62">
        <f t="shared" si="180"/>
        <v>0</v>
      </c>
      <c r="R79" s="219" t="str">
        <f t="shared" si="185"/>
        <v>Нетронин</v>
      </c>
      <c r="S79" s="76" t="s">
        <v>58</v>
      </c>
      <c r="T79" s="77" t="s">
        <v>59</v>
      </c>
      <c r="U79" s="73"/>
      <c r="V79" s="62"/>
      <c r="W79" s="62"/>
      <c r="X79" s="74" t="s">
        <v>34</v>
      </c>
      <c r="Y79" s="7"/>
      <c r="Z79" s="7"/>
      <c r="AA79" s="7"/>
      <c r="AB79" s="13"/>
      <c r="AC79" s="13"/>
      <c r="AD79" s="13"/>
    </row>
    <row r="80">
      <c r="A80" s="440" t="s">
        <v>42</v>
      </c>
      <c r="B80" s="542"/>
      <c r="C80" s="542"/>
      <c r="D80" s="543" t="s">
        <v>32</v>
      </c>
      <c r="E80" s="543" t="s">
        <v>33</v>
      </c>
      <c r="F80" s="543" t="s">
        <v>32</v>
      </c>
      <c r="G80" s="543" t="s">
        <v>33</v>
      </c>
      <c r="H80" s="543" t="s">
        <v>32</v>
      </c>
      <c r="I80" s="543" t="s">
        <v>33</v>
      </c>
      <c r="J80" s="543" t="s">
        <v>32</v>
      </c>
      <c r="K80" s="543" t="s">
        <v>33</v>
      </c>
      <c r="L80" s="544"/>
      <c r="M80" s="544"/>
      <c r="N80" s="544"/>
      <c r="O80" s="544"/>
      <c r="P80" s="253">
        <f t="shared" si="184"/>
        <v>32</v>
      </c>
      <c r="Q80" s="62">
        <f t="shared" si="180"/>
        <v>0</v>
      </c>
      <c r="R80" s="219" t="str">
        <f t="shared" si="185"/>
        <v>Юращик</v>
      </c>
      <c r="S80" s="76" t="s">
        <v>10</v>
      </c>
      <c r="T80" s="77" t="s">
        <v>9</v>
      </c>
      <c r="U80" s="73"/>
      <c r="V80" s="62"/>
      <c r="W80" s="62"/>
      <c r="X80" s="74" t="s">
        <v>38</v>
      </c>
      <c r="Y80" s="7"/>
      <c r="Z80" s="7"/>
      <c r="AA80" s="7"/>
      <c r="AB80" s="13"/>
      <c r="AC80" s="13"/>
      <c r="AD80" s="13"/>
    </row>
    <row r="81">
      <c r="A81" s="278" t="s">
        <v>43</v>
      </c>
      <c r="B81" s="937"/>
      <c r="C81" s="937" t="s">
        <v>81</v>
      </c>
      <c r="D81" s="934"/>
      <c r="E81" s="291"/>
      <c r="F81" s="291"/>
      <c r="G81" s="935"/>
      <c r="H81" s="943"/>
      <c r="I81" s="943" t="s">
        <v>81</v>
      </c>
      <c r="J81" s="939"/>
      <c r="K81" s="939" t="s">
        <v>81</v>
      </c>
      <c r="L81" s="934"/>
      <c r="M81" s="291"/>
      <c r="N81" s="291"/>
      <c r="O81" s="291"/>
      <c r="P81" s="285">
        <f t="shared" si="184"/>
        <v>33</v>
      </c>
      <c r="Q81" s="62">
        <f t="shared" si="180"/>
        <v>-2</v>
      </c>
      <c r="R81" s="219" t="str">
        <f t="shared" si="185"/>
        <v>Дащенко</v>
      </c>
      <c r="S81" s="71" t="s">
        <v>12</v>
      </c>
      <c r="T81" s="72" t="s">
        <v>11</v>
      </c>
      <c r="U81" s="73">
        <f t="shared" si="182"/>
        <v>0</v>
      </c>
      <c r="V81" s="62">
        <f t="shared" si="183"/>
        <v>0</v>
      </c>
      <c r="W81" s="62"/>
      <c r="X81" s="416" t="s">
        <v>44</v>
      </c>
      <c r="Y81" s="7"/>
      <c r="Z81" s="7"/>
      <c r="AA81" s="7"/>
      <c r="AB81" s="13"/>
      <c r="AC81" s="13"/>
      <c r="AD81" s="13"/>
    </row>
    <row r="82">
      <c r="A82" s="278" t="s">
        <v>45</v>
      </c>
      <c r="B82" s="550"/>
      <c r="C82" s="936"/>
      <c r="D82" s="943"/>
      <c r="E82" s="943" t="s">
        <v>81</v>
      </c>
      <c r="F82" s="939"/>
      <c r="G82" s="939" t="s">
        <v>81</v>
      </c>
      <c r="H82" s="938"/>
      <c r="I82" s="550"/>
      <c r="J82" s="550"/>
      <c r="K82" s="936"/>
      <c r="L82" s="937"/>
      <c r="M82" s="937" t="s">
        <v>81</v>
      </c>
      <c r="N82" s="937"/>
      <c r="O82" s="937"/>
      <c r="P82" s="285">
        <f t="shared" si="184"/>
        <v>33</v>
      </c>
      <c r="Q82" s="62">
        <f t="shared" si="180"/>
        <v>-2</v>
      </c>
      <c r="R82" s="219" t="str">
        <f t="shared" si="185"/>
        <v>Пузырь</v>
      </c>
      <c r="S82" s="76" t="s">
        <v>10</v>
      </c>
      <c r="T82" s="77" t="s">
        <v>9</v>
      </c>
      <c r="U82" s="73">
        <f t="shared" si="182"/>
        <v>0</v>
      </c>
      <c r="V82" s="62">
        <f t="shared" si="183"/>
        <v>0</v>
      </c>
      <c r="W82" s="62"/>
      <c r="X82" s="74" t="s">
        <v>34</v>
      </c>
      <c r="Y82" s="7"/>
      <c r="Z82" s="7"/>
      <c r="AA82" s="7"/>
      <c r="AB82" s="13"/>
      <c r="AC82" s="13"/>
      <c r="AD82" s="13"/>
    </row>
    <row r="83">
      <c r="A83" s="278" t="s">
        <v>46</v>
      </c>
      <c r="B83" s="291"/>
      <c r="C83" s="935"/>
      <c r="D83" s="937"/>
      <c r="E83" s="937" t="s">
        <v>81</v>
      </c>
      <c r="F83" s="937"/>
      <c r="G83" s="937" t="s">
        <v>81</v>
      </c>
      <c r="H83" s="934"/>
      <c r="I83" s="291"/>
      <c r="J83" s="291"/>
      <c r="K83" s="935"/>
      <c r="L83" s="295"/>
      <c r="M83" s="295" t="s">
        <v>81</v>
      </c>
      <c r="N83" s="295"/>
      <c r="O83" s="295"/>
      <c r="P83" s="285">
        <f t="shared" si="184"/>
        <v>33</v>
      </c>
      <c r="Q83" s="62">
        <f t="shared" si="180"/>
        <v>-2</v>
      </c>
      <c r="R83" s="219" t="str">
        <f t="shared" si="185"/>
        <v>Голышев</v>
      </c>
      <c r="S83" s="76" t="s">
        <v>10</v>
      </c>
      <c r="T83" s="77" t="s">
        <v>9</v>
      </c>
      <c r="U83" s="73">
        <f t="shared" si="182"/>
        <v>0</v>
      </c>
      <c r="V83" s="62">
        <f t="shared" si="183"/>
        <v>0</v>
      </c>
      <c r="W83" s="62"/>
      <c r="X83" s="74" t="s">
        <v>34</v>
      </c>
      <c r="Y83" s="7"/>
      <c r="Z83" s="7"/>
      <c r="AA83" s="7"/>
      <c r="AB83" s="13"/>
      <c r="AC83" s="13"/>
      <c r="AD83" s="13"/>
    </row>
    <row r="84">
      <c r="A84" s="278" t="s">
        <v>47</v>
      </c>
      <c r="B84" s="295"/>
      <c r="C84" s="295" t="s">
        <v>81</v>
      </c>
      <c r="D84" s="938"/>
      <c r="E84" s="550"/>
      <c r="F84" s="941"/>
      <c r="G84" s="942"/>
      <c r="H84" s="937"/>
      <c r="I84" s="937" t="s">
        <v>81</v>
      </c>
      <c r="J84" s="937"/>
      <c r="K84" s="937" t="s">
        <v>81</v>
      </c>
      <c r="L84" s="938"/>
      <c r="M84" s="550"/>
      <c r="N84" s="550"/>
      <c r="O84" s="550"/>
      <c r="P84" s="285">
        <f t="shared" si="184"/>
        <v>33</v>
      </c>
      <c r="Q84" s="62">
        <f t="shared" si="180"/>
        <v>-2</v>
      </c>
      <c r="R84" s="219" t="str">
        <f t="shared" si="185"/>
        <v>Торубара</v>
      </c>
      <c r="S84" s="76" t="s">
        <v>10</v>
      </c>
      <c r="T84" s="77" t="s">
        <v>9</v>
      </c>
      <c r="U84" s="73">
        <f t="shared" si="182"/>
        <v>0</v>
      </c>
      <c r="V84" s="62">
        <f t="shared" si="183"/>
        <v>0</v>
      </c>
      <c r="W84" s="62"/>
      <c r="X84" s="74" t="s">
        <v>34</v>
      </c>
      <c r="Y84" s="7"/>
      <c r="Z84" s="7"/>
      <c r="AA84" s="7"/>
      <c r="AB84" s="13"/>
      <c r="AC84" s="13"/>
      <c r="AD84" s="13"/>
    </row>
    <row r="85">
      <c r="A85" s="278" t="s">
        <v>48</v>
      </c>
      <c r="B85" s="550"/>
      <c r="C85" s="550"/>
      <c r="D85" s="87"/>
      <c r="E85" s="293"/>
      <c r="F85" s="295"/>
      <c r="G85" s="295" t="s">
        <v>81</v>
      </c>
      <c r="H85" s="295"/>
      <c r="I85" s="295" t="s">
        <v>81</v>
      </c>
      <c r="J85" s="938"/>
      <c r="K85" s="550"/>
      <c r="L85" s="87"/>
      <c r="M85" s="87"/>
      <c r="N85" s="87"/>
      <c r="O85" s="87"/>
      <c r="P85" s="285">
        <f t="shared" si="184"/>
        <v>22</v>
      </c>
      <c r="Q85" s="62">
        <f t="shared" si="180"/>
        <v>-2</v>
      </c>
      <c r="R85" s="219" t="str">
        <f t="shared" si="185"/>
        <v>Стрыгин</v>
      </c>
      <c r="S85" s="71" t="s">
        <v>8</v>
      </c>
      <c r="T85" s="72" t="s">
        <v>7</v>
      </c>
      <c r="U85" s="73">
        <f t="shared" si="182"/>
        <v>0</v>
      </c>
      <c r="V85" s="62">
        <f t="shared" si="183"/>
        <v>0</v>
      </c>
      <c r="W85" s="62"/>
      <c r="X85" s="74" t="s">
        <v>49</v>
      </c>
      <c r="Y85" s="7"/>
      <c r="Z85" s="7"/>
      <c r="AA85" s="7"/>
      <c r="AB85" s="13"/>
      <c r="AC85" s="13"/>
      <c r="AD85" s="13"/>
    </row>
    <row r="86">
      <c r="A86" s="205" t="s">
        <v>50</v>
      </c>
      <c r="B86" s="291"/>
      <c r="C86" s="291"/>
      <c r="D86" s="291"/>
      <c r="E86" s="935"/>
      <c r="F86" s="937"/>
      <c r="G86" s="937" t="s">
        <v>81</v>
      </c>
      <c r="H86" s="937"/>
      <c r="I86" s="937" t="s">
        <v>81</v>
      </c>
      <c r="J86" s="934"/>
      <c r="K86" s="291"/>
      <c r="L86" s="291"/>
      <c r="M86" s="291"/>
      <c r="N86" s="87"/>
      <c r="O86" s="87"/>
      <c r="P86" s="285">
        <f t="shared" si="184"/>
        <v>22</v>
      </c>
      <c r="Q86" s="62">
        <f t="shared" si="180"/>
        <v>-2</v>
      </c>
      <c r="R86" s="219" t="str">
        <f t="shared" si="185"/>
        <v>Фрик</v>
      </c>
      <c r="S86" s="71" t="s">
        <v>12</v>
      </c>
      <c r="T86" s="72" t="s">
        <v>11</v>
      </c>
      <c r="U86" s="73">
        <f t="shared" si="182"/>
        <v>0</v>
      </c>
      <c r="V86" s="62">
        <f t="shared" si="183"/>
        <v>0</v>
      </c>
      <c r="W86" s="62"/>
      <c r="X86" s="74" t="s">
        <v>44</v>
      </c>
      <c r="Y86" s="7"/>
      <c r="Z86" s="7"/>
      <c r="AA86" s="7"/>
      <c r="AB86" s="13"/>
      <c r="AC86" s="13"/>
      <c r="AD86" s="13"/>
    </row>
    <row r="87">
      <c r="A87" s="683" t="s">
        <v>51</v>
      </c>
      <c r="B87" s="295"/>
      <c r="C87" s="295" t="s">
        <v>81</v>
      </c>
      <c r="D87" s="295"/>
      <c r="E87" s="295" t="s">
        <v>81</v>
      </c>
      <c r="F87" s="938"/>
      <c r="G87" s="550"/>
      <c r="H87" s="550"/>
      <c r="I87" s="936"/>
      <c r="J87" s="937"/>
      <c r="K87" s="937" t="s">
        <v>81</v>
      </c>
      <c r="L87" s="937"/>
      <c r="M87" s="937" t="s">
        <v>81</v>
      </c>
      <c r="N87" s="767"/>
      <c r="O87" s="87"/>
      <c r="P87" s="285">
        <f t="shared" si="184"/>
        <v>44</v>
      </c>
      <c r="Q87" s="62">
        <f t="shared" si="180"/>
        <v>-2</v>
      </c>
      <c r="R87" s="219" t="str">
        <f t="shared" si="185"/>
        <v>Истрашкин</v>
      </c>
      <c r="S87" s="71" t="s">
        <v>10</v>
      </c>
      <c r="T87" s="72" t="s">
        <v>9</v>
      </c>
      <c r="U87" s="73">
        <f t="shared" si="182"/>
        <v>0</v>
      </c>
      <c r="V87" s="62">
        <f t="shared" si="183"/>
        <v>0</v>
      </c>
      <c r="W87" s="62"/>
      <c r="X87" s="74" t="s">
        <v>34</v>
      </c>
      <c r="Y87" s="7"/>
      <c r="Z87" s="7"/>
      <c r="AA87" s="7"/>
      <c r="AB87" s="13"/>
      <c r="AC87" s="13"/>
      <c r="AD87" s="13"/>
    </row>
    <row r="88">
      <c r="A88" s="207"/>
      <c r="B88" s="757">
        <v>46076</v>
      </c>
      <c r="C88" s="774"/>
      <c r="D88" s="500">
        <v>46077</v>
      </c>
      <c r="E88" s="686"/>
      <c r="F88" s="500">
        <v>46078</v>
      </c>
      <c r="G88" s="686"/>
      <c r="H88" s="500">
        <v>46079</v>
      </c>
      <c r="I88" s="686"/>
      <c r="J88" s="500">
        <v>46080</v>
      </c>
      <c r="K88" s="686"/>
      <c r="L88" s="500">
        <v>46081</v>
      </c>
      <c r="M88" s="686"/>
      <c r="N88" s="500">
        <v>46082</v>
      </c>
      <c r="O88" s="686"/>
      <c r="P88" s="253"/>
      <c r="Q88" s="254"/>
      <c r="R88" s="207"/>
      <c r="S88" s="138"/>
      <c r="T88" s="138"/>
      <c r="U88" s="60" t="s">
        <v>27</v>
      </c>
      <c r="V88" s="61" t="s">
        <v>28</v>
      </c>
      <c r="W88" s="62" t="s">
        <v>29</v>
      </c>
      <c r="X88" s="7"/>
      <c r="Y88" s="7"/>
      <c r="Z88" s="7"/>
      <c r="AA88" s="7"/>
      <c r="AB88" s="13"/>
      <c r="AC88" s="13"/>
      <c r="AD88" s="13"/>
    </row>
    <row r="89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27"/>
      <c r="R89" s="139"/>
      <c r="S89" s="139"/>
      <c r="T89" s="139"/>
      <c r="U89" s="127"/>
      <c r="V89" s="127"/>
      <c r="W89" s="128"/>
      <c r="X89" s="7"/>
      <c r="Y89" s="7"/>
      <c r="Z89" s="7"/>
      <c r="AA89" s="7"/>
      <c r="AB89" s="13"/>
      <c r="AC89" s="13"/>
      <c r="AD89" s="13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153"/>
      <c r="R90" s="7"/>
      <c r="S90" s="7"/>
      <c r="T90" s="7"/>
      <c r="U90" s="153"/>
      <c r="V90" s="153"/>
      <c r="W90" s="12"/>
      <c r="X90" s="7"/>
      <c r="Y90" s="7"/>
      <c r="Z90" s="7"/>
      <c r="AA90" s="7"/>
      <c r="AB90" s="13"/>
      <c r="AC90" s="13"/>
      <c r="AD90" s="13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153"/>
      <c r="R91" s="7"/>
      <c r="S91" s="7"/>
      <c r="T91" s="7"/>
      <c r="U91" s="153"/>
      <c r="V91" s="153"/>
      <c r="W91" s="12"/>
      <c r="X91" s="7"/>
      <c r="Y91" s="7"/>
      <c r="Z91" s="7"/>
      <c r="AA91" s="7"/>
      <c r="AB91" s="13"/>
      <c r="AC91" s="13"/>
      <c r="AD91" s="13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153"/>
      <c r="R92" s="7"/>
      <c r="S92" s="7"/>
      <c r="T92" s="7"/>
      <c r="U92" s="153"/>
      <c r="V92" s="153"/>
      <c r="W92" s="12"/>
      <c r="X92" s="7"/>
      <c r="Y92" s="7"/>
      <c r="Z92" s="7"/>
      <c r="AA92" s="7"/>
      <c r="AB92" s="13"/>
      <c r="AC92" s="13"/>
      <c r="AD92" s="13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153"/>
      <c r="R93" s="7"/>
      <c r="S93" s="7"/>
      <c r="T93" s="7"/>
      <c r="U93" s="153"/>
      <c r="V93" s="153"/>
      <c r="W93" s="12"/>
      <c r="X93" s="7"/>
      <c r="Y93" s="7"/>
      <c r="Z93" s="7"/>
      <c r="AA93" s="7"/>
      <c r="AB93" s="13"/>
      <c r="AC93" s="13"/>
      <c r="AD93" s="13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153"/>
      <c r="R94" s="7"/>
      <c r="S94" s="7"/>
      <c r="T94" s="7"/>
      <c r="U94" s="153"/>
      <c r="V94" s="153"/>
      <c r="W94" s="12"/>
      <c r="X94" s="7"/>
      <c r="Y94" s="7"/>
      <c r="Z94" s="7"/>
      <c r="AA94" s="7"/>
      <c r="AB94" s="13"/>
      <c r="AC94" s="13"/>
      <c r="AD94" s="13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153"/>
      <c r="R95" s="7"/>
      <c r="S95" s="7"/>
      <c r="T95" s="7"/>
      <c r="U95" s="153"/>
      <c r="V95" s="153"/>
      <c r="W95" s="12"/>
      <c r="X95" s="7"/>
      <c r="Y95" s="7"/>
      <c r="Z95" s="7"/>
      <c r="AA95" s="7"/>
      <c r="AB95" s="13"/>
      <c r="AC95" s="13"/>
      <c r="AD95" s="13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153"/>
      <c r="R96" s="7"/>
      <c r="S96" s="7"/>
      <c r="T96" s="7"/>
      <c r="U96" s="153"/>
      <c r="V96" s="153"/>
      <c r="W96" s="12"/>
      <c r="X96" s="7"/>
      <c r="Y96" s="7"/>
      <c r="Z96" s="7"/>
      <c r="AA96" s="7"/>
      <c r="AB96" s="13"/>
      <c r="AC96" s="13"/>
      <c r="AD96" s="13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153"/>
      <c r="R97" s="7"/>
      <c r="S97" s="7"/>
      <c r="T97" s="7"/>
      <c r="U97" s="153"/>
      <c r="V97" s="153"/>
      <c r="W97" s="12"/>
      <c r="X97" s="7"/>
      <c r="Y97" s="7"/>
      <c r="Z97" s="7"/>
      <c r="AA97" s="7"/>
      <c r="AB97" s="13"/>
      <c r="AC97" s="13"/>
      <c r="AD97" s="13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53"/>
      <c r="R98" s="7"/>
      <c r="S98" s="7"/>
      <c r="T98" s="7"/>
      <c r="U98" s="153"/>
      <c r="V98" s="153"/>
      <c r="W98" s="12"/>
      <c r="X98" s="7"/>
      <c r="Y98" s="7"/>
      <c r="Z98" s="7"/>
      <c r="AA98" s="7"/>
      <c r="AB98" s="13"/>
      <c r="AC98" s="13"/>
      <c r="AD98" s="13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153"/>
      <c r="R99" s="7"/>
      <c r="S99" s="7"/>
      <c r="T99" s="7"/>
      <c r="U99" s="153"/>
      <c r="V99" s="153"/>
      <c r="W99" s="12"/>
      <c r="X99" s="7"/>
      <c r="Y99" s="7"/>
      <c r="Z99" s="7"/>
      <c r="AA99" s="7"/>
      <c r="AB99" s="13"/>
      <c r="AC99" s="13"/>
      <c r="AD99" s="13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153"/>
      <c r="R100" s="7"/>
      <c r="S100" s="7"/>
      <c r="T100" s="7"/>
      <c r="U100" s="153"/>
      <c r="V100" s="153"/>
      <c r="W100" s="12"/>
      <c r="X100" s="7"/>
      <c r="Y100" s="7"/>
      <c r="Z100" s="7"/>
      <c r="AA100" s="7"/>
      <c r="AB100" s="13"/>
      <c r="AC100" s="13"/>
      <c r="AD100" s="13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153"/>
      <c r="R101" s="7"/>
      <c r="S101" s="7"/>
      <c r="T101" s="7"/>
      <c r="U101" s="153"/>
      <c r="V101" s="153"/>
      <c r="W101" s="12"/>
      <c r="X101" s="7"/>
      <c r="Y101" s="7"/>
      <c r="Z101" s="7"/>
      <c r="AA101" s="7"/>
      <c r="AB101" s="13"/>
      <c r="AC101" s="13"/>
      <c r="AD101" s="13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153"/>
      <c r="R102" s="7"/>
      <c r="S102" s="7"/>
      <c r="T102" s="7"/>
      <c r="U102" s="153"/>
      <c r="V102" s="153"/>
      <c r="W102" s="12"/>
      <c r="X102" s="7"/>
      <c r="Y102" s="7"/>
      <c r="Z102" s="7"/>
      <c r="AA102" s="7"/>
      <c r="AB102" s="13"/>
      <c r="AC102" s="13"/>
      <c r="AD102" s="13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153"/>
      <c r="R103" s="7"/>
      <c r="S103" s="7"/>
      <c r="T103" s="7"/>
      <c r="U103" s="153"/>
      <c r="V103" s="153"/>
      <c r="W103" s="12"/>
      <c r="X103" s="7"/>
      <c r="Y103" s="7"/>
      <c r="Z103" s="7"/>
      <c r="AA103" s="7"/>
      <c r="AB103" s="13"/>
      <c r="AC103" s="13"/>
      <c r="AD103" s="13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153"/>
      <c r="R104" s="7"/>
      <c r="S104" s="7"/>
      <c r="T104" s="7"/>
      <c r="U104" s="153"/>
      <c r="V104" s="153"/>
      <c r="W104" s="12"/>
      <c r="X104" s="7"/>
      <c r="Y104" s="7"/>
      <c r="Z104" s="7"/>
      <c r="AA104" s="7"/>
      <c r="AB104" s="13"/>
      <c r="AC104" s="13"/>
      <c r="AD104" s="13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153"/>
      <c r="R105" s="7"/>
      <c r="S105" s="7"/>
      <c r="T105" s="7"/>
      <c r="U105" s="153"/>
      <c r="V105" s="153"/>
      <c r="W105" s="12"/>
      <c r="X105" s="7"/>
      <c r="Y105" s="7"/>
      <c r="Z105" s="7"/>
      <c r="AA105" s="7"/>
      <c r="AB105" s="13"/>
      <c r="AC105" s="13"/>
      <c r="AD105" s="13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153"/>
      <c r="R106" s="7"/>
      <c r="S106" s="7"/>
      <c r="T106" s="7"/>
      <c r="U106" s="153"/>
      <c r="V106" s="153"/>
      <c r="W106" s="12"/>
      <c r="X106" s="7"/>
      <c r="Y106" s="7"/>
      <c r="Z106" s="7"/>
      <c r="AA106" s="7"/>
      <c r="AB106" s="13"/>
      <c r="AC106" s="13"/>
      <c r="AD106" s="13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153"/>
      <c r="R107" s="7"/>
      <c r="S107" s="7"/>
      <c r="T107" s="7"/>
      <c r="U107" s="153"/>
      <c r="V107" s="153"/>
      <c r="W107" s="12"/>
      <c r="X107" s="7"/>
      <c r="Y107" s="7"/>
      <c r="Z107" s="7"/>
      <c r="AA107" s="7"/>
      <c r="AB107" s="13"/>
      <c r="AC107" s="13"/>
      <c r="AD107" s="13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153"/>
      <c r="R108" s="7"/>
      <c r="S108" s="7"/>
      <c r="T108" s="7"/>
      <c r="U108" s="153"/>
      <c r="V108" s="153"/>
      <c r="W108" s="12"/>
      <c r="X108" s="7"/>
      <c r="Y108" s="7"/>
      <c r="Z108" s="7"/>
      <c r="AA108" s="7"/>
      <c r="AB108" s="13"/>
      <c r="AC108" s="13"/>
      <c r="AD108" s="13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153"/>
      <c r="R109" s="7"/>
      <c r="S109" s="7"/>
      <c r="T109" s="7"/>
      <c r="U109" s="153"/>
      <c r="V109" s="153"/>
      <c r="W109" s="12"/>
      <c r="X109" s="7"/>
      <c r="Y109" s="7"/>
      <c r="Z109" s="7"/>
      <c r="AA109" s="7"/>
      <c r="AB109" s="13"/>
      <c r="AC109" s="13"/>
      <c r="AD109" s="13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153"/>
      <c r="R110" s="7"/>
      <c r="S110" s="7"/>
      <c r="T110" s="7"/>
      <c r="U110" s="153"/>
      <c r="V110" s="153"/>
      <c r="W110" s="12"/>
      <c r="X110" s="7"/>
      <c r="Y110" s="7"/>
      <c r="Z110" s="7"/>
      <c r="AA110" s="7"/>
      <c r="AB110" s="13"/>
      <c r="AC110" s="13"/>
      <c r="AD110" s="13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153"/>
      <c r="R111" s="7"/>
      <c r="S111" s="7"/>
      <c r="T111" s="7"/>
      <c r="U111" s="153"/>
      <c r="V111" s="153"/>
      <c r="W111" s="12"/>
      <c r="X111" s="7"/>
      <c r="Y111" s="7"/>
      <c r="Z111" s="7"/>
      <c r="AA111" s="7"/>
      <c r="AB111" s="13"/>
      <c r="AC111" s="13"/>
      <c r="AD111" s="13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153"/>
      <c r="R112" s="7"/>
      <c r="S112" s="7"/>
      <c r="T112" s="7"/>
      <c r="U112" s="153"/>
      <c r="V112" s="153"/>
      <c r="W112" s="12"/>
      <c r="X112" s="7"/>
      <c r="Y112" s="7"/>
      <c r="Z112" s="7"/>
      <c r="AA112" s="7"/>
      <c r="AB112" s="13"/>
      <c r="AC112" s="13"/>
      <c r="AD112" s="13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153"/>
      <c r="R113" s="7"/>
      <c r="S113" s="7"/>
      <c r="T113" s="7"/>
      <c r="U113" s="153"/>
      <c r="V113" s="153"/>
      <c r="W113" s="12"/>
      <c r="X113" s="7"/>
      <c r="Y113" s="7"/>
      <c r="Z113" s="7"/>
      <c r="AA113" s="7"/>
      <c r="AB113" s="13"/>
      <c r="AC113" s="13"/>
      <c r="AD113" s="13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153"/>
      <c r="R114" s="7"/>
      <c r="S114" s="7"/>
      <c r="T114" s="7"/>
      <c r="U114" s="153"/>
      <c r="V114" s="153"/>
      <c r="W114" s="12"/>
      <c r="X114" s="7"/>
      <c r="Y114" s="7"/>
      <c r="Z114" s="7"/>
      <c r="AA114" s="7"/>
      <c r="AB114" s="13"/>
      <c r="AC114" s="13"/>
      <c r="AD114" s="13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153"/>
      <c r="R115" s="7"/>
      <c r="S115" s="7"/>
      <c r="T115" s="7"/>
      <c r="U115" s="153"/>
      <c r="V115" s="153"/>
      <c r="W115" s="12"/>
      <c r="X115" s="7"/>
      <c r="Y115" s="7"/>
      <c r="Z115" s="7"/>
      <c r="AA115" s="7"/>
      <c r="AB115" s="13"/>
      <c r="AC115" s="13"/>
      <c r="AD115" s="13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153"/>
      <c r="R116" s="7"/>
      <c r="S116" s="7"/>
      <c r="T116" s="7"/>
      <c r="U116" s="153"/>
      <c r="V116" s="153"/>
      <c r="W116" s="12"/>
      <c r="X116" s="7"/>
      <c r="Y116" s="7"/>
      <c r="Z116" s="7"/>
      <c r="AA116" s="7"/>
      <c r="AB116" s="13"/>
      <c r="AC116" s="13"/>
      <c r="AD116" s="13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153"/>
      <c r="R117" s="7"/>
      <c r="S117" s="7"/>
      <c r="T117" s="7"/>
      <c r="U117" s="153"/>
      <c r="V117" s="153"/>
      <c r="W117" s="12"/>
      <c r="X117" s="7"/>
      <c r="Y117" s="7"/>
      <c r="Z117" s="7"/>
      <c r="AA117" s="7"/>
      <c r="AB117" s="13"/>
      <c r="AC117" s="13"/>
      <c r="AD117" s="13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153"/>
      <c r="R118" s="7"/>
      <c r="S118" s="7"/>
      <c r="T118" s="7"/>
      <c r="U118" s="153"/>
      <c r="V118" s="153"/>
      <c r="W118" s="12"/>
      <c r="X118" s="7"/>
      <c r="Y118" s="7"/>
      <c r="Z118" s="7"/>
      <c r="AA118" s="7"/>
      <c r="AB118" s="13"/>
      <c r="AC118" s="13"/>
      <c r="AD118" s="13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53"/>
      <c r="R119" s="7"/>
      <c r="S119" s="7"/>
      <c r="T119" s="7"/>
      <c r="U119" s="153"/>
      <c r="V119" s="153"/>
      <c r="W119" s="12"/>
      <c r="X119" s="7"/>
      <c r="Y119" s="7"/>
      <c r="Z119" s="7"/>
      <c r="AA119" s="7"/>
      <c r="AB119" s="13"/>
      <c r="AC119" s="13"/>
      <c r="AD119" s="13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153"/>
      <c r="R120" s="7"/>
      <c r="S120" s="7"/>
      <c r="T120" s="7"/>
      <c r="U120" s="153"/>
      <c r="V120" s="153"/>
      <c r="W120" s="12"/>
      <c r="X120" s="7"/>
      <c r="Y120" s="7"/>
      <c r="Z120" s="7"/>
      <c r="AA120" s="7"/>
      <c r="AB120" s="13"/>
      <c r="AC120" s="13"/>
      <c r="AD120" s="13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153"/>
      <c r="R121" s="7"/>
      <c r="S121" s="7"/>
      <c r="T121" s="7"/>
      <c r="U121" s="153"/>
      <c r="V121" s="153"/>
      <c r="W121" s="12"/>
      <c r="X121" s="7"/>
      <c r="Y121" s="7"/>
      <c r="Z121" s="7"/>
      <c r="AA121" s="7"/>
      <c r="AB121" s="13"/>
      <c r="AC121" s="13"/>
      <c r="AD121" s="13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153"/>
      <c r="R122" s="7"/>
      <c r="S122" s="7"/>
      <c r="T122" s="7"/>
      <c r="U122" s="153"/>
      <c r="V122" s="153"/>
      <c r="W122" s="12"/>
      <c r="X122" s="7"/>
      <c r="Y122" s="7"/>
      <c r="Z122" s="7"/>
      <c r="AA122" s="7"/>
      <c r="AB122" s="13"/>
      <c r="AC122" s="13"/>
      <c r="AD122" s="13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153"/>
      <c r="R123" s="7"/>
      <c r="S123" s="7"/>
      <c r="T123" s="7"/>
      <c r="U123" s="153"/>
      <c r="V123" s="153"/>
      <c r="W123" s="12"/>
      <c r="X123" s="7"/>
      <c r="Y123" s="7"/>
      <c r="Z123" s="7"/>
      <c r="AA123" s="7"/>
      <c r="AB123" s="13"/>
      <c r="AC123" s="13"/>
      <c r="AD123" s="13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153"/>
      <c r="R124" s="7"/>
      <c r="S124" s="7"/>
      <c r="T124" s="7"/>
      <c r="U124" s="153"/>
      <c r="V124" s="153"/>
      <c r="W124" s="12"/>
      <c r="X124" s="7"/>
      <c r="Y124" s="7"/>
      <c r="Z124" s="7"/>
      <c r="AA124" s="7"/>
      <c r="AB124" s="13"/>
      <c r="AC124" s="13"/>
      <c r="AD124" s="13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153"/>
      <c r="R125" s="7"/>
      <c r="S125" s="7"/>
      <c r="T125" s="7"/>
      <c r="U125" s="153"/>
      <c r="V125" s="153"/>
      <c r="W125" s="12"/>
      <c r="X125" s="7"/>
      <c r="Y125" s="7"/>
      <c r="Z125" s="7"/>
      <c r="AA125" s="7"/>
      <c r="AB125" s="13"/>
      <c r="AC125" s="13"/>
      <c r="AD125" s="13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153"/>
      <c r="R126" s="7"/>
      <c r="S126" s="7"/>
      <c r="T126" s="7"/>
      <c r="U126" s="153"/>
      <c r="V126" s="153"/>
      <c r="W126" s="12"/>
      <c r="X126" s="7"/>
      <c r="Y126" s="7"/>
      <c r="Z126" s="7"/>
      <c r="AA126" s="7"/>
      <c r="AB126" s="13"/>
      <c r="AC126" s="13"/>
      <c r="AD126" s="13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153"/>
      <c r="R127" s="7"/>
      <c r="S127" s="7"/>
      <c r="T127" s="7"/>
      <c r="U127" s="153"/>
      <c r="V127" s="153"/>
      <c r="W127" s="12"/>
      <c r="X127" s="7"/>
      <c r="Y127" s="7"/>
      <c r="Z127" s="7"/>
      <c r="AA127" s="7"/>
      <c r="AB127" s="13"/>
      <c r="AC127" s="13"/>
      <c r="AD127" s="13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153"/>
      <c r="R128" s="7"/>
      <c r="S128" s="7"/>
      <c r="T128" s="7"/>
      <c r="U128" s="153"/>
      <c r="V128" s="153"/>
      <c r="W128" s="12"/>
      <c r="X128" s="7"/>
      <c r="Y128" s="7"/>
      <c r="Z128" s="7"/>
      <c r="AA128" s="7"/>
      <c r="AB128" s="13"/>
      <c r="AC128" s="13"/>
      <c r="AD128" s="13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153"/>
      <c r="R129" s="7"/>
      <c r="S129" s="7"/>
      <c r="T129" s="7"/>
      <c r="U129" s="153"/>
      <c r="V129" s="153"/>
      <c r="W129" s="12"/>
      <c r="X129" s="7"/>
      <c r="Y129" s="7"/>
      <c r="Z129" s="7"/>
      <c r="AA129" s="7"/>
      <c r="AB129" s="13"/>
      <c r="AC129" s="13"/>
      <c r="AD129" s="13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153"/>
      <c r="R130" s="7"/>
      <c r="S130" s="7"/>
      <c r="T130" s="7"/>
      <c r="U130" s="153"/>
      <c r="V130" s="153"/>
      <c r="W130" s="12"/>
      <c r="X130" s="7"/>
      <c r="Y130" s="7"/>
      <c r="Z130" s="7"/>
      <c r="AA130" s="7"/>
      <c r="AB130" s="13"/>
      <c r="AC130" s="13"/>
      <c r="AD130" s="13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153"/>
      <c r="R131" s="7"/>
      <c r="S131" s="7"/>
      <c r="T131" s="7"/>
      <c r="U131" s="153"/>
      <c r="V131" s="153"/>
      <c r="W131" s="12"/>
      <c r="X131" s="7"/>
      <c r="Y131" s="7"/>
      <c r="Z131" s="7"/>
      <c r="AA131" s="7"/>
      <c r="AB131" s="13"/>
      <c r="AC131" s="13"/>
      <c r="AD131" s="13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153"/>
      <c r="R132" s="7"/>
      <c r="S132" s="7"/>
      <c r="T132" s="7"/>
      <c r="U132" s="153"/>
      <c r="V132" s="153"/>
      <c r="W132" s="12"/>
      <c r="X132" s="7"/>
      <c r="Y132" s="7"/>
      <c r="Z132" s="7"/>
      <c r="AA132" s="7"/>
      <c r="AB132" s="13"/>
      <c r="AC132" s="13"/>
      <c r="AD132" s="13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153"/>
      <c r="R133" s="7"/>
      <c r="S133" s="7"/>
      <c r="T133" s="7"/>
      <c r="U133" s="153"/>
      <c r="V133" s="153"/>
      <c r="W133" s="12"/>
      <c r="X133" s="7"/>
      <c r="Y133" s="7"/>
      <c r="Z133" s="7"/>
      <c r="AA133" s="7"/>
      <c r="AB133" s="13"/>
      <c r="AC133" s="13"/>
      <c r="AD133" s="13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153"/>
      <c r="R134" s="7"/>
      <c r="S134" s="7"/>
      <c r="T134" s="7"/>
      <c r="U134" s="153"/>
      <c r="V134" s="153"/>
      <c r="W134" s="12"/>
      <c r="X134" s="7"/>
      <c r="Y134" s="7"/>
      <c r="Z134" s="7"/>
      <c r="AA134" s="7"/>
      <c r="AB134" s="13"/>
      <c r="AC134" s="13"/>
      <c r="AD134" s="13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153"/>
      <c r="R135" s="7"/>
      <c r="S135" s="7"/>
      <c r="T135" s="7"/>
      <c r="U135" s="153"/>
      <c r="V135" s="153"/>
      <c r="W135" s="12"/>
      <c r="X135" s="7"/>
      <c r="Y135" s="7"/>
      <c r="Z135" s="7"/>
      <c r="AA135" s="7"/>
      <c r="AB135" s="13"/>
      <c r="AC135" s="13"/>
      <c r="AD135" s="13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153"/>
      <c r="R136" s="7"/>
      <c r="S136" s="7"/>
      <c r="T136" s="7"/>
      <c r="U136" s="153"/>
      <c r="V136" s="153"/>
      <c r="W136" s="12"/>
      <c r="X136" s="7"/>
      <c r="Y136" s="7"/>
      <c r="Z136" s="7"/>
      <c r="AA136" s="7"/>
      <c r="AB136" s="13"/>
      <c r="AC136" s="13"/>
      <c r="AD136" s="13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153"/>
      <c r="R137" s="7"/>
      <c r="S137" s="7"/>
      <c r="T137" s="7"/>
      <c r="U137" s="153"/>
      <c r="V137" s="153"/>
      <c r="W137" s="12"/>
      <c r="X137" s="7"/>
      <c r="Y137" s="7"/>
      <c r="Z137" s="7"/>
      <c r="AA137" s="7"/>
      <c r="AB137" s="13"/>
      <c r="AC137" s="13"/>
      <c r="AD137" s="13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153"/>
      <c r="R138" s="7"/>
      <c r="S138" s="7"/>
      <c r="T138" s="7"/>
      <c r="U138" s="153"/>
      <c r="V138" s="153"/>
      <c r="W138" s="12"/>
      <c r="X138" s="7"/>
      <c r="Y138" s="7"/>
      <c r="Z138" s="7"/>
      <c r="AA138" s="7"/>
      <c r="AB138" s="13"/>
      <c r="AC138" s="13"/>
      <c r="AD138" s="13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153"/>
      <c r="R139" s="7"/>
      <c r="S139" s="7"/>
      <c r="T139" s="7"/>
      <c r="U139" s="153"/>
      <c r="V139" s="153"/>
      <c r="W139" s="12"/>
      <c r="X139" s="7"/>
      <c r="Y139" s="7"/>
      <c r="Z139" s="7"/>
      <c r="AA139" s="7"/>
      <c r="AB139" s="13"/>
      <c r="AC139" s="13"/>
      <c r="AD139" s="13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153"/>
      <c r="R140" s="7"/>
      <c r="S140" s="7"/>
      <c r="T140" s="7"/>
      <c r="U140" s="153"/>
      <c r="V140" s="153"/>
      <c r="W140" s="12"/>
      <c r="X140" s="7"/>
      <c r="Y140" s="7"/>
      <c r="Z140" s="7"/>
      <c r="AA140" s="7"/>
      <c r="AB140" s="13"/>
      <c r="AC140" s="13"/>
      <c r="AD140" s="13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153"/>
      <c r="R141" s="7"/>
      <c r="S141" s="7"/>
      <c r="T141" s="7"/>
      <c r="U141" s="153"/>
      <c r="V141" s="153"/>
      <c r="W141" s="12"/>
      <c r="X141" s="7"/>
      <c r="Y141" s="7"/>
      <c r="Z141" s="7"/>
      <c r="AA141" s="7"/>
      <c r="AB141" s="13"/>
      <c r="AC141" s="13"/>
      <c r="AD141" s="13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153"/>
      <c r="R142" s="7"/>
      <c r="S142" s="7"/>
      <c r="T142" s="7"/>
      <c r="U142" s="153"/>
      <c r="V142" s="153"/>
      <c r="W142" s="12"/>
      <c r="X142" s="7"/>
      <c r="Y142" s="7"/>
      <c r="Z142" s="7"/>
      <c r="AA142" s="7"/>
      <c r="AB142" s="13"/>
      <c r="AC142" s="13"/>
      <c r="AD142" s="13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153"/>
      <c r="R143" s="7"/>
      <c r="S143" s="7"/>
      <c r="T143" s="7"/>
      <c r="U143" s="153"/>
      <c r="V143" s="153"/>
      <c r="W143" s="12"/>
      <c r="X143" s="7"/>
      <c r="Y143" s="7"/>
      <c r="Z143" s="7"/>
      <c r="AA143" s="7"/>
      <c r="AB143" s="13"/>
      <c r="AC143" s="13"/>
      <c r="AD143" s="13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53"/>
      <c r="R144" s="7"/>
      <c r="S144" s="7"/>
      <c r="T144" s="7"/>
      <c r="U144" s="153"/>
      <c r="V144" s="153"/>
      <c r="W144" s="12"/>
      <c r="X144" s="7"/>
      <c r="Y144" s="7"/>
      <c r="Z144" s="7"/>
      <c r="AA144" s="7"/>
      <c r="AB144" s="13"/>
      <c r="AC144" s="13"/>
      <c r="AD144" s="13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153"/>
      <c r="R145" s="7"/>
      <c r="S145" s="7"/>
      <c r="T145" s="7"/>
      <c r="U145" s="153"/>
      <c r="V145" s="153"/>
      <c r="W145" s="12"/>
      <c r="X145" s="7"/>
      <c r="Y145" s="7"/>
      <c r="Z145" s="7"/>
      <c r="AA145" s="7"/>
      <c r="AB145" s="13"/>
      <c r="AC145" s="13"/>
      <c r="AD145" s="13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153"/>
      <c r="R146" s="7"/>
      <c r="S146" s="7"/>
      <c r="T146" s="7"/>
      <c r="U146" s="153"/>
      <c r="V146" s="153"/>
      <c r="W146" s="12"/>
      <c r="X146" s="7"/>
      <c r="Y146" s="7"/>
      <c r="Z146" s="7"/>
      <c r="AA146" s="7"/>
      <c r="AB146" s="13"/>
      <c r="AC146" s="13"/>
      <c r="AD146" s="13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153"/>
      <c r="R147" s="7"/>
      <c r="S147" s="7"/>
      <c r="T147" s="7"/>
      <c r="U147" s="153"/>
      <c r="V147" s="153"/>
      <c r="W147" s="12"/>
      <c r="X147" s="7"/>
      <c r="Y147" s="7"/>
      <c r="Z147" s="7"/>
      <c r="AA147" s="7"/>
      <c r="AB147" s="13"/>
      <c r="AC147" s="13"/>
      <c r="AD147" s="13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153"/>
      <c r="R148" s="7"/>
      <c r="S148" s="7"/>
      <c r="T148" s="7"/>
      <c r="U148" s="153"/>
      <c r="V148" s="153"/>
      <c r="W148" s="12"/>
      <c r="X148" s="7"/>
      <c r="Y148" s="7"/>
      <c r="Z148" s="7"/>
      <c r="AA148" s="7"/>
      <c r="AB148" s="13"/>
      <c r="AC148" s="13"/>
      <c r="AD148" s="13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153"/>
      <c r="R149" s="7"/>
      <c r="S149" s="7"/>
      <c r="T149" s="7"/>
      <c r="U149" s="153"/>
      <c r="V149" s="153"/>
      <c r="W149" s="12"/>
      <c r="X149" s="7"/>
      <c r="Y149" s="7"/>
      <c r="Z149" s="7"/>
      <c r="AA149" s="7"/>
      <c r="AB149" s="13"/>
      <c r="AC149" s="13"/>
      <c r="AD149" s="13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153"/>
      <c r="R150" s="7"/>
      <c r="S150" s="7"/>
      <c r="T150" s="7"/>
      <c r="U150" s="153"/>
      <c r="V150" s="153"/>
      <c r="W150" s="12"/>
      <c r="X150" s="7"/>
      <c r="Y150" s="7"/>
      <c r="Z150" s="7"/>
      <c r="AA150" s="7"/>
      <c r="AB150" s="13"/>
      <c r="AC150" s="13"/>
      <c r="AD150" s="13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153"/>
      <c r="R151" s="7"/>
      <c r="S151" s="7"/>
      <c r="T151" s="7"/>
      <c r="U151" s="153"/>
      <c r="V151" s="153"/>
      <c r="W151" s="12"/>
      <c r="X151" s="7"/>
      <c r="Y151" s="7"/>
      <c r="Z151" s="7"/>
      <c r="AA151" s="7"/>
      <c r="AB151" s="13"/>
      <c r="AC151" s="13"/>
      <c r="AD151" s="13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153"/>
      <c r="R152" s="7"/>
      <c r="S152" s="7"/>
      <c r="T152" s="7"/>
      <c r="U152" s="153"/>
      <c r="V152" s="153"/>
      <c r="W152" s="12"/>
      <c r="X152" s="7"/>
      <c r="Y152" s="7"/>
      <c r="Z152" s="7"/>
      <c r="AA152" s="7"/>
      <c r="AB152" s="13"/>
      <c r="AC152" s="13"/>
      <c r="AD152" s="13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153"/>
      <c r="R153" s="7"/>
      <c r="S153" s="7"/>
      <c r="T153" s="7"/>
      <c r="U153" s="153"/>
      <c r="V153" s="153"/>
      <c r="W153" s="12"/>
      <c r="X153" s="7"/>
      <c r="Y153" s="7"/>
      <c r="Z153" s="7"/>
      <c r="AA153" s="7"/>
      <c r="AB153" s="13"/>
      <c r="AC153" s="13"/>
      <c r="AD153" s="13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153"/>
      <c r="R154" s="7"/>
      <c r="S154" s="7"/>
      <c r="T154" s="7"/>
      <c r="U154" s="153"/>
      <c r="V154" s="153"/>
      <c r="W154" s="12"/>
      <c r="X154" s="7"/>
      <c r="Y154" s="7"/>
      <c r="Z154" s="7"/>
      <c r="AA154" s="7"/>
      <c r="AB154" s="13"/>
      <c r="AC154" s="13"/>
      <c r="AD154" s="13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153"/>
      <c r="R155" s="7"/>
      <c r="S155" s="7"/>
      <c r="T155" s="7"/>
      <c r="U155" s="153"/>
      <c r="V155" s="153"/>
      <c r="W155" s="12"/>
      <c r="X155" s="7"/>
      <c r="Y155" s="7"/>
      <c r="Z155" s="7"/>
      <c r="AA155" s="7"/>
      <c r="AB155" s="13"/>
      <c r="AC155" s="13"/>
      <c r="AD155" s="13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153"/>
      <c r="R156" s="7"/>
      <c r="S156" s="7"/>
      <c r="T156" s="7"/>
      <c r="U156" s="153"/>
      <c r="V156" s="153"/>
      <c r="W156" s="12"/>
      <c r="X156" s="7"/>
      <c r="Y156" s="7"/>
      <c r="Z156" s="7"/>
      <c r="AA156" s="7"/>
      <c r="AB156" s="13"/>
      <c r="AC156" s="13"/>
      <c r="AD156" s="13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153"/>
      <c r="R157" s="7"/>
      <c r="S157" s="7"/>
      <c r="T157" s="7"/>
      <c r="U157" s="153"/>
      <c r="V157" s="153"/>
      <c r="W157" s="12"/>
      <c r="X157" s="7"/>
      <c r="Y157" s="7"/>
      <c r="Z157" s="7"/>
      <c r="AA157" s="7"/>
      <c r="AB157" s="13"/>
      <c r="AC157" s="13"/>
      <c r="AD157" s="13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153"/>
      <c r="R158" s="7"/>
      <c r="S158" s="7"/>
      <c r="T158" s="7"/>
      <c r="U158" s="153"/>
      <c r="V158" s="153"/>
      <c r="W158" s="12"/>
      <c r="X158" s="7"/>
      <c r="Y158" s="7"/>
      <c r="Z158" s="7"/>
      <c r="AA158" s="7"/>
      <c r="AB158" s="13"/>
      <c r="AC158" s="13"/>
      <c r="AD158" s="13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153"/>
      <c r="R159" s="7"/>
      <c r="S159" s="7"/>
      <c r="T159" s="7"/>
      <c r="U159" s="153"/>
      <c r="V159" s="153"/>
      <c r="W159" s="12"/>
      <c r="X159" s="7"/>
      <c r="Y159" s="7"/>
      <c r="Z159" s="7"/>
      <c r="AA159" s="7"/>
      <c r="AB159" s="13"/>
      <c r="AC159" s="13"/>
      <c r="AD159" s="13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153"/>
      <c r="R160" s="7"/>
      <c r="S160" s="7"/>
      <c r="T160" s="7"/>
      <c r="U160" s="153"/>
      <c r="V160" s="153"/>
      <c r="W160" s="12"/>
      <c r="X160" s="7"/>
      <c r="Y160" s="7"/>
      <c r="Z160" s="7"/>
      <c r="AA160" s="7"/>
      <c r="AB160" s="13"/>
      <c r="AC160" s="13"/>
      <c r="AD160" s="13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153"/>
      <c r="R161" s="7"/>
      <c r="S161" s="7"/>
      <c r="T161" s="7"/>
      <c r="U161" s="153"/>
      <c r="V161" s="153"/>
      <c r="W161" s="12"/>
      <c r="X161" s="7"/>
      <c r="Y161" s="7"/>
      <c r="Z161" s="7"/>
      <c r="AA161" s="7"/>
      <c r="AB161" s="13"/>
      <c r="AC161" s="13"/>
      <c r="AD161" s="13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153"/>
      <c r="R162" s="7"/>
      <c r="S162" s="7"/>
      <c r="T162" s="7"/>
      <c r="U162" s="153"/>
      <c r="V162" s="153"/>
      <c r="W162" s="12"/>
      <c r="X162" s="7"/>
      <c r="Y162" s="7"/>
      <c r="Z162" s="7"/>
      <c r="AA162" s="7"/>
      <c r="AB162" s="13"/>
      <c r="AC162" s="13"/>
      <c r="AD162" s="13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153"/>
      <c r="R163" s="7"/>
      <c r="S163" s="7"/>
      <c r="T163" s="7"/>
      <c r="U163" s="153"/>
      <c r="V163" s="153"/>
      <c r="W163" s="12"/>
      <c r="X163" s="7"/>
      <c r="Y163" s="7"/>
      <c r="Z163" s="7"/>
      <c r="AA163" s="7"/>
      <c r="AB163" s="13"/>
      <c r="AC163" s="13"/>
      <c r="AD163" s="13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153"/>
      <c r="R164" s="7"/>
      <c r="S164" s="7"/>
      <c r="T164" s="7"/>
      <c r="U164" s="153"/>
      <c r="V164" s="153"/>
      <c r="W164" s="12"/>
      <c r="X164" s="7"/>
      <c r="Y164" s="7"/>
      <c r="Z164" s="7"/>
      <c r="AA164" s="7"/>
      <c r="AB164" s="13"/>
      <c r="AC164" s="13"/>
      <c r="AD164" s="13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153"/>
      <c r="R165" s="7"/>
      <c r="S165" s="7"/>
      <c r="T165" s="7"/>
      <c r="U165" s="153"/>
      <c r="V165" s="153"/>
      <c r="W165" s="12"/>
      <c r="X165" s="7"/>
      <c r="Y165" s="7"/>
      <c r="Z165" s="7"/>
      <c r="AA165" s="7"/>
      <c r="AB165" s="13"/>
      <c r="AC165" s="13"/>
      <c r="AD165" s="13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153"/>
      <c r="R166" s="7"/>
      <c r="S166" s="7"/>
      <c r="T166" s="7"/>
      <c r="U166" s="153"/>
      <c r="V166" s="153"/>
      <c r="W166" s="12"/>
      <c r="X166" s="7"/>
      <c r="Y166" s="7"/>
      <c r="Z166" s="7"/>
      <c r="AA166" s="7"/>
      <c r="AB166" s="13"/>
      <c r="AC166" s="13"/>
      <c r="AD166" s="13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53"/>
      <c r="R167" s="7"/>
      <c r="S167" s="7"/>
      <c r="T167" s="7"/>
      <c r="U167" s="153"/>
      <c r="V167" s="153"/>
      <c r="W167" s="12"/>
      <c r="X167" s="7"/>
      <c r="Y167" s="7"/>
      <c r="Z167" s="7"/>
      <c r="AA167" s="7"/>
      <c r="AB167" s="13"/>
      <c r="AC167" s="13"/>
      <c r="AD167" s="13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153"/>
      <c r="R168" s="7"/>
      <c r="S168" s="7"/>
      <c r="T168" s="7"/>
      <c r="U168" s="153"/>
      <c r="V168" s="153"/>
      <c r="W168" s="12"/>
      <c r="X168" s="7"/>
      <c r="Y168" s="7"/>
      <c r="Z168" s="7"/>
      <c r="AA168" s="7"/>
      <c r="AB168" s="13"/>
      <c r="AC168" s="13"/>
      <c r="AD168" s="13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153"/>
      <c r="R169" s="7"/>
      <c r="S169" s="7"/>
      <c r="T169" s="7"/>
      <c r="U169" s="153"/>
      <c r="V169" s="153"/>
      <c r="W169" s="12"/>
      <c r="X169" s="7"/>
      <c r="Y169" s="7"/>
      <c r="Z169" s="7"/>
      <c r="AA169" s="7"/>
      <c r="AB169" s="13"/>
      <c r="AC169" s="13"/>
      <c r="AD169" s="13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153"/>
      <c r="R170" s="7"/>
      <c r="S170" s="7"/>
      <c r="T170" s="7"/>
      <c r="U170" s="153"/>
      <c r="V170" s="153"/>
      <c r="W170" s="12"/>
      <c r="X170" s="7"/>
      <c r="Y170" s="7"/>
      <c r="Z170" s="7"/>
      <c r="AA170" s="7"/>
      <c r="AB170" s="13"/>
      <c r="AC170" s="13"/>
      <c r="AD170" s="13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153"/>
      <c r="R171" s="7"/>
      <c r="S171" s="7"/>
      <c r="T171" s="7"/>
      <c r="U171" s="153"/>
      <c r="V171" s="153"/>
      <c r="W171" s="12"/>
      <c r="X171" s="7"/>
      <c r="Y171" s="7"/>
      <c r="Z171" s="7"/>
      <c r="AA171" s="7"/>
      <c r="AB171" s="13"/>
      <c r="AC171" s="13"/>
      <c r="AD171" s="13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153"/>
      <c r="R172" s="7"/>
      <c r="S172" s="7"/>
      <c r="T172" s="7"/>
      <c r="U172" s="153"/>
      <c r="V172" s="153"/>
      <c r="W172" s="12"/>
      <c r="X172" s="7"/>
      <c r="Y172" s="7"/>
      <c r="Z172" s="7"/>
      <c r="AA172" s="7"/>
      <c r="AB172" s="13"/>
      <c r="AC172" s="13"/>
      <c r="AD172" s="13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153"/>
      <c r="R173" s="7"/>
      <c r="S173" s="7"/>
      <c r="T173" s="7"/>
      <c r="U173" s="153"/>
      <c r="V173" s="153"/>
      <c r="W173" s="12"/>
      <c r="X173" s="7"/>
      <c r="Y173" s="7"/>
      <c r="Z173" s="7"/>
      <c r="AA173" s="7"/>
      <c r="AB173" s="13"/>
      <c r="AC173" s="13"/>
      <c r="AD173" s="13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153"/>
      <c r="R174" s="7"/>
      <c r="S174" s="7"/>
      <c r="T174" s="7"/>
      <c r="U174" s="153"/>
      <c r="V174" s="153"/>
      <c r="W174" s="12"/>
      <c r="X174" s="7"/>
      <c r="Y174" s="7"/>
      <c r="Z174" s="7"/>
      <c r="AA174" s="7"/>
      <c r="AB174" s="13"/>
      <c r="AC174" s="13"/>
      <c r="AD174" s="13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153"/>
      <c r="R175" s="7"/>
      <c r="S175" s="7"/>
      <c r="T175" s="7"/>
      <c r="U175" s="153"/>
      <c r="V175" s="153"/>
      <c r="W175" s="12"/>
      <c r="X175" s="7"/>
      <c r="Y175" s="7"/>
      <c r="Z175" s="7"/>
      <c r="AA175" s="7"/>
      <c r="AB175" s="13"/>
      <c r="AC175" s="13"/>
      <c r="AD175" s="13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153"/>
      <c r="R176" s="7"/>
      <c r="S176" s="7"/>
      <c r="T176" s="7"/>
      <c r="U176" s="153"/>
      <c r="V176" s="153"/>
      <c r="W176" s="12"/>
      <c r="X176" s="7"/>
      <c r="Y176" s="7"/>
      <c r="Z176" s="7"/>
      <c r="AA176" s="7"/>
      <c r="AB176" s="13"/>
      <c r="AC176" s="13"/>
      <c r="AD176" s="13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153"/>
      <c r="R177" s="7"/>
      <c r="S177" s="7"/>
      <c r="T177" s="7"/>
      <c r="U177" s="153"/>
      <c r="V177" s="153"/>
      <c r="W177" s="12"/>
      <c r="X177" s="7"/>
      <c r="Y177" s="7"/>
      <c r="Z177" s="7"/>
      <c r="AA177" s="7"/>
      <c r="AB177" s="13"/>
      <c r="AC177" s="13"/>
      <c r="AD177" s="13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153"/>
      <c r="R178" s="7"/>
      <c r="S178" s="7"/>
      <c r="T178" s="7"/>
      <c r="U178" s="153"/>
      <c r="V178" s="153"/>
      <c r="W178" s="12"/>
      <c r="X178" s="7"/>
      <c r="Y178" s="7"/>
      <c r="Z178" s="7"/>
      <c r="AA178" s="7"/>
      <c r="AB178" s="13"/>
      <c r="AC178" s="13"/>
      <c r="AD178" s="13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153"/>
      <c r="R179" s="7"/>
      <c r="S179" s="7"/>
      <c r="T179" s="7"/>
      <c r="U179" s="153"/>
      <c r="V179" s="153"/>
      <c r="W179" s="12"/>
      <c r="X179" s="7"/>
      <c r="Y179" s="7"/>
      <c r="Z179" s="7"/>
      <c r="AA179" s="7"/>
      <c r="AB179" s="13"/>
      <c r="AC179" s="13"/>
      <c r="AD179" s="13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153"/>
      <c r="R180" s="7"/>
      <c r="S180" s="7"/>
      <c r="T180" s="7"/>
      <c r="U180" s="153"/>
      <c r="V180" s="153"/>
      <c r="W180" s="12"/>
      <c r="X180" s="7"/>
      <c r="Y180" s="7"/>
      <c r="Z180" s="7"/>
      <c r="AA180" s="7"/>
      <c r="AB180" s="13"/>
      <c r="AC180" s="13"/>
      <c r="AD180" s="13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153"/>
      <c r="R181" s="7"/>
      <c r="S181" s="7"/>
      <c r="T181" s="7"/>
      <c r="U181" s="153"/>
      <c r="V181" s="153"/>
      <c r="W181" s="12"/>
      <c r="X181" s="7"/>
      <c r="Y181" s="7"/>
      <c r="Z181" s="7"/>
      <c r="AA181" s="7"/>
      <c r="AB181" s="13"/>
      <c r="AC181" s="13"/>
      <c r="AD181" s="13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153"/>
      <c r="R182" s="7"/>
      <c r="S182" s="7"/>
      <c r="T182" s="7"/>
      <c r="U182" s="153"/>
      <c r="V182" s="153"/>
      <c r="W182" s="12"/>
      <c r="X182" s="7"/>
      <c r="Y182" s="7"/>
      <c r="Z182" s="7"/>
      <c r="AA182" s="7"/>
      <c r="AB182" s="13"/>
      <c r="AC182" s="13"/>
      <c r="AD182" s="13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153"/>
      <c r="R183" s="7"/>
      <c r="S183" s="7"/>
      <c r="T183" s="7"/>
      <c r="U183" s="153"/>
      <c r="V183" s="153"/>
      <c r="W183" s="12"/>
      <c r="X183" s="7"/>
      <c r="Y183" s="7"/>
      <c r="Z183" s="7"/>
      <c r="AA183" s="7"/>
      <c r="AB183" s="13"/>
      <c r="AC183" s="13"/>
      <c r="AD183" s="13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153"/>
      <c r="R184" s="7"/>
      <c r="S184" s="7"/>
      <c r="T184" s="7"/>
      <c r="U184" s="153"/>
      <c r="V184" s="153"/>
      <c r="W184" s="12"/>
      <c r="X184" s="7"/>
      <c r="Y184" s="7"/>
      <c r="Z184" s="7"/>
      <c r="AA184" s="7"/>
      <c r="AB184" s="13"/>
      <c r="AC184" s="13"/>
      <c r="AD184" s="13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153"/>
      <c r="R185" s="7"/>
      <c r="S185" s="7"/>
      <c r="T185" s="7"/>
      <c r="U185" s="153"/>
      <c r="V185" s="153"/>
      <c r="W185" s="12"/>
      <c r="X185" s="7"/>
      <c r="Y185" s="7"/>
      <c r="Z185" s="7"/>
      <c r="AA185" s="7"/>
      <c r="AB185" s="13"/>
      <c r="AC185" s="13"/>
      <c r="AD185" s="13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153"/>
      <c r="R186" s="7"/>
      <c r="S186" s="7"/>
      <c r="T186" s="7"/>
      <c r="U186" s="153"/>
      <c r="V186" s="153"/>
      <c r="W186" s="12"/>
      <c r="X186" s="7"/>
      <c r="Y186" s="7"/>
      <c r="Z186" s="7"/>
      <c r="AA186" s="7"/>
      <c r="AB186" s="13"/>
      <c r="AC186" s="13"/>
      <c r="AD186" s="13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153"/>
      <c r="R187" s="7"/>
      <c r="S187" s="7"/>
      <c r="T187" s="7"/>
      <c r="U187" s="153"/>
      <c r="V187" s="153"/>
      <c r="W187" s="12"/>
      <c r="X187" s="7"/>
      <c r="Y187" s="7"/>
      <c r="Z187" s="7"/>
      <c r="AA187" s="7"/>
      <c r="AB187" s="13"/>
      <c r="AC187" s="13"/>
      <c r="AD187" s="13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153"/>
      <c r="R188" s="7"/>
      <c r="S188" s="7"/>
      <c r="T188" s="7"/>
      <c r="U188" s="153"/>
      <c r="V188" s="153"/>
      <c r="W188" s="12"/>
      <c r="X188" s="7"/>
      <c r="Y188" s="7"/>
      <c r="Z188" s="7"/>
      <c r="AA188" s="7"/>
      <c r="AB188" s="13"/>
      <c r="AC188" s="13"/>
      <c r="AD188" s="13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53"/>
      <c r="R189" s="7"/>
      <c r="S189" s="7"/>
      <c r="T189" s="7"/>
      <c r="U189" s="153"/>
      <c r="V189" s="153"/>
      <c r="W189" s="12"/>
      <c r="X189" s="7"/>
      <c r="Y189" s="7"/>
      <c r="Z189" s="7"/>
      <c r="AA189" s="7"/>
      <c r="AB189" s="13"/>
      <c r="AC189" s="13"/>
      <c r="AD189" s="13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53"/>
      <c r="R190" s="7"/>
      <c r="S190" s="7"/>
      <c r="T190" s="7"/>
      <c r="U190" s="153"/>
      <c r="V190" s="153"/>
      <c r="W190" s="12"/>
      <c r="X190" s="7"/>
      <c r="Y190" s="7"/>
      <c r="Z190" s="7"/>
      <c r="AA190" s="7"/>
      <c r="AB190" s="13"/>
      <c r="AC190" s="13"/>
      <c r="AD190" s="13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153"/>
      <c r="R191" s="7"/>
      <c r="S191" s="7"/>
      <c r="T191" s="7"/>
      <c r="U191" s="153"/>
      <c r="V191" s="153"/>
      <c r="W191" s="12"/>
      <c r="X191" s="7"/>
      <c r="Y191" s="7"/>
      <c r="Z191" s="7"/>
      <c r="AA191" s="7"/>
      <c r="AB191" s="13"/>
      <c r="AC191" s="13"/>
      <c r="AD191" s="13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153"/>
      <c r="R192" s="7"/>
      <c r="S192" s="7"/>
      <c r="T192" s="7"/>
      <c r="U192" s="153"/>
      <c r="V192" s="153"/>
      <c r="W192" s="12"/>
      <c r="X192" s="7"/>
      <c r="Y192" s="7"/>
      <c r="Z192" s="7"/>
      <c r="AA192" s="7"/>
      <c r="AB192" s="13"/>
      <c r="AC192" s="13"/>
      <c r="AD192" s="13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153"/>
      <c r="R193" s="7"/>
      <c r="S193" s="7"/>
      <c r="T193" s="7"/>
      <c r="U193" s="153"/>
      <c r="V193" s="153"/>
      <c r="W193" s="12"/>
      <c r="X193" s="7"/>
      <c r="Y193" s="7"/>
      <c r="Z193" s="7"/>
      <c r="AA193" s="7"/>
      <c r="AB193" s="13"/>
      <c r="AC193" s="13"/>
      <c r="AD193" s="13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153"/>
      <c r="R194" s="7"/>
      <c r="S194" s="7"/>
      <c r="T194" s="7"/>
      <c r="U194" s="153"/>
      <c r="V194" s="153"/>
      <c r="W194" s="12"/>
      <c r="X194" s="7"/>
      <c r="Y194" s="7"/>
      <c r="Z194" s="7"/>
      <c r="AA194" s="7"/>
      <c r="AB194" s="13"/>
      <c r="AC194" s="13"/>
      <c r="AD194" s="13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153"/>
      <c r="R195" s="7"/>
      <c r="S195" s="7"/>
      <c r="T195" s="7"/>
      <c r="U195" s="153"/>
      <c r="V195" s="153"/>
      <c r="W195" s="12"/>
      <c r="X195" s="7"/>
      <c r="Y195" s="7"/>
      <c r="Z195" s="7"/>
      <c r="AA195" s="7"/>
      <c r="AB195" s="13"/>
      <c r="AC195" s="13"/>
      <c r="AD195" s="13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53"/>
      <c r="R196" s="7"/>
      <c r="S196" s="7"/>
      <c r="T196" s="7"/>
      <c r="U196" s="153"/>
      <c r="V196" s="153"/>
      <c r="W196" s="12"/>
      <c r="X196" s="7"/>
      <c r="Y196" s="7"/>
      <c r="Z196" s="7"/>
      <c r="AA196" s="7"/>
      <c r="AB196" s="13"/>
      <c r="AC196" s="13"/>
      <c r="AD196" s="13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153"/>
      <c r="R197" s="7"/>
      <c r="S197" s="7"/>
      <c r="T197" s="7"/>
      <c r="U197" s="153"/>
      <c r="V197" s="153"/>
      <c r="W197" s="12"/>
      <c r="X197" s="7"/>
      <c r="Y197" s="7"/>
      <c r="Z197" s="7"/>
      <c r="AA197" s="7"/>
      <c r="AB197" s="13"/>
      <c r="AC197" s="13"/>
      <c r="AD197" s="13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153"/>
      <c r="R198" s="7"/>
      <c r="S198" s="7"/>
      <c r="T198" s="7"/>
      <c r="U198" s="153"/>
      <c r="V198" s="153"/>
      <c r="W198" s="12"/>
      <c r="X198" s="7"/>
      <c r="Y198" s="7"/>
      <c r="Z198" s="7"/>
      <c r="AA198" s="7"/>
      <c r="AB198" s="13"/>
      <c r="AC198" s="13"/>
      <c r="AD198" s="13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153"/>
      <c r="R199" s="7"/>
      <c r="S199" s="7"/>
      <c r="T199" s="7"/>
      <c r="U199" s="153"/>
      <c r="V199" s="153"/>
      <c r="W199" s="12"/>
      <c r="X199" s="7"/>
      <c r="Y199" s="7"/>
      <c r="Z199" s="7"/>
      <c r="AA199" s="7"/>
      <c r="AB199" s="13"/>
      <c r="AC199" s="13"/>
      <c r="AD199" s="13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153"/>
      <c r="R200" s="7"/>
      <c r="S200" s="7"/>
      <c r="T200" s="7"/>
      <c r="U200" s="153"/>
      <c r="V200" s="153"/>
      <c r="W200" s="12"/>
      <c r="X200" s="7"/>
      <c r="Y200" s="7"/>
      <c r="Z200" s="7"/>
      <c r="AA200" s="7"/>
      <c r="AB200" s="13"/>
      <c r="AC200" s="13"/>
      <c r="AD200" s="13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53"/>
      <c r="R201" s="7"/>
      <c r="S201" s="7"/>
      <c r="T201" s="7"/>
      <c r="U201" s="153"/>
      <c r="V201" s="153"/>
      <c r="W201" s="12"/>
      <c r="X201" s="7"/>
      <c r="Y201" s="7"/>
      <c r="Z201" s="7"/>
      <c r="AA201" s="7"/>
      <c r="AB201" s="13"/>
      <c r="AC201" s="13"/>
      <c r="AD201" s="13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153"/>
      <c r="R202" s="7"/>
      <c r="S202" s="7"/>
      <c r="T202" s="7"/>
      <c r="U202" s="153"/>
      <c r="V202" s="153"/>
      <c r="W202" s="12"/>
      <c r="X202" s="7"/>
      <c r="Y202" s="7"/>
      <c r="Z202" s="7"/>
      <c r="AA202" s="7"/>
      <c r="AB202" s="13"/>
      <c r="AC202" s="13"/>
      <c r="AD202" s="13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153"/>
      <c r="R203" s="7"/>
      <c r="S203" s="7"/>
      <c r="T203" s="7"/>
      <c r="U203" s="153"/>
      <c r="V203" s="153"/>
      <c r="W203" s="12"/>
      <c r="X203" s="7"/>
      <c r="Y203" s="7"/>
      <c r="Z203" s="7"/>
      <c r="AA203" s="7"/>
      <c r="AB203" s="13"/>
      <c r="AC203" s="13"/>
      <c r="AD203" s="13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153"/>
      <c r="R204" s="7"/>
      <c r="S204" s="7"/>
      <c r="T204" s="7"/>
      <c r="U204" s="153"/>
      <c r="V204" s="153"/>
      <c r="W204" s="12"/>
      <c r="X204" s="7"/>
      <c r="Y204" s="7"/>
      <c r="Z204" s="7"/>
      <c r="AA204" s="7"/>
      <c r="AB204" s="13"/>
      <c r="AC204" s="13"/>
      <c r="AD204" s="13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153"/>
      <c r="R205" s="7"/>
      <c r="S205" s="7"/>
      <c r="T205" s="7"/>
      <c r="U205" s="153"/>
      <c r="V205" s="153"/>
      <c r="W205" s="12"/>
      <c r="X205" s="7"/>
      <c r="Y205" s="7"/>
      <c r="Z205" s="7"/>
      <c r="AA205" s="7"/>
      <c r="AB205" s="13"/>
      <c r="AC205" s="13"/>
      <c r="AD205" s="13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153"/>
      <c r="R206" s="7"/>
      <c r="S206" s="7"/>
      <c r="T206" s="7"/>
      <c r="U206" s="153"/>
      <c r="V206" s="153"/>
      <c r="W206" s="12"/>
      <c r="X206" s="7"/>
      <c r="Y206" s="7"/>
      <c r="Z206" s="7"/>
      <c r="AA206" s="7"/>
      <c r="AB206" s="13"/>
      <c r="AC206" s="13"/>
      <c r="AD206" s="13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53"/>
      <c r="R207" s="7"/>
      <c r="S207" s="7"/>
      <c r="T207" s="7"/>
      <c r="U207" s="153"/>
      <c r="V207" s="153"/>
      <c r="W207" s="12"/>
      <c r="X207" s="7"/>
      <c r="Y207" s="7"/>
      <c r="Z207" s="7"/>
      <c r="AA207" s="7"/>
      <c r="AB207" s="13"/>
      <c r="AC207" s="13"/>
      <c r="AD207" s="13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153"/>
      <c r="R208" s="7"/>
      <c r="S208" s="7"/>
      <c r="T208" s="7"/>
      <c r="U208" s="153"/>
      <c r="V208" s="153"/>
      <c r="W208" s="12"/>
      <c r="X208" s="7"/>
      <c r="Y208" s="7"/>
      <c r="Z208" s="7"/>
      <c r="AA208" s="7"/>
      <c r="AB208" s="13"/>
      <c r="AC208" s="13"/>
      <c r="AD208" s="13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53"/>
      <c r="R209" s="7"/>
      <c r="S209" s="7"/>
      <c r="T209" s="7"/>
      <c r="U209" s="153"/>
      <c r="V209" s="153"/>
      <c r="W209" s="12"/>
      <c r="X209" s="7"/>
      <c r="Y209" s="7"/>
      <c r="Z209" s="7"/>
      <c r="AA209" s="7"/>
      <c r="AB209" s="13"/>
      <c r="AC209" s="13"/>
      <c r="AD209" s="13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153"/>
      <c r="R210" s="7"/>
      <c r="S210" s="7"/>
      <c r="T210" s="7"/>
      <c r="U210" s="153"/>
      <c r="V210" s="153"/>
      <c r="W210" s="12"/>
      <c r="X210" s="7"/>
      <c r="Y210" s="7"/>
      <c r="Z210" s="7"/>
      <c r="AA210" s="7"/>
      <c r="AB210" s="13"/>
      <c r="AC210" s="13"/>
      <c r="AD210" s="13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153"/>
      <c r="R211" s="7"/>
      <c r="S211" s="7"/>
      <c r="T211" s="7"/>
      <c r="U211" s="153"/>
      <c r="V211" s="153"/>
      <c r="W211" s="12"/>
      <c r="X211" s="7"/>
      <c r="Y211" s="7"/>
      <c r="Z211" s="7"/>
      <c r="AA211" s="7"/>
      <c r="AB211" s="13"/>
      <c r="AC211" s="13"/>
      <c r="AD211" s="13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53"/>
      <c r="R212" s="7"/>
      <c r="S212" s="7"/>
      <c r="T212" s="7"/>
      <c r="U212" s="153"/>
      <c r="V212" s="153"/>
      <c r="W212" s="12"/>
      <c r="X212" s="7"/>
      <c r="Y212" s="7"/>
      <c r="Z212" s="7"/>
      <c r="AA212" s="7"/>
      <c r="AB212" s="13"/>
      <c r="AC212" s="13"/>
      <c r="AD212" s="13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53"/>
      <c r="R213" s="7"/>
      <c r="S213" s="7"/>
      <c r="T213" s="7"/>
      <c r="U213" s="153"/>
      <c r="V213" s="153"/>
      <c r="W213" s="12"/>
      <c r="X213" s="7"/>
      <c r="Y213" s="7"/>
      <c r="Z213" s="7"/>
      <c r="AA213" s="7"/>
      <c r="AB213" s="13"/>
      <c r="AC213" s="13"/>
      <c r="AD213" s="13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153"/>
      <c r="R214" s="7"/>
      <c r="S214" s="7"/>
      <c r="T214" s="7"/>
      <c r="U214" s="153"/>
      <c r="V214" s="153"/>
      <c r="W214" s="12"/>
      <c r="X214" s="7"/>
      <c r="Y214" s="7"/>
      <c r="Z214" s="7"/>
      <c r="AA214" s="7"/>
      <c r="AB214" s="13"/>
      <c r="AC214" s="13"/>
      <c r="AD214" s="13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153"/>
      <c r="R215" s="7"/>
      <c r="S215" s="7"/>
      <c r="T215" s="7"/>
      <c r="U215" s="153"/>
      <c r="V215" s="153"/>
      <c r="W215" s="12"/>
      <c r="X215" s="7"/>
      <c r="Y215" s="7"/>
      <c r="Z215" s="7"/>
      <c r="AA215" s="7"/>
      <c r="AB215" s="13"/>
      <c r="AC215" s="13"/>
      <c r="AD215" s="13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153"/>
      <c r="R216" s="7"/>
      <c r="S216" s="7"/>
      <c r="T216" s="7"/>
      <c r="U216" s="153"/>
      <c r="V216" s="153"/>
      <c r="W216" s="12"/>
      <c r="X216" s="7"/>
      <c r="Y216" s="7"/>
      <c r="Z216" s="7"/>
      <c r="AA216" s="7"/>
      <c r="AB216" s="13"/>
      <c r="AC216" s="13"/>
      <c r="AD216" s="13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153"/>
      <c r="R217" s="7"/>
      <c r="S217" s="7"/>
      <c r="T217" s="7"/>
      <c r="U217" s="153"/>
      <c r="V217" s="153"/>
      <c r="W217" s="12"/>
      <c r="X217" s="7"/>
      <c r="Y217" s="7"/>
      <c r="Z217" s="7"/>
      <c r="AA217" s="7"/>
      <c r="AB217" s="13"/>
      <c r="AC217" s="13"/>
      <c r="AD217" s="13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153"/>
      <c r="R218" s="7"/>
      <c r="S218" s="7"/>
      <c r="T218" s="7"/>
      <c r="U218" s="153"/>
      <c r="V218" s="153"/>
      <c r="W218" s="12"/>
      <c r="X218" s="7"/>
      <c r="Y218" s="7"/>
      <c r="Z218" s="7"/>
      <c r="AA218" s="7"/>
      <c r="AB218" s="13"/>
      <c r="AC218" s="13"/>
      <c r="AD218" s="13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153"/>
      <c r="R219" s="7"/>
      <c r="S219" s="7"/>
      <c r="T219" s="7"/>
      <c r="U219" s="153"/>
      <c r="V219" s="153"/>
      <c r="W219" s="12"/>
      <c r="X219" s="7"/>
      <c r="Y219" s="7"/>
      <c r="Z219" s="7"/>
      <c r="AA219" s="7"/>
      <c r="AB219" s="13"/>
      <c r="AC219" s="13"/>
      <c r="AD219" s="13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153"/>
      <c r="R220" s="7"/>
      <c r="S220" s="7"/>
      <c r="T220" s="7"/>
      <c r="U220" s="153"/>
      <c r="V220" s="153"/>
      <c r="W220" s="12"/>
      <c r="X220" s="7"/>
      <c r="Y220" s="7"/>
      <c r="Z220" s="7"/>
      <c r="AA220" s="7"/>
      <c r="AB220" s="13"/>
      <c r="AC220" s="13"/>
      <c r="AD220" s="13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153"/>
      <c r="R221" s="7"/>
      <c r="S221" s="7"/>
      <c r="T221" s="7"/>
      <c r="U221" s="153"/>
      <c r="V221" s="153"/>
      <c r="W221" s="12"/>
      <c r="X221" s="7"/>
      <c r="Y221" s="7"/>
      <c r="Z221" s="7"/>
      <c r="AA221" s="7"/>
      <c r="AB221" s="13"/>
      <c r="AC221" s="13"/>
      <c r="AD221" s="13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153"/>
      <c r="R222" s="7"/>
      <c r="S222" s="7"/>
      <c r="T222" s="7"/>
      <c r="U222" s="153"/>
      <c r="V222" s="153"/>
      <c r="W222" s="12"/>
      <c r="X222" s="7"/>
      <c r="Y222" s="7"/>
      <c r="Z222" s="7"/>
      <c r="AA222" s="7"/>
      <c r="AB222" s="13"/>
      <c r="AC222" s="13"/>
      <c r="AD222" s="13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153"/>
      <c r="R223" s="7"/>
      <c r="S223" s="7"/>
      <c r="T223" s="7"/>
      <c r="U223" s="153"/>
      <c r="V223" s="153"/>
      <c r="W223" s="12"/>
      <c r="X223" s="7"/>
      <c r="Y223" s="7"/>
      <c r="Z223" s="7"/>
      <c r="AA223" s="7"/>
      <c r="AB223" s="13"/>
      <c r="AC223" s="13"/>
      <c r="AD223" s="13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153"/>
      <c r="R224" s="7"/>
      <c r="S224" s="7"/>
      <c r="T224" s="7"/>
      <c r="U224" s="153"/>
      <c r="V224" s="153"/>
      <c r="W224" s="12"/>
      <c r="X224" s="7"/>
      <c r="Y224" s="7"/>
      <c r="Z224" s="7"/>
      <c r="AA224" s="7"/>
      <c r="AB224" s="13"/>
      <c r="AC224" s="13"/>
      <c r="AD224" s="13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153"/>
      <c r="R225" s="7"/>
      <c r="S225" s="7"/>
      <c r="T225" s="7"/>
      <c r="U225" s="153"/>
      <c r="V225" s="153"/>
      <c r="W225" s="12"/>
      <c r="X225" s="7"/>
      <c r="Y225" s="7"/>
      <c r="Z225" s="7"/>
      <c r="AA225" s="7"/>
      <c r="AB225" s="13"/>
      <c r="AC225" s="13"/>
      <c r="AD225" s="13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53"/>
      <c r="R226" s="7"/>
      <c r="S226" s="7"/>
      <c r="T226" s="7"/>
      <c r="U226" s="153"/>
      <c r="V226" s="153"/>
      <c r="W226" s="12"/>
      <c r="X226" s="7"/>
      <c r="Y226" s="7"/>
      <c r="Z226" s="7"/>
      <c r="AA226" s="7"/>
      <c r="AB226" s="13"/>
      <c r="AC226" s="13"/>
      <c r="AD226" s="13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153"/>
      <c r="R227" s="7"/>
      <c r="S227" s="7"/>
      <c r="T227" s="7"/>
      <c r="U227" s="153"/>
      <c r="V227" s="153"/>
      <c r="W227" s="12"/>
      <c r="X227" s="7"/>
      <c r="Y227" s="7"/>
      <c r="Z227" s="7"/>
      <c r="AA227" s="7"/>
      <c r="AB227" s="13"/>
      <c r="AC227" s="13"/>
      <c r="AD227" s="13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53"/>
      <c r="R228" s="7"/>
      <c r="S228" s="7"/>
      <c r="T228" s="7"/>
      <c r="U228" s="153"/>
      <c r="V228" s="153"/>
      <c r="W228" s="12"/>
      <c r="X228" s="7"/>
      <c r="Y228" s="7"/>
      <c r="Z228" s="7"/>
      <c r="AA228" s="7"/>
      <c r="AB228" s="13"/>
      <c r="AC228" s="13"/>
      <c r="AD228" s="13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153"/>
      <c r="R229" s="7"/>
      <c r="S229" s="7"/>
      <c r="T229" s="7"/>
      <c r="U229" s="153"/>
      <c r="V229" s="153"/>
      <c r="W229" s="12"/>
      <c r="X229" s="7"/>
      <c r="Y229" s="7"/>
      <c r="Z229" s="7"/>
      <c r="AA229" s="7"/>
      <c r="AB229" s="13"/>
      <c r="AC229" s="13"/>
      <c r="AD229" s="13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153"/>
      <c r="R230" s="7"/>
      <c r="S230" s="7"/>
      <c r="T230" s="7"/>
      <c r="U230" s="153"/>
      <c r="V230" s="153"/>
      <c r="W230" s="12"/>
      <c r="X230" s="7"/>
      <c r="Y230" s="7"/>
      <c r="Z230" s="7"/>
      <c r="AA230" s="7"/>
      <c r="AB230" s="13"/>
      <c r="AC230" s="13"/>
      <c r="AD230" s="13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53"/>
      <c r="R231" s="7"/>
      <c r="S231" s="7"/>
      <c r="T231" s="7"/>
      <c r="U231" s="153"/>
      <c r="V231" s="153"/>
      <c r="W231" s="12"/>
      <c r="X231" s="7"/>
      <c r="Y231" s="7"/>
      <c r="Z231" s="7"/>
      <c r="AA231" s="7"/>
      <c r="AB231" s="13"/>
      <c r="AC231" s="13"/>
      <c r="AD231" s="13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53"/>
      <c r="R232" s="7"/>
      <c r="S232" s="7"/>
      <c r="T232" s="7"/>
      <c r="U232" s="153"/>
      <c r="V232" s="153"/>
      <c r="W232" s="12"/>
      <c r="X232" s="7"/>
      <c r="Y232" s="7"/>
      <c r="Z232" s="7"/>
      <c r="AA232" s="7"/>
      <c r="AB232" s="13"/>
      <c r="AC232" s="13"/>
      <c r="AD232" s="13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153"/>
      <c r="R233" s="7"/>
      <c r="S233" s="7"/>
      <c r="T233" s="7"/>
      <c r="U233" s="153"/>
      <c r="V233" s="153"/>
      <c r="W233" s="12"/>
      <c r="X233" s="7"/>
      <c r="Y233" s="7"/>
      <c r="Z233" s="7"/>
      <c r="AA233" s="7"/>
      <c r="AB233" s="13"/>
      <c r="AC233" s="13"/>
      <c r="AD233" s="13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153"/>
      <c r="R234" s="7"/>
      <c r="S234" s="7"/>
      <c r="T234" s="7"/>
      <c r="U234" s="153"/>
      <c r="V234" s="153"/>
      <c r="W234" s="12"/>
      <c r="X234" s="7"/>
      <c r="Y234" s="7"/>
      <c r="Z234" s="7"/>
      <c r="AA234" s="7"/>
      <c r="AB234" s="13"/>
      <c r="AC234" s="13"/>
      <c r="AD234" s="13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153"/>
      <c r="R235" s="7"/>
      <c r="S235" s="7"/>
      <c r="T235" s="7"/>
      <c r="U235" s="153"/>
      <c r="V235" s="153"/>
      <c r="W235" s="12"/>
      <c r="X235" s="7"/>
      <c r="Y235" s="7"/>
      <c r="Z235" s="7"/>
      <c r="AA235" s="7"/>
      <c r="AB235" s="13"/>
      <c r="AC235" s="13"/>
      <c r="AD235" s="13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153"/>
      <c r="R236" s="7"/>
      <c r="S236" s="7"/>
      <c r="T236" s="7"/>
      <c r="U236" s="153"/>
      <c r="V236" s="153"/>
      <c r="W236" s="12"/>
      <c r="X236" s="7"/>
      <c r="Y236" s="7"/>
      <c r="Z236" s="7"/>
      <c r="AA236" s="7"/>
      <c r="AB236" s="13"/>
      <c r="AC236" s="13"/>
      <c r="AD236" s="13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153"/>
      <c r="R237" s="7"/>
      <c r="S237" s="7"/>
      <c r="T237" s="7"/>
      <c r="U237" s="153"/>
      <c r="V237" s="153"/>
      <c r="W237" s="12"/>
      <c r="X237" s="7"/>
      <c r="Y237" s="7"/>
      <c r="Z237" s="7"/>
      <c r="AA237" s="7"/>
      <c r="AB237" s="13"/>
      <c r="AC237" s="13"/>
      <c r="AD237" s="13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153"/>
      <c r="R238" s="7"/>
      <c r="S238" s="7"/>
      <c r="T238" s="7"/>
      <c r="U238" s="153"/>
      <c r="V238" s="153"/>
      <c r="W238" s="12"/>
      <c r="X238" s="7"/>
      <c r="Y238" s="7"/>
      <c r="Z238" s="7"/>
      <c r="AA238" s="7"/>
      <c r="AB238" s="13"/>
      <c r="AC238" s="13"/>
      <c r="AD238" s="13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153"/>
      <c r="R239" s="7"/>
      <c r="S239" s="7"/>
      <c r="T239" s="7"/>
      <c r="U239" s="153"/>
      <c r="V239" s="153"/>
      <c r="W239" s="12"/>
      <c r="X239" s="7"/>
      <c r="Y239" s="7"/>
      <c r="Z239" s="7"/>
      <c r="AA239" s="7"/>
      <c r="AB239" s="13"/>
      <c r="AC239" s="13"/>
      <c r="AD239" s="13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53"/>
      <c r="R240" s="7"/>
      <c r="S240" s="7"/>
      <c r="T240" s="7"/>
      <c r="U240" s="153"/>
      <c r="V240" s="153"/>
      <c r="W240" s="12"/>
      <c r="X240" s="7"/>
      <c r="Y240" s="7"/>
      <c r="Z240" s="7"/>
      <c r="AA240" s="7"/>
      <c r="AB240" s="13"/>
      <c r="AC240" s="13"/>
      <c r="AD240" s="13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153"/>
      <c r="R241" s="7"/>
      <c r="S241" s="7"/>
      <c r="T241" s="7"/>
      <c r="U241" s="153"/>
      <c r="V241" s="153"/>
      <c r="W241" s="12"/>
      <c r="X241" s="7"/>
      <c r="Y241" s="7"/>
      <c r="Z241" s="7"/>
      <c r="AA241" s="7"/>
      <c r="AB241" s="13"/>
      <c r="AC241" s="13"/>
      <c r="AD241" s="13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153"/>
      <c r="R242" s="7"/>
      <c r="S242" s="7"/>
      <c r="T242" s="7"/>
      <c r="U242" s="153"/>
      <c r="V242" s="153"/>
      <c r="W242" s="12"/>
      <c r="X242" s="7"/>
      <c r="Y242" s="7"/>
      <c r="Z242" s="7"/>
      <c r="AA242" s="7"/>
      <c r="AB242" s="13"/>
      <c r="AC242" s="13"/>
      <c r="AD242" s="13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153"/>
      <c r="R243" s="7"/>
      <c r="S243" s="7"/>
      <c r="T243" s="7"/>
      <c r="U243" s="153"/>
      <c r="V243" s="153"/>
      <c r="W243" s="12"/>
      <c r="X243" s="7"/>
      <c r="Y243" s="7"/>
      <c r="Z243" s="7"/>
      <c r="AA243" s="7"/>
      <c r="AB243" s="13"/>
      <c r="AC243" s="13"/>
      <c r="AD243" s="13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153"/>
      <c r="R244" s="7"/>
      <c r="S244" s="7"/>
      <c r="T244" s="7"/>
      <c r="U244" s="153"/>
      <c r="V244" s="153"/>
      <c r="W244" s="12"/>
      <c r="X244" s="7"/>
      <c r="Y244" s="7"/>
      <c r="Z244" s="7"/>
      <c r="AA244" s="7"/>
      <c r="AB244" s="13"/>
      <c r="AC244" s="13"/>
      <c r="AD244" s="13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53"/>
      <c r="R245" s="7"/>
      <c r="S245" s="7"/>
      <c r="T245" s="7"/>
      <c r="U245" s="153"/>
      <c r="V245" s="153"/>
      <c r="W245" s="12"/>
      <c r="X245" s="7"/>
      <c r="Y245" s="7"/>
      <c r="Z245" s="7"/>
      <c r="AA245" s="7"/>
      <c r="AB245" s="13"/>
      <c r="AC245" s="13"/>
      <c r="AD245" s="13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153"/>
      <c r="R246" s="7"/>
      <c r="S246" s="7"/>
      <c r="T246" s="7"/>
      <c r="U246" s="153"/>
      <c r="V246" s="153"/>
      <c r="W246" s="12"/>
      <c r="X246" s="7"/>
      <c r="Y246" s="7"/>
      <c r="Z246" s="7"/>
      <c r="AA246" s="7"/>
      <c r="AB246" s="13"/>
      <c r="AC246" s="13"/>
      <c r="AD246" s="13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153"/>
      <c r="R247" s="7"/>
      <c r="S247" s="7"/>
      <c r="T247" s="7"/>
      <c r="U247" s="153"/>
      <c r="V247" s="153"/>
      <c r="W247" s="12"/>
      <c r="X247" s="7"/>
      <c r="Y247" s="7"/>
      <c r="Z247" s="7"/>
      <c r="AA247" s="7"/>
      <c r="AB247" s="13"/>
      <c r="AC247" s="13"/>
      <c r="AD247" s="13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153"/>
      <c r="R248" s="7"/>
      <c r="S248" s="7"/>
      <c r="T248" s="7"/>
      <c r="U248" s="153"/>
      <c r="V248" s="153"/>
      <c r="W248" s="12"/>
      <c r="X248" s="7"/>
      <c r="Y248" s="7"/>
      <c r="Z248" s="7"/>
      <c r="AA248" s="7"/>
      <c r="AB248" s="13"/>
      <c r="AC248" s="13"/>
      <c r="AD248" s="13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153"/>
      <c r="R249" s="7"/>
      <c r="S249" s="7"/>
      <c r="T249" s="7"/>
      <c r="U249" s="153"/>
      <c r="V249" s="153"/>
      <c r="W249" s="12"/>
      <c r="X249" s="7"/>
      <c r="Y249" s="7"/>
      <c r="Z249" s="7"/>
      <c r="AA249" s="7"/>
      <c r="AB249" s="13"/>
      <c r="AC249" s="13"/>
      <c r="AD249" s="13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153"/>
      <c r="R250" s="7"/>
      <c r="S250" s="7"/>
      <c r="T250" s="7"/>
      <c r="U250" s="153"/>
      <c r="V250" s="153"/>
      <c r="W250" s="12"/>
      <c r="X250" s="7"/>
      <c r="Y250" s="7"/>
      <c r="Z250" s="7"/>
      <c r="AA250" s="7"/>
      <c r="AB250" s="13"/>
      <c r="AC250" s="13"/>
      <c r="AD250" s="13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153"/>
      <c r="R251" s="7"/>
      <c r="S251" s="7"/>
      <c r="T251" s="7"/>
      <c r="U251" s="153"/>
      <c r="V251" s="153"/>
      <c r="W251" s="12"/>
      <c r="X251" s="7"/>
      <c r="Y251" s="7"/>
      <c r="Z251" s="7"/>
      <c r="AA251" s="7"/>
      <c r="AB251" s="13"/>
      <c r="AC251" s="13"/>
      <c r="AD251" s="13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153"/>
      <c r="R252" s="7"/>
      <c r="S252" s="7"/>
      <c r="T252" s="7"/>
      <c r="U252" s="153"/>
      <c r="V252" s="153"/>
      <c r="W252" s="12"/>
      <c r="X252" s="7"/>
      <c r="Y252" s="7"/>
      <c r="Z252" s="7"/>
      <c r="AA252" s="7"/>
      <c r="AB252" s="13"/>
      <c r="AC252" s="13"/>
      <c r="AD252" s="13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153"/>
      <c r="R253" s="7"/>
      <c r="S253" s="7"/>
      <c r="T253" s="7"/>
      <c r="U253" s="153"/>
      <c r="V253" s="153"/>
      <c r="W253" s="12"/>
      <c r="X253" s="7"/>
      <c r="Y253" s="7"/>
      <c r="Z253" s="7"/>
      <c r="AA253" s="7"/>
      <c r="AB253" s="13"/>
      <c r="AC253" s="13"/>
      <c r="AD253" s="13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53"/>
      <c r="R254" s="7"/>
      <c r="S254" s="7"/>
      <c r="T254" s="7"/>
      <c r="U254" s="153"/>
      <c r="V254" s="153"/>
      <c r="W254" s="12"/>
      <c r="X254" s="7"/>
      <c r="Y254" s="7"/>
      <c r="Z254" s="7"/>
      <c r="AA254" s="7"/>
      <c r="AB254" s="13"/>
      <c r="AC254" s="13"/>
      <c r="AD254" s="13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53"/>
      <c r="R255" s="7"/>
      <c r="S255" s="7"/>
      <c r="T255" s="7"/>
      <c r="U255" s="153"/>
      <c r="V255" s="153"/>
      <c r="W255" s="12"/>
      <c r="X255" s="7"/>
      <c r="Y255" s="7"/>
      <c r="Z255" s="7"/>
      <c r="AA255" s="7"/>
      <c r="AB255" s="13"/>
      <c r="AC255" s="13"/>
      <c r="AD255" s="13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153"/>
      <c r="R256" s="7"/>
      <c r="S256" s="7"/>
      <c r="T256" s="7"/>
      <c r="U256" s="153"/>
      <c r="V256" s="153"/>
      <c r="W256" s="12"/>
      <c r="X256" s="7"/>
      <c r="Y256" s="7"/>
      <c r="Z256" s="7"/>
      <c r="AA256" s="7"/>
      <c r="AB256" s="13"/>
      <c r="AC256" s="13"/>
      <c r="AD256" s="13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153"/>
      <c r="R257" s="7"/>
      <c r="S257" s="7"/>
      <c r="T257" s="7"/>
      <c r="U257" s="153"/>
      <c r="V257" s="153"/>
      <c r="W257" s="12"/>
      <c r="X257" s="7"/>
      <c r="Y257" s="7"/>
      <c r="Z257" s="7"/>
      <c r="AA257" s="7"/>
      <c r="AB257" s="13"/>
      <c r="AC257" s="13"/>
      <c r="AD257" s="13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153"/>
      <c r="R258" s="7"/>
      <c r="S258" s="7"/>
      <c r="T258" s="7"/>
      <c r="U258" s="153"/>
      <c r="V258" s="153"/>
      <c r="W258" s="12"/>
      <c r="X258" s="7"/>
      <c r="Y258" s="7"/>
      <c r="Z258" s="7"/>
      <c r="AA258" s="7"/>
      <c r="AB258" s="13"/>
      <c r="AC258" s="13"/>
      <c r="AD258" s="13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153"/>
      <c r="R259" s="7"/>
      <c r="S259" s="7"/>
      <c r="T259" s="7"/>
      <c r="U259" s="153"/>
      <c r="V259" s="153"/>
      <c r="W259" s="12"/>
      <c r="X259" s="7"/>
      <c r="Y259" s="7"/>
      <c r="Z259" s="7"/>
      <c r="AA259" s="7"/>
      <c r="AB259" s="13"/>
      <c r="AC259" s="13"/>
      <c r="AD259" s="13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153"/>
      <c r="R260" s="7"/>
      <c r="S260" s="7"/>
      <c r="T260" s="7"/>
      <c r="U260" s="153"/>
      <c r="V260" s="153"/>
      <c r="W260" s="12"/>
      <c r="X260" s="7"/>
      <c r="Y260" s="7"/>
      <c r="Z260" s="7"/>
      <c r="AA260" s="7"/>
      <c r="AB260" s="13"/>
      <c r="AC260" s="13"/>
      <c r="AD260" s="13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53"/>
      <c r="R261" s="7"/>
      <c r="S261" s="7"/>
      <c r="T261" s="7"/>
      <c r="U261" s="153"/>
      <c r="V261" s="153"/>
      <c r="W261" s="12"/>
      <c r="X261" s="7"/>
      <c r="Y261" s="7"/>
      <c r="Z261" s="7"/>
      <c r="AA261" s="7"/>
      <c r="AB261" s="13"/>
      <c r="AC261" s="13"/>
      <c r="AD261" s="13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153"/>
      <c r="R262" s="7"/>
      <c r="S262" s="7"/>
      <c r="T262" s="7"/>
      <c r="U262" s="153"/>
      <c r="V262" s="153"/>
      <c r="W262" s="12"/>
      <c r="X262" s="7"/>
      <c r="Y262" s="7"/>
      <c r="Z262" s="7"/>
      <c r="AA262" s="7"/>
      <c r="AB262" s="13"/>
      <c r="AC262" s="13"/>
      <c r="AD262" s="13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153"/>
      <c r="R263" s="7"/>
      <c r="S263" s="7"/>
      <c r="T263" s="7"/>
      <c r="U263" s="153"/>
      <c r="V263" s="153"/>
      <c r="W263" s="12"/>
      <c r="X263" s="7"/>
      <c r="Y263" s="7"/>
      <c r="Z263" s="7"/>
      <c r="AA263" s="7"/>
      <c r="AB263" s="13"/>
      <c r="AC263" s="13"/>
      <c r="AD263" s="13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153"/>
      <c r="R264" s="7"/>
      <c r="S264" s="7"/>
      <c r="T264" s="7"/>
      <c r="U264" s="153"/>
      <c r="V264" s="153"/>
      <c r="W264" s="12"/>
      <c r="X264" s="7"/>
      <c r="Y264" s="7"/>
      <c r="Z264" s="7"/>
      <c r="AA264" s="7"/>
      <c r="AB264" s="13"/>
      <c r="AC264" s="13"/>
      <c r="AD264" s="13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153"/>
      <c r="R265" s="7"/>
      <c r="S265" s="7"/>
      <c r="T265" s="7"/>
      <c r="U265" s="153"/>
      <c r="V265" s="153"/>
      <c r="W265" s="12"/>
      <c r="X265" s="7"/>
      <c r="Y265" s="7"/>
      <c r="Z265" s="7"/>
      <c r="AA265" s="7"/>
      <c r="AB265" s="13"/>
      <c r="AC265" s="13"/>
      <c r="AD265" s="13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53"/>
      <c r="R266" s="7"/>
      <c r="S266" s="7"/>
      <c r="T266" s="7"/>
      <c r="U266" s="153"/>
      <c r="V266" s="153"/>
      <c r="W266" s="12"/>
      <c r="X266" s="7"/>
      <c r="Y266" s="7"/>
      <c r="Z266" s="7"/>
      <c r="AA266" s="7"/>
      <c r="AB266" s="13"/>
      <c r="AC266" s="13"/>
      <c r="AD266" s="13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53"/>
      <c r="R267" s="7"/>
      <c r="S267" s="7"/>
      <c r="T267" s="7"/>
      <c r="U267" s="153"/>
      <c r="V267" s="153"/>
      <c r="W267" s="12"/>
      <c r="X267" s="7"/>
      <c r="Y267" s="7"/>
      <c r="Z267" s="7"/>
      <c r="AA267" s="7"/>
      <c r="AB267" s="13"/>
      <c r="AC267" s="13"/>
      <c r="AD267" s="13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153"/>
      <c r="R268" s="7"/>
      <c r="S268" s="7"/>
      <c r="T268" s="7"/>
      <c r="U268" s="153"/>
      <c r="V268" s="153"/>
      <c r="W268" s="12"/>
      <c r="X268" s="7"/>
      <c r="Y268" s="7"/>
      <c r="Z268" s="7"/>
      <c r="AA268" s="7"/>
      <c r="AB268" s="13"/>
      <c r="AC268" s="13"/>
      <c r="AD268" s="13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153"/>
      <c r="R269" s="7"/>
      <c r="S269" s="7"/>
      <c r="T269" s="7"/>
      <c r="U269" s="153"/>
      <c r="V269" s="153"/>
      <c r="W269" s="12"/>
      <c r="X269" s="7"/>
      <c r="Y269" s="7"/>
      <c r="Z269" s="7"/>
      <c r="AA269" s="7"/>
      <c r="AB269" s="13"/>
      <c r="AC269" s="13"/>
      <c r="AD269" s="13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153"/>
      <c r="R270" s="7"/>
      <c r="S270" s="7"/>
      <c r="T270" s="7"/>
      <c r="U270" s="153"/>
      <c r="V270" s="153"/>
      <c r="W270" s="12"/>
      <c r="X270" s="7"/>
      <c r="Y270" s="7"/>
      <c r="Z270" s="7"/>
      <c r="AA270" s="7"/>
      <c r="AB270" s="13"/>
      <c r="AC270" s="13"/>
      <c r="AD270" s="13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153"/>
      <c r="R271" s="7"/>
      <c r="S271" s="7"/>
      <c r="T271" s="7"/>
      <c r="U271" s="153"/>
      <c r="V271" s="153"/>
      <c r="W271" s="12"/>
      <c r="X271" s="7"/>
      <c r="Y271" s="7"/>
      <c r="Z271" s="7"/>
      <c r="AA271" s="7"/>
      <c r="AB271" s="13"/>
      <c r="AC271" s="13"/>
      <c r="AD271" s="13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153"/>
      <c r="R272" s="7"/>
      <c r="S272" s="7"/>
      <c r="T272" s="7"/>
      <c r="U272" s="153"/>
      <c r="V272" s="153"/>
      <c r="W272" s="12"/>
      <c r="X272" s="7"/>
      <c r="Y272" s="7"/>
      <c r="Z272" s="7"/>
      <c r="AA272" s="7"/>
      <c r="AB272" s="13"/>
      <c r="AC272" s="13"/>
      <c r="AD272" s="13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153"/>
      <c r="R273" s="7"/>
      <c r="S273" s="7"/>
      <c r="T273" s="7"/>
      <c r="U273" s="153"/>
      <c r="V273" s="153"/>
      <c r="W273" s="12"/>
      <c r="X273" s="7"/>
      <c r="Y273" s="7"/>
      <c r="Z273" s="7"/>
      <c r="AA273" s="7"/>
      <c r="AB273" s="13"/>
      <c r="AC273" s="13"/>
      <c r="AD273" s="13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153"/>
      <c r="R274" s="7"/>
      <c r="S274" s="7"/>
      <c r="T274" s="7"/>
      <c r="U274" s="153"/>
      <c r="V274" s="153"/>
      <c r="W274" s="12"/>
      <c r="X274" s="7"/>
      <c r="Y274" s="7"/>
      <c r="Z274" s="7"/>
      <c r="AA274" s="7"/>
      <c r="AB274" s="13"/>
      <c r="AC274" s="13"/>
      <c r="AD274" s="13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153"/>
      <c r="R275" s="7"/>
      <c r="S275" s="7"/>
      <c r="T275" s="7"/>
      <c r="U275" s="153"/>
      <c r="V275" s="153"/>
      <c r="W275" s="12"/>
      <c r="X275" s="7"/>
      <c r="Y275" s="7"/>
      <c r="Z275" s="7"/>
      <c r="AA275" s="7"/>
      <c r="AB275" s="13"/>
      <c r="AC275" s="13"/>
      <c r="AD275" s="13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153"/>
      <c r="R276" s="7"/>
      <c r="S276" s="7"/>
      <c r="T276" s="7"/>
      <c r="U276" s="153"/>
      <c r="V276" s="153"/>
      <c r="W276" s="12"/>
      <c r="X276" s="7"/>
      <c r="Y276" s="7"/>
      <c r="Z276" s="7"/>
      <c r="AA276" s="7"/>
      <c r="AB276" s="13"/>
      <c r="AC276" s="13"/>
      <c r="AD276" s="13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53"/>
      <c r="R277" s="7"/>
      <c r="S277" s="7"/>
      <c r="T277" s="7"/>
      <c r="U277" s="153"/>
      <c r="V277" s="153"/>
      <c r="W277" s="12"/>
      <c r="X277" s="7"/>
      <c r="Y277" s="7"/>
      <c r="Z277" s="7"/>
      <c r="AA277" s="7"/>
      <c r="AB277" s="13"/>
      <c r="AC277" s="13"/>
      <c r="AD277" s="13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53"/>
      <c r="R278" s="7"/>
      <c r="S278" s="7"/>
      <c r="T278" s="7"/>
      <c r="U278" s="153"/>
      <c r="V278" s="153"/>
      <c r="W278" s="12"/>
      <c r="X278" s="7"/>
      <c r="Y278" s="7"/>
      <c r="Z278" s="7"/>
      <c r="AA278" s="7"/>
      <c r="AB278" s="13"/>
      <c r="AC278" s="13"/>
      <c r="AD278" s="13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153"/>
      <c r="R279" s="7"/>
      <c r="S279" s="7"/>
      <c r="T279" s="7"/>
      <c r="U279" s="153"/>
      <c r="V279" s="153"/>
      <c r="W279" s="12"/>
      <c r="X279" s="7"/>
      <c r="Y279" s="7"/>
      <c r="Z279" s="7"/>
      <c r="AA279" s="7"/>
      <c r="AB279" s="13"/>
      <c r="AC279" s="13"/>
      <c r="AD279" s="13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153"/>
      <c r="R280" s="7"/>
      <c r="S280" s="7"/>
      <c r="T280" s="7"/>
      <c r="U280" s="153"/>
      <c r="V280" s="153"/>
      <c r="W280" s="12"/>
      <c r="X280" s="7"/>
      <c r="Y280" s="7"/>
      <c r="Z280" s="7"/>
      <c r="AA280" s="7"/>
      <c r="AB280" s="13"/>
      <c r="AC280" s="13"/>
      <c r="AD280" s="13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153"/>
      <c r="R281" s="7"/>
      <c r="S281" s="7"/>
      <c r="T281" s="7"/>
      <c r="U281" s="153"/>
      <c r="V281" s="153"/>
      <c r="W281" s="12"/>
      <c r="X281" s="7"/>
      <c r="Y281" s="7"/>
      <c r="Z281" s="7"/>
      <c r="AA281" s="7"/>
      <c r="AB281" s="13"/>
      <c r="AC281" s="13"/>
      <c r="AD281" s="13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153"/>
      <c r="R282" s="7"/>
      <c r="S282" s="7"/>
      <c r="T282" s="7"/>
      <c r="U282" s="153"/>
      <c r="V282" s="153"/>
      <c r="W282" s="12"/>
      <c r="X282" s="7"/>
      <c r="Y282" s="7"/>
      <c r="Z282" s="7"/>
      <c r="AA282" s="7"/>
      <c r="AB282" s="13"/>
      <c r="AC282" s="13"/>
      <c r="AD282" s="13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153"/>
      <c r="R283" s="7"/>
      <c r="S283" s="7"/>
      <c r="T283" s="7"/>
      <c r="U283" s="153"/>
      <c r="V283" s="153"/>
      <c r="W283" s="12"/>
      <c r="X283" s="7"/>
      <c r="Y283" s="7"/>
      <c r="Z283" s="7"/>
      <c r="AA283" s="7"/>
      <c r="AB283" s="13"/>
      <c r="AC283" s="13"/>
      <c r="AD283" s="13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53"/>
      <c r="R284" s="7"/>
      <c r="S284" s="7"/>
      <c r="T284" s="7"/>
      <c r="U284" s="153"/>
      <c r="V284" s="153"/>
      <c r="W284" s="12"/>
      <c r="X284" s="7"/>
      <c r="Y284" s="7"/>
      <c r="Z284" s="7"/>
      <c r="AA284" s="7"/>
      <c r="AB284" s="13"/>
      <c r="AC284" s="13"/>
      <c r="AD284" s="13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153"/>
      <c r="R285" s="7"/>
      <c r="S285" s="7"/>
      <c r="T285" s="7"/>
      <c r="U285" s="153"/>
      <c r="V285" s="153"/>
      <c r="W285" s="12"/>
      <c r="X285" s="7"/>
      <c r="Y285" s="7"/>
      <c r="Z285" s="7"/>
      <c r="AA285" s="7"/>
      <c r="AB285" s="13"/>
      <c r="AC285" s="13"/>
      <c r="AD285" s="13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153"/>
      <c r="R286" s="7"/>
      <c r="S286" s="7"/>
      <c r="T286" s="7"/>
      <c r="U286" s="153"/>
      <c r="V286" s="153"/>
      <c r="W286" s="12"/>
      <c r="X286" s="7"/>
      <c r="Y286" s="7"/>
      <c r="Z286" s="7"/>
      <c r="AA286" s="7"/>
      <c r="AB286" s="13"/>
      <c r="AC286" s="13"/>
      <c r="AD286" s="13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153"/>
      <c r="R287" s="7"/>
      <c r="S287" s="7"/>
      <c r="T287" s="7"/>
      <c r="U287" s="153"/>
      <c r="V287" s="153"/>
      <c r="W287" s="12"/>
      <c r="X287" s="7"/>
      <c r="Y287" s="7"/>
      <c r="Z287" s="7"/>
      <c r="AA287" s="7"/>
      <c r="AB287" s="13"/>
      <c r="AC287" s="13"/>
      <c r="AD287" s="13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153"/>
      <c r="R288" s="7"/>
      <c r="S288" s="7"/>
      <c r="T288" s="7"/>
      <c r="U288" s="153"/>
      <c r="V288" s="153"/>
      <c r="W288" s="12"/>
      <c r="X288" s="7"/>
      <c r="Y288" s="7"/>
      <c r="Z288" s="7"/>
      <c r="AA288" s="7"/>
      <c r="AB288" s="13"/>
      <c r="AC288" s="13"/>
      <c r="AD288" s="13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153"/>
      <c r="R289" s="7"/>
      <c r="S289" s="7"/>
      <c r="T289" s="7"/>
      <c r="U289" s="153"/>
      <c r="V289" s="153"/>
      <c r="W289" s="12"/>
      <c r="X289" s="7"/>
      <c r="Y289" s="7"/>
      <c r="Z289" s="7"/>
      <c r="AA289" s="7"/>
      <c r="AB289" s="13"/>
      <c r="AC289" s="13"/>
      <c r="AD289" s="13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153"/>
      <c r="R290" s="7"/>
      <c r="S290" s="7"/>
      <c r="T290" s="7"/>
      <c r="U290" s="153"/>
      <c r="V290" s="153"/>
      <c r="W290" s="12"/>
      <c r="X290" s="7"/>
      <c r="Y290" s="7"/>
      <c r="Z290" s="7"/>
      <c r="AA290" s="7"/>
      <c r="AB290" s="13"/>
      <c r="AC290" s="13"/>
      <c r="AD290" s="13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153"/>
      <c r="R291" s="7"/>
      <c r="S291" s="7"/>
      <c r="T291" s="7"/>
      <c r="U291" s="153"/>
      <c r="V291" s="153"/>
      <c r="W291" s="12"/>
      <c r="X291" s="7"/>
      <c r="Y291" s="7"/>
      <c r="Z291" s="7"/>
      <c r="AA291" s="7"/>
      <c r="AB291" s="13"/>
      <c r="AC291" s="13"/>
      <c r="AD291" s="13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153"/>
      <c r="R292" s="7"/>
      <c r="S292" s="7"/>
      <c r="T292" s="7"/>
      <c r="U292" s="153"/>
      <c r="V292" s="153"/>
      <c r="W292" s="12"/>
      <c r="X292" s="7"/>
      <c r="Y292" s="7"/>
      <c r="Z292" s="7"/>
      <c r="AA292" s="7"/>
      <c r="AB292" s="13"/>
      <c r="AC292" s="13"/>
      <c r="AD292" s="13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153"/>
      <c r="R293" s="7"/>
      <c r="S293" s="7"/>
      <c r="T293" s="7"/>
      <c r="U293" s="153"/>
      <c r="V293" s="153"/>
      <c r="W293" s="12"/>
      <c r="X293" s="7"/>
      <c r="Y293" s="7"/>
      <c r="Z293" s="7"/>
      <c r="AA293" s="7"/>
      <c r="AB293" s="13"/>
      <c r="AC293" s="13"/>
      <c r="AD293" s="13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53"/>
      <c r="R294" s="7"/>
      <c r="S294" s="7"/>
      <c r="T294" s="7"/>
      <c r="U294" s="153"/>
      <c r="V294" s="153"/>
      <c r="W294" s="12"/>
      <c r="X294" s="7"/>
      <c r="Y294" s="7"/>
      <c r="Z294" s="7"/>
      <c r="AA294" s="7"/>
      <c r="AB294" s="13"/>
      <c r="AC294" s="13"/>
      <c r="AD294" s="13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153"/>
      <c r="R295" s="7"/>
      <c r="S295" s="7"/>
      <c r="T295" s="7"/>
      <c r="U295" s="153"/>
      <c r="V295" s="153"/>
      <c r="W295" s="12"/>
      <c r="X295" s="7"/>
      <c r="Y295" s="7"/>
      <c r="Z295" s="7"/>
      <c r="AA295" s="7"/>
      <c r="AB295" s="13"/>
      <c r="AC295" s="13"/>
      <c r="AD295" s="13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53"/>
      <c r="R296" s="7"/>
      <c r="S296" s="7"/>
      <c r="T296" s="7"/>
      <c r="U296" s="153"/>
      <c r="V296" s="153"/>
      <c r="W296" s="12"/>
      <c r="X296" s="7"/>
      <c r="Y296" s="7"/>
      <c r="Z296" s="7"/>
      <c r="AA296" s="7"/>
      <c r="AB296" s="13"/>
      <c r="AC296" s="13"/>
      <c r="AD296" s="13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53"/>
      <c r="R297" s="7"/>
      <c r="S297" s="7"/>
      <c r="T297" s="7"/>
      <c r="U297" s="153"/>
      <c r="V297" s="153"/>
      <c r="W297" s="12"/>
      <c r="X297" s="7"/>
      <c r="Y297" s="7"/>
      <c r="Z297" s="7"/>
      <c r="AA297" s="7"/>
      <c r="AB297" s="13"/>
      <c r="AC297" s="13"/>
      <c r="AD297" s="13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53"/>
      <c r="R298" s="7"/>
      <c r="S298" s="7"/>
      <c r="T298" s="7"/>
      <c r="U298" s="153"/>
      <c r="V298" s="153"/>
      <c r="W298" s="12"/>
      <c r="X298" s="7"/>
      <c r="Y298" s="7"/>
      <c r="Z298" s="7"/>
      <c r="AA298" s="7"/>
      <c r="AB298" s="13"/>
      <c r="AC298" s="13"/>
      <c r="AD298" s="13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153"/>
      <c r="R299" s="7"/>
      <c r="S299" s="7"/>
      <c r="T299" s="7"/>
      <c r="U299" s="153"/>
      <c r="V299" s="153"/>
      <c r="W299" s="12"/>
      <c r="X299" s="7"/>
      <c r="Y299" s="7"/>
      <c r="Z299" s="7"/>
      <c r="AA299" s="7"/>
      <c r="AB299" s="13"/>
      <c r="AC299" s="13"/>
      <c r="AD299" s="13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153"/>
      <c r="R300" s="7"/>
      <c r="S300" s="7"/>
      <c r="T300" s="7"/>
      <c r="U300" s="153"/>
      <c r="V300" s="153"/>
      <c r="W300" s="12"/>
      <c r="X300" s="7"/>
      <c r="Y300" s="7"/>
      <c r="Z300" s="7"/>
      <c r="AA300" s="7"/>
      <c r="AB300" s="13"/>
      <c r="AC300" s="13"/>
      <c r="AD300" s="13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153"/>
      <c r="R301" s="7"/>
      <c r="S301" s="7"/>
      <c r="T301" s="7"/>
      <c r="U301" s="153"/>
      <c r="V301" s="153"/>
      <c r="W301" s="12"/>
      <c r="X301" s="7"/>
      <c r="Y301" s="7"/>
      <c r="Z301" s="7"/>
      <c r="AA301" s="7"/>
      <c r="AB301" s="13"/>
      <c r="AC301" s="13"/>
      <c r="AD301" s="13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153"/>
      <c r="R302" s="7"/>
      <c r="S302" s="7"/>
      <c r="T302" s="7"/>
      <c r="U302" s="153"/>
      <c r="V302" s="153"/>
      <c r="W302" s="12"/>
      <c r="X302" s="7"/>
      <c r="Y302" s="7"/>
      <c r="Z302" s="7"/>
      <c r="AA302" s="7"/>
      <c r="AB302" s="13"/>
      <c r="AC302" s="13"/>
      <c r="AD302" s="13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153"/>
      <c r="R303" s="7"/>
      <c r="S303" s="7"/>
      <c r="T303" s="7"/>
      <c r="U303" s="153"/>
      <c r="V303" s="153"/>
      <c r="W303" s="12"/>
      <c r="X303" s="7"/>
      <c r="Y303" s="7"/>
      <c r="Z303" s="7"/>
      <c r="AA303" s="7"/>
      <c r="AB303" s="13"/>
      <c r="AC303" s="13"/>
      <c r="AD303" s="13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153"/>
      <c r="R304" s="7"/>
      <c r="S304" s="7"/>
      <c r="T304" s="7"/>
      <c r="U304" s="153"/>
      <c r="V304" s="153"/>
      <c r="W304" s="12"/>
      <c r="X304" s="7"/>
      <c r="Y304" s="7"/>
      <c r="Z304" s="7"/>
      <c r="AA304" s="7"/>
      <c r="AB304" s="13"/>
      <c r="AC304" s="13"/>
      <c r="AD304" s="13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153"/>
      <c r="R305" s="7"/>
      <c r="S305" s="7"/>
      <c r="T305" s="7"/>
      <c r="U305" s="153"/>
      <c r="V305" s="153"/>
      <c r="W305" s="12"/>
      <c r="X305" s="7"/>
      <c r="Y305" s="7"/>
      <c r="Z305" s="7"/>
      <c r="AA305" s="7"/>
      <c r="AB305" s="13"/>
      <c r="AC305" s="13"/>
      <c r="AD305" s="13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153"/>
      <c r="R306" s="7"/>
      <c r="S306" s="7"/>
      <c r="T306" s="7"/>
      <c r="U306" s="153"/>
      <c r="V306" s="153"/>
      <c r="W306" s="12"/>
      <c r="X306" s="7"/>
      <c r="Y306" s="7"/>
      <c r="Z306" s="7"/>
      <c r="AA306" s="7"/>
      <c r="AB306" s="13"/>
      <c r="AC306" s="13"/>
      <c r="AD306" s="13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153"/>
      <c r="R307" s="7"/>
      <c r="S307" s="7"/>
      <c r="T307" s="7"/>
      <c r="U307" s="153"/>
      <c r="V307" s="153"/>
      <c r="W307" s="12"/>
      <c r="X307" s="7"/>
      <c r="Y307" s="7"/>
      <c r="Z307" s="7"/>
      <c r="AA307" s="7"/>
      <c r="AB307" s="13"/>
      <c r="AC307" s="13"/>
      <c r="AD307" s="13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153"/>
      <c r="R308" s="7"/>
      <c r="S308" s="7"/>
      <c r="T308" s="7"/>
      <c r="U308" s="153"/>
      <c r="V308" s="153"/>
      <c r="W308" s="12"/>
      <c r="X308" s="7"/>
      <c r="Y308" s="7"/>
      <c r="Z308" s="7"/>
      <c r="AA308" s="7"/>
      <c r="AB308" s="13"/>
      <c r="AC308" s="13"/>
      <c r="AD308" s="13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153"/>
      <c r="R309" s="7"/>
      <c r="S309" s="7"/>
      <c r="T309" s="7"/>
      <c r="U309" s="153"/>
      <c r="V309" s="153"/>
      <c r="W309" s="12"/>
      <c r="X309" s="7"/>
      <c r="Y309" s="7"/>
      <c r="Z309" s="7"/>
      <c r="AA309" s="7"/>
      <c r="AB309" s="13"/>
      <c r="AC309" s="13"/>
      <c r="AD309" s="13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153"/>
      <c r="R310" s="7"/>
      <c r="S310" s="7"/>
      <c r="T310" s="7"/>
      <c r="U310" s="153"/>
      <c r="V310" s="153"/>
      <c r="W310" s="12"/>
      <c r="X310" s="7"/>
      <c r="Y310" s="7"/>
      <c r="Z310" s="7"/>
      <c r="AA310" s="7"/>
      <c r="AB310" s="13"/>
      <c r="AC310" s="13"/>
      <c r="AD310" s="13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153"/>
      <c r="R311" s="7"/>
      <c r="S311" s="7"/>
      <c r="T311" s="7"/>
      <c r="U311" s="153"/>
      <c r="V311" s="153"/>
      <c r="W311" s="12"/>
      <c r="X311" s="7"/>
      <c r="Y311" s="7"/>
      <c r="Z311" s="7"/>
      <c r="AA311" s="7"/>
      <c r="AB311" s="13"/>
      <c r="AC311" s="13"/>
      <c r="AD311" s="13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153"/>
      <c r="R312" s="7"/>
      <c r="S312" s="7"/>
      <c r="T312" s="7"/>
      <c r="U312" s="153"/>
      <c r="V312" s="153"/>
      <c r="W312" s="12"/>
      <c r="X312" s="7"/>
      <c r="Y312" s="7"/>
      <c r="Z312" s="7"/>
      <c r="AA312" s="7"/>
      <c r="AB312" s="13"/>
      <c r="AC312" s="13"/>
      <c r="AD312" s="13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153"/>
      <c r="R313" s="7"/>
      <c r="S313" s="7"/>
      <c r="T313" s="7"/>
      <c r="U313" s="153"/>
      <c r="V313" s="153"/>
      <c r="W313" s="12"/>
      <c r="X313" s="7"/>
      <c r="Y313" s="7"/>
      <c r="Z313" s="7"/>
      <c r="AA313" s="7"/>
      <c r="AB313" s="13"/>
      <c r="AC313" s="13"/>
      <c r="AD313" s="13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153"/>
      <c r="R314" s="7"/>
      <c r="S314" s="7"/>
      <c r="T314" s="7"/>
      <c r="U314" s="153"/>
      <c r="V314" s="153"/>
      <c r="W314" s="12"/>
      <c r="X314" s="7"/>
      <c r="Y314" s="7"/>
      <c r="Z314" s="7"/>
      <c r="AA314" s="7"/>
      <c r="AB314" s="13"/>
      <c r="AC314" s="13"/>
      <c r="AD314" s="13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153"/>
      <c r="R315" s="7"/>
      <c r="S315" s="7"/>
      <c r="T315" s="7"/>
      <c r="U315" s="153"/>
      <c r="V315" s="153"/>
      <c r="W315" s="12"/>
      <c r="X315" s="7"/>
      <c r="Y315" s="7"/>
      <c r="Z315" s="7"/>
      <c r="AA315" s="7"/>
      <c r="AB315" s="13"/>
      <c r="AC315" s="13"/>
      <c r="AD315" s="13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153"/>
      <c r="R316" s="7"/>
      <c r="S316" s="7"/>
      <c r="T316" s="7"/>
      <c r="U316" s="153"/>
      <c r="V316" s="153"/>
      <c r="W316" s="12"/>
      <c r="X316" s="7"/>
      <c r="Y316" s="7"/>
      <c r="Z316" s="7"/>
      <c r="AA316" s="7"/>
      <c r="AB316" s="13"/>
      <c r="AC316" s="13"/>
      <c r="AD316" s="13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153"/>
      <c r="R317" s="7"/>
      <c r="S317" s="7"/>
      <c r="T317" s="7"/>
      <c r="U317" s="153"/>
      <c r="V317" s="153"/>
      <c r="W317" s="12"/>
      <c r="X317" s="7"/>
      <c r="Y317" s="7"/>
      <c r="Z317" s="7"/>
      <c r="AA317" s="7"/>
      <c r="AB317" s="13"/>
      <c r="AC317" s="13"/>
      <c r="AD317" s="13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153"/>
      <c r="R318" s="7"/>
      <c r="S318" s="7"/>
      <c r="T318" s="7"/>
      <c r="U318" s="153"/>
      <c r="V318" s="153"/>
      <c r="W318" s="12"/>
      <c r="X318" s="7"/>
      <c r="Y318" s="7"/>
      <c r="Z318" s="7"/>
      <c r="AA318" s="7"/>
      <c r="AB318" s="13"/>
      <c r="AC318" s="13"/>
      <c r="AD318" s="13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153"/>
      <c r="R319" s="7"/>
      <c r="S319" s="7"/>
      <c r="T319" s="7"/>
      <c r="U319" s="153"/>
      <c r="V319" s="153"/>
      <c r="W319" s="12"/>
      <c r="X319" s="7"/>
      <c r="Y319" s="7"/>
      <c r="Z319" s="7"/>
      <c r="AA319" s="7"/>
      <c r="AB319" s="13"/>
      <c r="AC319" s="13"/>
      <c r="AD319" s="13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153"/>
      <c r="R320" s="7"/>
      <c r="S320" s="7"/>
      <c r="T320" s="7"/>
      <c r="U320" s="153"/>
      <c r="V320" s="153"/>
      <c r="W320" s="12"/>
      <c r="X320" s="7"/>
      <c r="Y320" s="7"/>
      <c r="Z320" s="7"/>
      <c r="AA320" s="7"/>
      <c r="AB320" s="13"/>
      <c r="AC320" s="13"/>
      <c r="AD320" s="13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153"/>
      <c r="R321" s="7"/>
      <c r="S321" s="7"/>
      <c r="T321" s="7"/>
      <c r="U321" s="153"/>
      <c r="V321" s="153"/>
      <c r="W321" s="12"/>
      <c r="X321" s="7"/>
      <c r="Y321" s="7"/>
      <c r="Z321" s="7"/>
      <c r="AA321" s="7"/>
      <c r="AB321" s="13"/>
      <c r="AC321" s="13"/>
      <c r="AD321" s="13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153"/>
      <c r="R322" s="7"/>
      <c r="S322" s="7"/>
      <c r="T322" s="7"/>
      <c r="U322" s="153"/>
      <c r="V322" s="153"/>
      <c r="W322" s="12"/>
      <c r="X322" s="7"/>
      <c r="Y322" s="7"/>
      <c r="Z322" s="7"/>
      <c r="AA322" s="7"/>
      <c r="AB322" s="13"/>
      <c r="AC322" s="13"/>
      <c r="AD322" s="13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153"/>
      <c r="R323" s="7"/>
      <c r="S323" s="7"/>
      <c r="T323" s="7"/>
      <c r="U323" s="153"/>
      <c r="V323" s="153"/>
      <c r="W323" s="12"/>
      <c r="X323" s="7"/>
      <c r="Y323" s="7"/>
      <c r="Z323" s="7"/>
      <c r="AA323" s="7"/>
      <c r="AB323" s="13"/>
      <c r="AC323" s="13"/>
      <c r="AD323" s="13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153"/>
      <c r="R324" s="7"/>
      <c r="S324" s="7"/>
      <c r="T324" s="7"/>
      <c r="U324" s="153"/>
      <c r="V324" s="153"/>
      <c r="W324" s="12"/>
      <c r="X324" s="7"/>
      <c r="Y324" s="7"/>
      <c r="Z324" s="7"/>
      <c r="AA324" s="7"/>
      <c r="AB324" s="13"/>
      <c r="AC324" s="13"/>
      <c r="AD324" s="13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153"/>
      <c r="R325" s="7"/>
      <c r="S325" s="7"/>
      <c r="T325" s="7"/>
      <c r="U325" s="153"/>
      <c r="V325" s="153"/>
      <c r="W325" s="12"/>
      <c r="X325" s="7"/>
      <c r="Y325" s="7"/>
      <c r="Z325" s="7"/>
      <c r="AA325" s="7"/>
      <c r="AB325" s="13"/>
      <c r="AC325" s="13"/>
      <c r="AD325" s="13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153"/>
      <c r="R326" s="7"/>
      <c r="S326" s="7"/>
      <c r="T326" s="7"/>
      <c r="U326" s="153"/>
      <c r="V326" s="153"/>
      <c r="W326" s="12"/>
      <c r="X326" s="7"/>
      <c r="Y326" s="7"/>
      <c r="Z326" s="7"/>
      <c r="AA326" s="7"/>
      <c r="AB326" s="13"/>
      <c r="AC326" s="13"/>
      <c r="AD326" s="13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153"/>
      <c r="R327" s="7"/>
      <c r="S327" s="7"/>
      <c r="T327" s="7"/>
      <c r="U327" s="153"/>
      <c r="V327" s="153"/>
      <c r="W327" s="12"/>
      <c r="X327" s="7"/>
      <c r="Y327" s="7"/>
      <c r="Z327" s="7"/>
      <c r="AA327" s="7"/>
      <c r="AB327" s="13"/>
      <c r="AC327" s="13"/>
      <c r="AD327" s="13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153"/>
      <c r="R328" s="7"/>
      <c r="S328" s="7"/>
      <c r="T328" s="7"/>
      <c r="U328" s="153"/>
      <c r="V328" s="153"/>
      <c r="W328" s="12"/>
      <c r="X328" s="7"/>
      <c r="Y328" s="7"/>
      <c r="Z328" s="7"/>
      <c r="AA328" s="7"/>
      <c r="AB328" s="13"/>
      <c r="AC328" s="13"/>
      <c r="AD328" s="13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153"/>
      <c r="R329" s="7"/>
      <c r="S329" s="7"/>
      <c r="T329" s="7"/>
      <c r="U329" s="153"/>
      <c r="V329" s="153"/>
      <c r="W329" s="12"/>
      <c r="X329" s="7"/>
      <c r="Y329" s="7"/>
      <c r="Z329" s="7"/>
      <c r="AA329" s="7"/>
      <c r="AB329" s="13"/>
      <c r="AC329" s="13"/>
      <c r="AD329" s="13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153"/>
      <c r="R330" s="7"/>
      <c r="S330" s="7"/>
      <c r="T330" s="7"/>
      <c r="U330" s="153"/>
      <c r="V330" s="153"/>
      <c r="W330" s="12"/>
      <c r="X330" s="7"/>
      <c r="Y330" s="7"/>
      <c r="Z330" s="7"/>
      <c r="AA330" s="7"/>
      <c r="AB330" s="13"/>
      <c r="AC330" s="13"/>
      <c r="AD330" s="13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153"/>
      <c r="R331" s="7"/>
      <c r="S331" s="7"/>
      <c r="T331" s="7"/>
      <c r="U331" s="153"/>
      <c r="V331" s="153"/>
      <c r="W331" s="12"/>
      <c r="X331" s="7"/>
      <c r="Y331" s="7"/>
      <c r="Z331" s="7"/>
      <c r="AA331" s="7"/>
      <c r="AB331" s="13"/>
      <c r="AC331" s="13"/>
      <c r="AD331" s="13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153"/>
      <c r="R332" s="7"/>
      <c r="S332" s="7"/>
      <c r="T332" s="7"/>
      <c r="U332" s="153"/>
      <c r="V332" s="153"/>
      <c r="W332" s="12"/>
      <c r="X332" s="7"/>
      <c r="Y332" s="7"/>
      <c r="Z332" s="7"/>
      <c r="AA332" s="7"/>
      <c r="AB332" s="13"/>
      <c r="AC332" s="13"/>
      <c r="AD332" s="13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153"/>
      <c r="R333" s="7"/>
      <c r="S333" s="7"/>
      <c r="T333" s="7"/>
      <c r="U333" s="153"/>
      <c r="V333" s="153"/>
      <c r="W333" s="12"/>
      <c r="X333" s="7"/>
      <c r="Y333" s="7"/>
      <c r="Z333" s="7"/>
      <c r="AA333" s="7"/>
      <c r="AB333" s="13"/>
      <c r="AC333" s="13"/>
      <c r="AD333" s="13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153"/>
      <c r="R334" s="7"/>
      <c r="S334" s="7"/>
      <c r="T334" s="7"/>
      <c r="U334" s="153"/>
      <c r="V334" s="153"/>
      <c r="W334" s="12"/>
      <c r="X334" s="7"/>
      <c r="Y334" s="7"/>
      <c r="Z334" s="7"/>
      <c r="AA334" s="7"/>
      <c r="AB334" s="13"/>
      <c r="AC334" s="13"/>
      <c r="AD334" s="13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153"/>
      <c r="R335" s="7"/>
      <c r="S335" s="7"/>
      <c r="T335" s="7"/>
      <c r="U335" s="153"/>
      <c r="V335" s="153"/>
      <c r="W335" s="12"/>
      <c r="X335" s="7"/>
      <c r="Y335" s="7"/>
      <c r="Z335" s="7"/>
      <c r="AA335" s="7"/>
      <c r="AB335" s="13"/>
      <c r="AC335" s="13"/>
      <c r="AD335" s="13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153"/>
      <c r="R336" s="7"/>
      <c r="S336" s="7"/>
      <c r="T336" s="7"/>
      <c r="U336" s="153"/>
      <c r="V336" s="153"/>
      <c r="W336" s="12"/>
      <c r="X336" s="7"/>
      <c r="Y336" s="7"/>
      <c r="Z336" s="7"/>
      <c r="AA336" s="7"/>
      <c r="AB336" s="13"/>
      <c r="AC336" s="13"/>
      <c r="AD336" s="13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153"/>
      <c r="R337" s="7"/>
      <c r="S337" s="7"/>
      <c r="T337" s="7"/>
      <c r="U337" s="153"/>
      <c r="V337" s="153"/>
      <c r="W337" s="12"/>
      <c r="X337" s="7"/>
      <c r="Y337" s="7"/>
      <c r="Z337" s="7"/>
      <c r="AA337" s="7"/>
      <c r="AB337" s="13"/>
      <c r="AC337" s="13"/>
      <c r="AD337" s="13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153"/>
      <c r="R338" s="7"/>
      <c r="S338" s="7"/>
      <c r="T338" s="7"/>
      <c r="U338" s="153"/>
      <c r="V338" s="153"/>
      <c r="W338" s="12"/>
      <c r="X338" s="7"/>
      <c r="Y338" s="7"/>
      <c r="Z338" s="7"/>
      <c r="AA338" s="7"/>
      <c r="AB338" s="13"/>
      <c r="AC338" s="13"/>
      <c r="AD338" s="13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153"/>
      <c r="R339" s="7"/>
      <c r="S339" s="7"/>
      <c r="T339" s="7"/>
      <c r="U339" s="153"/>
      <c r="V339" s="153"/>
      <c r="W339" s="12"/>
      <c r="X339" s="7"/>
      <c r="Y339" s="7"/>
      <c r="Z339" s="7"/>
      <c r="AA339" s="7"/>
      <c r="AB339" s="13"/>
      <c r="AC339" s="13"/>
      <c r="AD339" s="13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153"/>
      <c r="R340" s="7"/>
      <c r="S340" s="7"/>
      <c r="T340" s="7"/>
      <c r="U340" s="153"/>
      <c r="V340" s="153"/>
      <c r="W340" s="12"/>
      <c r="X340" s="7"/>
      <c r="Y340" s="7"/>
      <c r="Z340" s="7"/>
      <c r="AA340" s="7"/>
      <c r="AB340" s="13"/>
      <c r="AC340" s="13"/>
      <c r="AD340" s="13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153"/>
      <c r="R341" s="7"/>
      <c r="S341" s="7"/>
      <c r="T341" s="7"/>
      <c r="U341" s="153"/>
      <c r="V341" s="153"/>
      <c r="W341" s="12"/>
      <c r="X341" s="7"/>
      <c r="Y341" s="7"/>
      <c r="Z341" s="7"/>
      <c r="AA341" s="7"/>
      <c r="AB341" s="13"/>
      <c r="AC341" s="13"/>
      <c r="AD341" s="13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153"/>
      <c r="R342" s="7"/>
      <c r="S342" s="7"/>
      <c r="T342" s="7"/>
      <c r="U342" s="153"/>
      <c r="V342" s="153"/>
      <c r="W342" s="12"/>
      <c r="X342" s="7"/>
      <c r="Y342" s="7"/>
      <c r="Z342" s="7"/>
      <c r="AA342" s="7"/>
      <c r="AB342" s="13"/>
      <c r="AC342" s="13"/>
      <c r="AD342" s="13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153"/>
      <c r="R343" s="7"/>
      <c r="S343" s="7"/>
      <c r="T343" s="7"/>
      <c r="U343" s="153"/>
      <c r="V343" s="153"/>
      <c r="W343" s="12"/>
      <c r="X343" s="7"/>
      <c r="Y343" s="7"/>
      <c r="Z343" s="7"/>
      <c r="AA343" s="7"/>
      <c r="AB343" s="13"/>
      <c r="AC343" s="13"/>
      <c r="AD343" s="13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153"/>
      <c r="R344" s="7"/>
      <c r="S344" s="7"/>
      <c r="T344" s="7"/>
      <c r="U344" s="153"/>
      <c r="V344" s="153"/>
      <c r="W344" s="12"/>
      <c r="X344" s="7"/>
      <c r="Y344" s="7"/>
      <c r="Z344" s="7"/>
      <c r="AA344" s="7"/>
      <c r="AB344" s="13"/>
      <c r="AC344" s="13"/>
      <c r="AD344" s="13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153"/>
      <c r="R345" s="7"/>
      <c r="S345" s="7"/>
      <c r="T345" s="7"/>
      <c r="U345" s="153"/>
      <c r="V345" s="153"/>
      <c r="W345" s="12"/>
      <c r="X345" s="7"/>
      <c r="Y345" s="7"/>
      <c r="Z345" s="7"/>
      <c r="AA345" s="7"/>
      <c r="AB345" s="13"/>
      <c r="AC345" s="13"/>
      <c r="AD345" s="13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153"/>
      <c r="R346" s="7"/>
      <c r="S346" s="7"/>
      <c r="T346" s="7"/>
      <c r="U346" s="153"/>
      <c r="V346" s="153"/>
      <c r="W346" s="12"/>
      <c r="X346" s="7"/>
      <c r="Y346" s="7"/>
      <c r="Z346" s="7"/>
      <c r="AA346" s="7"/>
      <c r="AB346" s="13"/>
      <c r="AC346" s="13"/>
      <c r="AD346" s="13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153"/>
      <c r="R347" s="7"/>
      <c r="S347" s="7"/>
      <c r="T347" s="7"/>
      <c r="U347" s="153"/>
      <c r="V347" s="153"/>
      <c r="W347" s="12"/>
      <c r="X347" s="7"/>
      <c r="Y347" s="7"/>
      <c r="Z347" s="7"/>
      <c r="AA347" s="7"/>
      <c r="AB347" s="13"/>
      <c r="AC347" s="13"/>
      <c r="AD347" s="13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153"/>
      <c r="R348" s="7"/>
      <c r="S348" s="7"/>
      <c r="T348" s="7"/>
      <c r="U348" s="153"/>
      <c r="V348" s="153"/>
      <c r="W348" s="12"/>
      <c r="X348" s="7"/>
      <c r="Y348" s="7"/>
      <c r="Z348" s="7"/>
      <c r="AA348" s="7"/>
      <c r="AB348" s="13"/>
      <c r="AC348" s="13"/>
      <c r="AD348" s="13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153"/>
      <c r="R349" s="7"/>
      <c r="S349" s="7"/>
      <c r="T349" s="7"/>
      <c r="U349" s="153"/>
      <c r="V349" s="153"/>
      <c r="W349" s="12"/>
      <c r="X349" s="7"/>
      <c r="Y349" s="7"/>
      <c r="Z349" s="7"/>
      <c r="AA349" s="7"/>
      <c r="AB349" s="13"/>
      <c r="AC349" s="13"/>
      <c r="AD349" s="13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153"/>
      <c r="R350" s="7"/>
      <c r="S350" s="7"/>
      <c r="T350" s="7"/>
      <c r="U350" s="153"/>
      <c r="V350" s="153"/>
      <c r="W350" s="12"/>
      <c r="X350" s="7"/>
      <c r="Y350" s="7"/>
      <c r="Z350" s="7"/>
      <c r="AA350" s="7"/>
      <c r="AB350" s="13"/>
      <c r="AC350" s="13"/>
      <c r="AD350" s="13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153"/>
      <c r="R351" s="7"/>
      <c r="S351" s="7"/>
      <c r="T351" s="7"/>
      <c r="U351" s="153"/>
      <c r="V351" s="153"/>
      <c r="W351" s="12"/>
      <c r="X351" s="7"/>
      <c r="Y351" s="7"/>
      <c r="Z351" s="7"/>
      <c r="AA351" s="7"/>
      <c r="AB351" s="13"/>
      <c r="AC351" s="13"/>
      <c r="AD351" s="13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153"/>
      <c r="R352" s="7"/>
      <c r="S352" s="7"/>
      <c r="T352" s="7"/>
      <c r="U352" s="153"/>
      <c r="V352" s="153"/>
      <c r="W352" s="12"/>
      <c r="X352" s="7"/>
      <c r="Y352" s="7"/>
      <c r="Z352" s="7"/>
      <c r="AA352" s="7"/>
      <c r="AB352" s="13"/>
      <c r="AC352" s="13"/>
      <c r="AD352" s="13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153"/>
      <c r="R353" s="7"/>
      <c r="S353" s="7"/>
      <c r="T353" s="7"/>
      <c r="U353" s="153"/>
      <c r="V353" s="153"/>
      <c r="W353" s="12"/>
      <c r="X353" s="7"/>
      <c r="Y353" s="7"/>
      <c r="Z353" s="7"/>
      <c r="AA353" s="7"/>
      <c r="AB353" s="13"/>
      <c r="AC353" s="13"/>
      <c r="AD353" s="13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153"/>
      <c r="R354" s="7"/>
      <c r="S354" s="7"/>
      <c r="T354" s="7"/>
      <c r="U354" s="153"/>
      <c r="V354" s="153"/>
      <c r="W354" s="12"/>
      <c r="X354" s="7"/>
      <c r="Y354" s="7"/>
      <c r="Z354" s="7"/>
      <c r="AA354" s="7"/>
      <c r="AB354" s="13"/>
      <c r="AC354" s="13"/>
      <c r="AD354" s="13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153"/>
      <c r="R355" s="7"/>
      <c r="S355" s="7"/>
      <c r="T355" s="7"/>
      <c r="U355" s="153"/>
      <c r="V355" s="153"/>
      <c r="W355" s="12"/>
      <c r="X355" s="7"/>
      <c r="Y355" s="7"/>
      <c r="Z355" s="7"/>
      <c r="AA355" s="7"/>
      <c r="AB355" s="13"/>
      <c r="AC355" s="13"/>
      <c r="AD355" s="13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153"/>
      <c r="R356" s="7"/>
      <c r="S356" s="7"/>
      <c r="T356" s="7"/>
      <c r="U356" s="153"/>
      <c r="V356" s="153"/>
      <c r="W356" s="12"/>
      <c r="X356" s="7"/>
      <c r="Y356" s="7"/>
      <c r="Z356" s="7"/>
      <c r="AA356" s="7"/>
      <c r="AB356" s="13"/>
      <c r="AC356" s="13"/>
      <c r="AD356" s="13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153"/>
      <c r="R357" s="7"/>
      <c r="S357" s="7"/>
      <c r="T357" s="7"/>
      <c r="U357" s="153"/>
      <c r="V357" s="153"/>
      <c r="W357" s="12"/>
      <c r="X357" s="7"/>
      <c r="Y357" s="7"/>
      <c r="Z357" s="7"/>
      <c r="AA357" s="7"/>
      <c r="AB357" s="13"/>
      <c r="AC357" s="13"/>
      <c r="AD357" s="13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153"/>
      <c r="R358" s="7"/>
      <c r="S358" s="7"/>
      <c r="T358" s="7"/>
      <c r="U358" s="153"/>
      <c r="V358" s="153"/>
      <c r="W358" s="12"/>
      <c r="X358" s="7"/>
      <c r="Y358" s="7"/>
      <c r="Z358" s="7"/>
      <c r="AA358" s="7"/>
      <c r="AB358" s="13"/>
      <c r="AC358" s="13"/>
      <c r="AD358" s="13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153"/>
      <c r="R359" s="7"/>
      <c r="S359" s="7"/>
      <c r="T359" s="7"/>
      <c r="U359" s="153"/>
      <c r="V359" s="153"/>
      <c r="W359" s="12"/>
      <c r="X359" s="7"/>
      <c r="Y359" s="7"/>
      <c r="Z359" s="7"/>
      <c r="AA359" s="7"/>
      <c r="AB359" s="13"/>
      <c r="AC359" s="13"/>
      <c r="AD359" s="13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153"/>
      <c r="R360" s="7"/>
      <c r="S360" s="7"/>
      <c r="T360" s="7"/>
      <c r="U360" s="153"/>
      <c r="V360" s="153"/>
      <c r="W360" s="12"/>
      <c r="X360" s="7"/>
      <c r="Y360" s="7"/>
      <c r="Z360" s="7"/>
      <c r="AA360" s="7"/>
      <c r="AB360" s="13"/>
      <c r="AC360" s="13"/>
      <c r="AD360" s="13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153"/>
      <c r="R361" s="7"/>
      <c r="S361" s="7"/>
      <c r="T361" s="7"/>
      <c r="U361" s="153"/>
      <c r="V361" s="153"/>
      <c r="W361" s="12"/>
      <c r="X361" s="7"/>
      <c r="Y361" s="7"/>
      <c r="Z361" s="7"/>
      <c r="AA361" s="7"/>
      <c r="AB361" s="13"/>
      <c r="AC361" s="13"/>
      <c r="AD361" s="13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153"/>
      <c r="R362" s="7"/>
      <c r="S362" s="7"/>
      <c r="T362" s="7"/>
      <c r="U362" s="153"/>
      <c r="V362" s="153"/>
      <c r="W362" s="12"/>
      <c r="X362" s="7"/>
      <c r="Y362" s="7"/>
      <c r="Z362" s="7"/>
      <c r="AA362" s="7"/>
      <c r="AB362" s="13"/>
      <c r="AC362" s="13"/>
      <c r="AD362" s="13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153"/>
      <c r="R363" s="7"/>
      <c r="S363" s="7"/>
      <c r="T363" s="7"/>
      <c r="U363" s="153"/>
      <c r="V363" s="153"/>
      <c r="W363" s="12"/>
      <c r="X363" s="7"/>
      <c r="Y363" s="7"/>
      <c r="Z363" s="7"/>
      <c r="AA363" s="7"/>
      <c r="AB363" s="13"/>
      <c r="AC363" s="13"/>
      <c r="AD363" s="13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153"/>
      <c r="R364" s="7"/>
      <c r="S364" s="7"/>
      <c r="T364" s="7"/>
      <c r="U364" s="153"/>
      <c r="V364" s="153"/>
      <c r="W364" s="12"/>
      <c r="X364" s="7"/>
      <c r="Y364" s="7"/>
      <c r="Z364" s="7"/>
      <c r="AA364" s="7"/>
      <c r="AB364" s="13"/>
      <c r="AC364" s="13"/>
      <c r="AD364" s="13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153"/>
      <c r="R365" s="7"/>
      <c r="S365" s="7"/>
      <c r="T365" s="7"/>
      <c r="U365" s="153"/>
      <c r="V365" s="153"/>
      <c r="W365" s="12"/>
      <c r="X365" s="7"/>
      <c r="Y365" s="7"/>
      <c r="Z365" s="7"/>
      <c r="AA365" s="7"/>
      <c r="AB365" s="13"/>
      <c r="AC365" s="13"/>
      <c r="AD365" s="13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153"/>
      <c r="R366" s="7"/>
      <c r="S366" s="7"/>
      <c r="T366" s="7"/>
      <c r="U366" s="153"/>
      <c r="V366" s="153"/>
      <c r="W366" s="12"/>
      <c r="X366" s="7"/>
      <c r="Y366" s="7"/>
      <c r="Z366" s="7"/>
      <c r="AA366" s="7"/>
      <c r="AB366" s="13"/>
      <c r="AC366" s="13"/>
      <c r="AD366" s="13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153"/>
      <c r="R367" s="7"/>
      <c r="S367" s="7"/>
      <c r="T367" s="7"/>
      <c r="U367" s="153"/>
      <c r="V367" s="153"/>
      <c r="W367" s="12"/>
      <c r="X367" s="7"/>
      <c r="Y367" s="7"/>
      <c r="Z367" s="7"/>
      <c r="AA367" s="7"/>
      <c r="AB367" s="13"/>
      <c r="AC367" s="13"/>
      <c r="AD367" s="13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153"/>
      <c r="R368" s="7"/>
      <c r="S368" s="7"/>
      <c r="T368" s="7"/>
      <c r="U368" s="153"/>
      <c r="V368" s="153"/>
      <c r="W368" s="12"/>
      <c r="X368" s="7"/>
      <c r="Y368" s="7"/>
      <c r="Z368" s="7"/>
      <c r="AA368" s="7"/>
      <c r="AB368" s="13"/>
      <c r="AC368" s="13"/>
      <c r="AD368" s="13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153"/>
      <c r="R369" s="7"/>
      <c r="S369" s="7"/>
      <c r="T369" s="7"/>
      <c r="U369" s="153"/>
      <c r="V369" s="153"/>
      <c r="W369" s="12"/>
      <c r="X369" s="7"/>
      <c r="Y369" s="7"/>
      <c r="Z369" s="7"/>
      <c r="AA369" s="7"/>
      <c r="AB369" s="13"/>
      <c r="AC369" s="13"/>
      <c r="AD369" s="13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153"/>
      <c r="R370" s="7"/>
      <c r="S370" s="7"/>
      <c r="T370" s="7"/>
      <c r="U370" s="153"/>
      <c r="V370" s="153"/>
      <c r="W370" s="12"/>
      <c r="X370" s="7"/>
      <c r="Y370" s="7"/>
      <c r="Z370" s="7"/>
      <c r="AA370" s="7"/>
      <c r="AB370" s="13"/>
      <c r="AC370" s="13"/>
      <c r="AD370" s="13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153"/>
      <c r="R371" s="7"/>
      <c r="S371" s="7"/>
      <c r="T371" s="7"/>
      <c r="U371" s="153"/>
      <c r="V371" s="153"/>
      <c r="W371" s="12"/>
      <c r="X371" s="7"/>
      <c r="Y371" s="7"/>
      <c r="Z371" s="7"/>
      <c r="AA371" s="7"/>
      <c r="AB371" s="13"/>
      <c r="AC371" s="13"/>
      <c r="AD371" s="13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153"/>
      <c r="R372" s="7"/>
      <c r="S372" s="7"/>
      <c r="T372" s="7"/>
      <c r="U372" s="153"/>
      <c r="V372" s="153"/>
      <c r="W372" s="12"/>
      <c r="X372" s="7"/>
      <c r="Y372" s="7"/>
      <c r="Z372" s="7"/>
      <c r="AA372" s="7"/>
      <c r="AB372" s="13"/>
      <c r="AC372" s="13"/>
      <c r="AD372" s="13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153"/>
      <c r="R373" s="7"/>
      <c r="S373" s="7"/>
      <c r="T373" s="7"/>
      <c r="U373" s="153"/>
      <c r="V373" s="153"/>
      <c r="W373" s="12"/>
      <c r="X373" s="7"/>
      <c r="Y373" s="7"/>
      <c r="Z373" s="7"/>
      <c r="AA373" s="7"/>
      <c r="AB373" s="13"/>
      <c r="AC373" s="13"/>
      <c r="AD373" s="13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153"/>
      <c r="R374" s="7"/>
      <c r="S374" s="7"/>
      <c r="T374" s="7"/>
      <c r="U374" s="153"/>
      <c r="V374" s="153"/>
      <c r="W374" s="12"/>
      <c r="X374" s="7"/>
      <c r="Y374" s="7"/>
      <c r="Z374" s="7"/>
      <c r="AA374" s="7"/>
      <c r="AB374" s="13"/>
      <c r="AC374" s="13"/>
      <c r="AD374" s="13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153"/>
      <c r="R375" s="7"/>
      <c r="S375" s="7"/>
      <c r="T375" s="7"/>
      <c r="U375" s="153"/>
      <c r="V375" s="153"/>
      <c r="W375" s="12"/>
      <c r="X375" s="7"/>
      <c r="Y375" s="7"/>
      <c r="Z375" s="7"/>
      <c r="AA375" s="7"/>
      <c r="AB375" s="13"/>
      <c r="AC375" s="13"/>
      <c r="AD375" s="13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153"/>
      <c r="R376" s="7"/>
      <c r="S376" s="7"/>
      <c r="T376" s="7"/>
      <c r="U376" s="153"/>
      <c r="V376" s="153"/>
      <c r="W376" s="12"/>
      <c r="X376" s="7"/>
      <c r="Y376" s="7"/>
      <c r="Z376" s="7"/>
      <c r="AA376" s="7"/>
      <c r="AB376" s="13"/>
      <c r="AC376" s="13"/>
      <c r="AD376" s="13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153"/>
      <c r="R377" s="7"/>
      <c r="S377" s="7"/>
      <c r="T377" s="7"/>
      <c r="U377" s="153"/>
      <c r="V377" s="153"/>
      <c r="W377" s="12"/>
      <c r="X377" s="7"/>
      <c r="Y377" s="7"/>
      <c r="Z377" s="7"/>
      <c r="AA377" s="7"/>
      <c r="AB377" s="13"/>
      <c r="AC377" s="13"/>
      <c r="AD377" s="13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153"/>
      <c r="R378" s="7"/>
      <c r="S378" s="7"/>
      <c r="T378" s="7"/>
      <c r="U378" s="153"/>
      <c r="V378" s="153"/>
      <c r="W378" s="12"/>
      <c r="X378" s="7"/>
      <c r="Y378" s="7"/>
      <c r="Z378" s="7"/>
      <c r="AA378" s="7"/>
      <c r="AB378" s="13"/>
      <c r="AC378" s="13"/>
      <c r="AD378" s="13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153"/>
      <c r="R379" s="7"/>
      <c r="S379" s="7"/>
      <c r="T379" s="7"/>
      <c r="U379" s="153"/>
      <c r="V379" s="153"/>
      <c r="W379" s="12"/>
      <c r="X379" s="7"/>
      <c r="Y379" s="7"/>
      <c r="Z379" s="7"/>
      <c r="AA379" s="7"/>
      <c r="AB379" s="13"/>
      <c r="AC379" s="13"/>
      <c r="AD379" s="13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153"/>
      <c r="R380" s="7"/>
      <c r="S380" s="7"/>
      <c r="T380" s="7"/>
      <c r="U380" s="153"/>
      <c r="V380" s="153"/>
      <c r="W380" s="12"/>
      <c r="X380" s="7"/>
      <c r="Y380" s="7"/>
      <c r="Z380" s="7"/>
      <c r="AA380" s="7"/>
      <c r="AB380" s="13"/>
      <c r="AC380" s="13"/>
      <c r="AD380" s="13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153"/>
      <c r="R381" s="7"/>
      <c r="S381" s="7"/>
      <c r="T381" s="7"/>
      <c r="U381" s="153"/>
      <c r="V381" s="153"/>
      <c r="W381" s="12"/>
      <c r="X381" s="7"/>
      <c r="Y381" s="7"/>
      <c r="Z381" s="7"/>
      <c r="AA381" s="7"/>
      <c r="AB381" s="13"/>
      <c r="AC381" s="13"/>
      <c r="AD381" s="13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153"/>
      <c r="R382" s="7"/>
      <c r="S382" s="7"/>
      <c r="T382" s="7"/>
      <c r="U382" s="153"/>
      <c r="V382" s="153"/>
      <c r="W382" s="12"/>
      <c r="X382" s="7"/>
      <c r="Y382" s="7"/>
      <c r="Z382" s="7"/>
      <c r="AA382" s="7"/>
      <c r="AB382" s="13"/>
      <c r="AC382" s="13"/>
      <c r="AD382" s="13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153"/>
      <c r="R383" s="7"/>
      <c r="S383" s="7"/>
      <c r="T383" s="7"/>
      <c r="U383" s="153"/>
      <c r="V383" s="153"/>
      <c r="W383" s="12"/>
      <c r="X383" s="7"/>
      <c r="Y383" s="7"/>
      <c r="Z383" s="7"/>
      <c r="AA383" s="7"/>
      <c r="AB383" s="13"/>
      <c r="AC383" s="13"/>
      <c r="AD383" s="13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153"/>
      <c r="R384" s="7"/>
      <c r="S384" s="7"/>
      <c r="T384" s="7"/>
      <c r="U384" s="153"/>
      <c r="V384" s="153"/>
      <c r="W384" s="12"/>
      <c r="X384" s="7"/>
      <c r="Y384" s="7"/>
      <c r="Z384" s="7"/>
      <c r="AA384" s="7"/>
      <c r="AB384" s="13"/>
      <c r="AC384" s="13"/>
      <c r="AD384" s="13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153"/>
      <c r="R385" s="7"/>
      <c r="S385" s="7"/>
      <c r="T385" s="7"/>
      <c r="U385" s="153"/>
      <c r="V385" s="153"/>
      <c r="W385" s="12"/>
      <c r="X385" s="7"/>
      <c r="Y385" s="7"/>
      <c r="Z385" s="7"/>
      <c r="AA385" s="7"/>
      <c r="AB385" s="13"/>
      <c r="AC385" s="13"/>
      <c r="AD385" s="13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153"/>
      <c r="R386" s="7"/>
      <c r="S386" s="7"/>
      <c r="T386" s="7"/>
      <c r="U386" s="153"/>
      <c r="V386" s="153"/>
      <c r="W386" s="12"/>
      <c r="X386" s="7"/>
      <c r="Y386" s="7"/>
      <c r="Z386" s="7"/>
      <c r="AA386" s="7"/>
      <c r="AB386" s="13"/>
      <c r="AC386" s="13"/>
      <c r="AD386" s="13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153"/>
      <c r="R387" s="7"/>
      <c r="S387" s="7"/>
      <c r="T387" s="7"/>
      <c r="U387" s="153"/>
      <c r="V387" s="153"/>
      <c r="W387" s="12"/>
      <c r="X387" s="7"/>
      <c r="Y387" s="7"/>
      <c r="Z387" s="7"/>
      <c r="AA387" s="7"/>
      <c r="AB387" s="13"/>
      <c r="AC387" s="13"/>
      <c r="AD387" s="13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153"/>
      <c r="R388" s="7"/>
      <c r="S388" s="7"/>
      <c r="T388" s="7"/>
      <c r="U388" s="153"/>
      <c r="V388" s="153"/>
      <c r="W388" s="12"/>
      <c r="X388" s="7"/>
      <c r="Y388" s="7"/>
      <c r="Z388" s="7"/>
      <c r="AA388" s="7"/>
      <c r="AB388" s="13"/>
      <c r="AC388" s="13"/>
      <c r="AD388" s="13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153"/>
      <c r="R389" s="7"/>
      <c r="S389" s="7"/>
      <c r="T389" s="7"/>
      <c r="U389" s="153"/>
      <c r="V389" s="153"/>
      <c r="W389" s="12"/>
      <c r="X389" s="7"/>
      <c r="Y389" s="7"/>
      <c r="Z389" s="7"/>
      <c r="AA389" s="7"/>
      <c r="AB389" s="13"/>
      <c r="AC389" s="13"/>
      <c r="AD389" s="13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153"/>
      <c r="R390" s="7"/>
      <c r="S390" s="7"/>
      <c r="T390" s="7"/>
      <c r="U390" s="153"/>
      <c r="V390" s="153"/>
      <c r="W390" s="12"/>
      <c r="X390" s="7"/>
      <c r="Y390" s="7"/>
      <c r="Z390" s="7"/>
      <c r="AA390" s="7"/>
      <c r="AB390" s="13"/>
      <c r="AC390" s="13"/>
      <c r="AD390" s="13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153"/>
      <c r="R391" s="7"/>
      <c r="S391" s="7"/>
      <c r="T391" s="7"/>
      <c r="U391" s="153"/>
      <c r="V391" s="153"/>
      <c r="W391" s="12"/>
      <c r="X391" s="7"/>
      <c r="Y391" s="7"/>
      <c r="Z391" s="7"/>
      <c r="AA391" s="7"/>
      <c r="AB391" s="13"/>
      <c r="AC391" s="13"/>
      <c r="AD391" s="13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153"/>
      <c r="R392" s="7"/>
      <c r="S392" s="7"/>
      <c r="T392" s="7"/>
      <c r="U392" s="153"/>
      <c r="V392" s="153"/>
      <c r="W392" s="12"/>
      <c r="X392" s="7"/>
      <c r="Y392" s="7"/>
      <c r="Z392" s="7"/>
      <c r="AA392" s="7"/>
      <c r="AB392" s="13"/>
      <c r="AC392" s="13"/>
      <c r="AD392" s="13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153"/>
      <c r="R393" s="7"/>
      <c r="S393" s="7"/>
      <c r="T393" s="7"/>
      <c r="U393" s="153"/>
      <c r="V393" s="153"/>
      <c r="W393" s="12"/>
      <c r="X393" s="7"/>
      <c r="Y393" s="7"/>
      <c r="Z393" s="7"/>
      <c r="AA393" s="7"/>
      <c r="AB393" s="13"/>
      <c r="AC393" s="13"/>
      <c r="AD393" s="13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153"/>
      <c r="R394" s="7"/>
      <c r="S394" s="7"/>
      <c r="T394" s="7"/>
      <c r="U394" s="153"/>
      <c r="V394" s="153"/>
      <c r="W394" s="12"/>
      <c r="X394" s="7"/>
      <c r="Y394" s="7"/>
      <c r="Z394" s="7"/>
      <c r="AA394" s="7"/>
      <c r="AB394" s="13"/>
      <c r="AC394" s="13"/>
      <c r="AD394" s="13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153"/>
      <c r="R395" s="7"/>
      <c r="S395" s="7"/>
      <c r="T395" s="7"/>
      <c r="U395" s="153"/>
      <c r="V395" s="153"/>
      <c r="W395" s="12"/>
      <c r="X395" s="7"/>
      <c r="Y395" s="7"/>
      <c r="Z395" s="7"/>
      <c r="AA395" s="7"/>
      <c r="AB395" s="13"/>
      <c r="AC395" s="13"/>
      <c r="AD395" s="13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153"/>
      <c r="R396" s="7"/>
      <c r="S396" s="7"/>
      <c r="T396" s="7"/>
      <c r="U396" s="153"/>
      <c r="V396" s="153"/>
      <c r="W396" s="12"/>
      <c r="X396" s="7"/>
      <c r="Y396" s="7"/>
      <c r="Z396" s="7"/>
      <c r="AA396" s="7"/>
      <c r="AB396" s="13"/>
      <c r="AC396" s="13"/>
      <c r="AD396" s="13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153"/>
      <c r="R397" s="7"/>
      <c r="S397" s="7"/>
      <c r="T397" s="7"/>
      <c r="U397" s="153"/>
      <c r="V397" s="153"/>
      <c r="W397" s="12"/>
      <c r="X397" s="7"/>
      <c r="Y397" s="7"/>
      <c r="Z397" s="7"/>
      <c r="AA397" s="7"/>
      <c r="AB397" s="13"/>
      <c r="AC397" s="13"/>
      <c r="AD397" s="13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153"/>
      <c r="R398" s="7"/>
      <c r="S398" s="7"/>
      <c r="T398" s="7"/>
      <c r="U398" s="153"/>
      <c r="V398" s="153"/>
      <c r="W398" s="12"/>
      <c r="X398" s="7"/>
      <c r="Y398" s="7"/>
      <c r="Z398" s="7"/>
      <c r="AA398" s="7"/>
      <c r="AB398" s="13"/>
      <c r="AC398" s="13"/>
      <c r="AD398" s="13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153"/>
      <c r="R399" s="7"/>
      <c r="S399" s="7"/>
      <c r="T399" s="7"/>
      <c r="U399" s="153"/>
      <c r="V399" s="153"/>
      <c r="W399" s="12"/>
      <c r="X399" s="7"/>
      <c r="Y399" s="7"/>
      <c r="Z399" s="7"/>
      <c r="AA399" s="7"/>
      <c r="AB399" s="13"/>
      <c r="AC399" s="13"/>
      <c r="AD399" s="13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153"/>
      <c r="R400" s="7"/>
      <c r="S400" s="7"/>
      <c r="T400" s="7"/>
      <c r="U400" s="153"/>
      <c r="V400" s="153"/>
      <c r="W400" s="12"/>
      <c r="X400" s="7"/>
      <c r="Y400" s="7"/>
      <c r="Z400" s="7"/>
      <c r="AA400" s="7"/>
      <c r="AB400" s="13"/>
      <c r="AC400" s="13"/>
      <c r="AD400" s="13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153"/>
      <c r="R401" s="7"/>
      <c r="S401" s="7"/>
      <c r="T401" s="7"/>
      <c r="U401" s="153"/>
      <c r="V401" s="153"/>
      <c r="W401" s="12"/>
      <c r="X401" s="7"/>
      <c r="Y401" s="7"/>
      <c r="Z401" s="7"/>
      <c r="AA401" s="7"/>
      <c r="AB401" s="13"/>
      <c r="AC401" s="13"/>
      <c r="AD401" s="13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153"/>
      <c r="R402" s="7"/>
      <c r="S402" s="7"/>
      <c r="T402" s="7"/>
      <c r="U402" s="153"/>
      <c r="V402" s="153"/>
      <c r="W402" s="12"/>
      <c r="X402" s="7"/>
      <c r="Y402" s="7"/>
      <c r="Z402" s="7"/>
      <c r="AA402" s="7"/>
      <c r="AB402" s="13"/>
      <c r="AC402" s="13"/>
      <c r="AD402" s="13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153"/>
      <c r="R403" s="7"/>
      <c r="S403" s="7"/>
      <c r="T403" s="7"/>
      <c r="U403" s="153"/>
      <c r="V403" s="153"/>
      <c r="W403" s="12"/>
      <c r="X403" s="7"/>
      <c r="Y403" s="7"/>
      <c r="Z403" s="7"/>
      <c r="AA403" s="7"/>
      <c r="AB403" s="13"/>
      <c r="AC403" s="13"/>
      <c r="AD403" s="13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153"/>
      <c r="R404" s="7"/>
      <c r="S404" s="7"/>
      <c r="T404" s="7"/>
      <c r="U404" s="153"/>
      <c r="V404" s="153"/>
      <c r="W404" s="12"/>
      <c r="X404" s="7"/>
      <c r="Y404" s="7"/>
      <c r="Z404" s="7"/>
      <c r="AA404" s="7"/>
      <c r="AB404" s="13"/>
      <c r="AC404" s="13"/>
      <c r="AD404" s="13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153"/>
      <c r="R405" s="7"/>
      <c r="S405" s="7"/>
      <c r="T405" s="7"/>
      <c r="U405" s="153"/>
      <c r="V405" s="153"/>
      <c r="W405" s="12"/>
      <c r="X405" s="7"/>
      <c r="Y405" s="7"/>
      <c r="Z405" s="7"/>
      <c r="AA405" s="7"/>
      <c r="AB405" s="13"/>
      <c r="AC405" s="13"/>
      <c r="AD405" s="13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153"/>
      <c r="R406" s="7"/>
      <c r="S406" s="7"/>
      <c r="T406" s="7"/>
      <c r="U406" s="153"/>
      <c r="V406" s="153"/>
      <c r="W406" s="12"/>
      <c r="X406" s="7"/>
      <c r="Y406" s="7"/>
      <c r="Z406" s="7"/>
      <c r="AA406" s="7"/>
      <c r="AB406" s="13"/>
      <c r="AC406" s="13"/>
      <c r="AD406" s="13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153"/>
      <c r="R407" s="7"/>
      <c r="S407" s="7"/>
      <c r="T407" s="7"/>
      <c r="U407" s="153"/>
      <c r="V407" s="153"/>
      <c r="W407" s="12"/>
      <c r="X407" s="7"/>
      <c r="Y407" s="7"/>
      <c r="Z407" s="7"/>
      <c r="AA407" s="7"/>
      <c r="AB407" s="13"/>
      <c r="AC407" s="13"/>
      <c r="AD407" s="13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153"/>
      <c r="R408" s="7"/>
      <c r="S408" s="7"/>
      <c r="T408" s="7"/>
      <c r="U408" s="153"/>
      <c r="V408" s="153"/>
      <c r="W408" s="12"/>
      <c r="X408" s="7"/>
      <c r="Y408" s="7"/>
      <c r="Z408" s="7"/>
      <c r="AA408" s="7"/>
      <c r="AB408" s="13"/>
      <c r="AC408" s="13"/>
      <c r="AD408" s="13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153"/>
      <c r="R409" s="7"/>
      <c r="S409" s="7"/>
      <c r="T409" s="7"/>
      <c r="U409" s="153"/>
      <c r="V409" s="153"/>
      <c r="W409" s="12"/>
      <c r="X409" s="7"/>
      <c r="Y409" s="7"/>
      <c r="Z409" s="7"/>
      <c r="AA409" s="7"/>
      <c r="AB409" s="13"/>
      <c r="AC409" s="13"/>
      <c r="AD409" s="13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153"/>
      <c r="R410" s="7"/>
      <c r="S410" s="7"/>
      <c r="T410" s="7"/>
      <c r="U410" s="153"/>
      <c r="V410" s="153"/>
      <c r="W410" s="12"/>
      <c r="X410" s="7"/>
      <c r="Y410" s="7"/>
      <c r="Z410" s="7"/>
      <c r="AA410" s="7"/>
      <c r="AB410" s="13"/>
      <c r="AC410" s="13"/>
      <c r="AD410" s="13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153"/>
      <c r="R411" s="7"/>
      <c r="S411" s="7"/>
      <c r="T411" s="7"/>
      <c r="U411" s="153"/>
      <c r="V411" s="153"/>
      <c r="W411" s="12"/>
      <c r="X411" s="7"/>
      <c r="Y411" s="7"/>
      <c r="Z411" s="7"/>
      <c r="AA411" s="7"/>
      <c r="AB411" s="13"/>
      <c r="AC411" s="13"/>
      <c r="AD411" s="13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153"/>
      <c r="R412" s="7"/>
      <c r="S412" s="7"/>
      <c r="T412" s="7"/>
      <c r="U412" s="153"/>
      <c r="V412" s="153"/>
      <c r="W412" s="12"/>
      <c r="X412" s="7"/>
      <c r="Y412" s="7"/>
      <c r="Z412" s="7"/>
      <c r="AA412" s="7"/>
      <c r="AB412" s="13"/>
      <c r="AC412" s="13"/>
      <c r="AD412" s="13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153"/>
      <c r="R413" s="7"/>
      <c r="S413" s="7"/>
      <c r="T413" s="7"/>
      <c r="U413" s="153"/>
      <c r="V413" s="153"/>
      <c r="W413" s="12"/>
      <c r="X413" s="7"/>
      <c r="Y413" s="7"/>
      <c r="Z413" s="7"/>
      <c r="AA413" s="7"/>
      <c r="AB413" s="13"/>
      <c r="AC413" s="13"/>
      <c r="AD413" s="13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153"/>
      <c r="R414" s="7"/>
      <c r="S414" s="7"/>
      <c r="T414" s="7"/>
      <c r="U414" s="153"/>
      <c r="V414" s="153"/>
      <c r="W414" s="12"/>
      <c r="X414" s="7"/>
      <c r="Y414" s="7"/>
      <c r="Z414" s="7"/>
      <c r="AA414" s="7"/>
      <c r="AB414" s="13"/>
      <c r="AC414" s="13"/>
      <c r="AD414" s="13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153"/>
      <c r="R415" s="7"/>
      <c r="S415" s="7"/>
      <c r="T415" s="7"/>
      <c r="U415" s="153"/>
      <c r="V415" s="153"/>
      <c r="W415" s="12"/>
      <c r="X415" s="7"/>
      <c r="Y415" s="7"/>
      <c r="Z415" s="7"/>
      <c r="AA415" s="7"/>
      <c r="AB415" s="13"/>
      <c r="AC415" s="13"/>
      <c r="AD415" s="13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153"/>
      <c r="R416" s="7"/>
      <c r="S416" s="7"/>
      <c r="T416" s="7"/>
      <c r="U416" s="153"/>
      <c r="V416" s="153"/>
      <c r="W416" s="12"/>
      <c r="X416" s="7"/>
      <c r="Y416" s="7"/>
      <c r="Z416" s="7"/>
      <c r="AA416" s="7"/>
      <c r="AB416" s="13"/>
      <c r="AC416" s="13"/>
      <c r="AD416" s="13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153"/>
      <c r="R417" s="7"/>
      <c r="S417" s="7"/>
      <c r="T417" s="7"/>
      <c r="U417" s="153"/>
      <c r="V417" s="153"/>
      <c r="W417" s="12"/>
      <c r="X417" s="7"/>
      <c r="Y417" s="7"/>
      <c r="Z417" s="7"/>
      <c r="AA417" s="7"/>
      <c r="AB417" s="13"/>
      <c r="AC417" s="13"/>
      <c r="AD417" s="13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153"/>
      <c r="R418" s="7"/>
      <c r="S418" s="7"/>
      <c r="T418" s="7"/>
      <c r="U418" s="153"/>
      <c r="V418" s="153"/>
      <c r="W418" s="12"/>
      <c r="X418" s="7"/>
      <c r="Y418" s="7"/>
      <c r="Z418" s="7"/>
      <c r="AA418" s="7"/>
      <c r="AB418" s="13"/>
      <c r="AC418" s="13"/>
      <c r="AD418" s="13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153"/>
      <c r="R419" s="7"/>
      <c r="S419" s="7"/>
      <c r="T419" s="7"/>
      <c r="U419" s="153"/>
      <c r="V419" s="153"/>
      <c r="W419" s="12"/>
      <c r="X419" s="7"/>
      <c r="Y419" s="7"/>
      <c r="Z419" s="7"/>
      <c r="AA419" s="7"/>
      <c r="AB419" s="13"/>
      <c r="AC419" s="13"/>
      <c r="AD419" s="13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153"/>
      <c r="R420" s="7"/>
      <c r="S420" s="7"/>
      <c r="T420" s="7"/>
      <c r="U420" s="153"/>
      <c r="V420" s="153"/>
      <c r="W420" s="12"/>
      <c r="X420" s="7"/>
      <c r="Y420" s="7"/>
      <c r="Z420" s="7"/>
      <c r="AA420" s="7"/>
      <c r="AB420" s="13"/>
      <c r="AC420" s="13"/>
      <c r="AD420" s="13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153"/>
      <c r="R421" s="7"/>
      <c r="S421" s="7"/>
      <c r="T421" s="7"/>
      <c r="U421" s="153"/>
      <c r="V421" s="153"/>
      <c r="W421" s="12"/>
      <c r="X421" s="7"/>
      <c r="Y421" s="7"/>
      <c r="Z421" s="7"/>
      <c r="AA421" s="7"/>
      <c r="AB421" s="13"/>
      <c r="AC421" s="13"/>
      <c r="AD421" s="13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153"/>
      <c r="R422" s="7"/>
      <c r="S422" s="7"/>
      <c r="T422" s="7"/>
      <c r="U422" s="153"/>
      <c r="V422" s="153"/>
      <c r="W422" s="12"/>
      <c r="X422" s="7"/>
      <c r="Y422" s="7"/>
      <c r="Z422" s="7"/>
      <c r="AA422" s="7"/>
      <c r="AB422" s="13"/>
      <c r="AC422" s="13"/>
      <c r="AD422" s="13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153"/>
      <c r="R423" s="7"/>
      <c r="S423" s="7"/>
      <c r="T423" s="7"/>
      <c r="U423" s="153"/>
      <c r="V423" s="153"/>
      <c r="W423" s="12"/>
      <c r="X423" s="7"/>
      <c r="Y423" s="7"/>
      <c r="Z423" s="7"/>
      <c r="AA423" s="7"/>
      <c r="AB423" s="13"/>
      <c r="AC423" s="13"/>
      <c r="AD423" s="13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153"/>
      <c r="R424" s="7"/>
      <c r="S424" s="7"/>
      <c r="T424" s="7"/>
      <c r="U424" s="153"/>
      <c r="V424" s="153"/>
      <c r="W424" s="12"/>
      <c r="X424" s="7"/>
      <c r="Y424" s="7"/>
      <c r="Z424" s="7"/>
      <c r="AA424" s="7"/>
      <c r="AB424" s="13"/>
      <c r="AC424" s="13"/>
      <c r="AD424" s="13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153"/>
      <c r="R425" s="7"/>
      <c r="S425" s="7"/>
      <c r="T425" s="7"/>
      <c r="U425" s="153"/>
      <c r="V425" s="153"/>
      <c r="W425" s="12"/>
      <c r="X425" s="7"/>
      <c r="Y425" s="7"/>
      <c r="Z425" s="7"/>
      <c r="AA425" s="7"/>
      <c r="AB425" s="13"/>
      <c r="AC425" s="13"/>
      <c r="AD425" s="13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153"/>
      <c r="R426" s="7"/>
      <c r="S426" s="7"/>
      <c r="T426" s="7"/>
      <c r="U426" s="153"/>
      <c r="V426" s="153"/>
      <c r="W426" s="12"/>
      <c r="X426" s="7"/>
      <c r="Y426" s="7"/>
      <c r="Z426" s="7"/>
      <c r="AA426" s="7"/>
      <c r="AB426" s="13"/>
      <c r="AC426" s="13"/>
      <c r="AD426" s="13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153"/>
      <c r="R427" s="7"/>
      <c r="S427" s="7"/>
      <c r="T427" s="7"/>
      <c r="U427" s="153"/>
      <c r="V427" s="153"/>
      <c r="W427" s="12"/>
      <c r="X427" s="7"/>
      <c r="Y427" s="7"/>
      <c r="Z427" s="7"/>
      <c r="AA427" s="7"/>
      <c r="AB427" s="13"/>
      <c r="AC427" s="13"/>
      <c r="AD427" s="13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153"/>
      <c r="R428" s="7"/>
      <c r="S428" s="7"/>
      <c r="T428" s="7"/>
      <c r="U428" s="153"/>
      <c r="V428" s="153"/>
      <c r="W428" s="12"/>
      <c r="X428" s="7"/>
      <c r="Y428" s="7"/>
      <c r="Z428" s="7"/>
      <c r="AA428" s="7"/>
      <c r="AB428" s="13"/>
      <c r="AC428" s="13"/>
      <c r="AD428" s="13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153"/>
      <c r="R429" s="7"/>
      <c r="S429" s="7"/>
      <c r="T429" s="7"/>
      <c r="U429" s="153"/>
      <c r="V429" s="153"/>
      <c r="W429" s="12"/>
      <c r="X429" s="7"/>
      <c r="Y429" s="7"/>
      <c r="Z429" s="7"/>
      <c r="AA429" s="7"/>
      <c r="AB429" s="13"/>
      <c r="AC429" s="13"/>
      <c r="AD429" s="13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153"/>
      <c r="R430" s="7"/>
      <c r="S430" s="7"/>
      <c r="T430" s="7"/>
      <c r="U430" s="153"/>
      <c r="V430" s="153"/>
      <c r="W430" s="12"/>
      <c r="X430" s="7"/>
      <c r="Y430" s="7"/>
      <c r="Z430" s="7"/>
      <c r="AA430" s="7"/>
      <c r="AB430" s="13"/>
      <c r="AC430" s="13"/>
      <c r="AD430" s="13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153"/>
      <c r="R431" s="7"/>
      <c r="S431" s="7"/>
      <c r="T431" s="7"/>
      <c r="U431" s="153"/>
      <c r="V431" s="153"/>
      <c r="W431" s="12"/>
      <c r="X431" s="7"/>
      <c r="Y431" s="7"/>
      <c r="Z431" s="7"/>
      <c r="AA431" s="7"/>
      <c r="AB431" s="13"/>
      <c r="AC431" s="13"/>
      <c r="AD431" s="13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153"/>
      <c r="R432" s="7"/>
      <c r="S432" s="7"/>
      <c r="T432" s="7"/>
      <c r="U432" s="153"/>
      <c r="V432" s="153"/>
      <c r="W432" s="12"/>
      <c r="X432" s="7"/>
      <c r="Y432" s="7"/>
      <c r="Z432" s="7"/>
      <c r="AA432" s="7"/>
      <c r="AB432" s="13"/>
      <c r="AC432" s="13"/>
      <c r="AD432" s="13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153"/>
      <c r="R433" s="7"/>
      <c r="S433" s="7"/>
      <c r="T433" s="7"/>
      <c r="U433" s="153"/>
      <c r="V433" s="153"/>
      <c r="W433" s="12"/>
      <c r="X433" s="7"/>
      <c r="Y433" s="7"/>
      <c r="Z433" s="7"/>
      <c r="AA433" s="7"/>
      <c r="AB433" s="13"/>
      <c r="AC433" s="13"/>
      <c r="AD433" s="13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153"/>
      <c r="R434" s="7"/>
      <c r="S434" s="7"/>
      <c r="T434" s="7"/>
      <c r="U434" s="153"/>
      <c r="V434" s="153"/>
      <c r="W434" s="12"/>
      <c r="X434" s="7"/>
      <c r="Y434" s="7"/>
      <c r="Z434" s="7"/>
      <c r="AA434" s="7"/>
      <c r="AB434" s="13"/>
      <c r="AC434" s="13"/>
      <c r="AD434" s="13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153"/>
      <c r="R435" s="7"/>
      <c r="S435" s="7"/>
      <c r="T435" s="7"/>
      <c r="U435" s="153"/>
      <c r="V435" s="153"/>
      <c r="W435" s="12"/>
      <c r="X435" s="7"/>
      <c r="Y435" s="7"/>
      <c r="Z435" s="7"/>
      <c r="AA435" s="7"/>
      <c r="AB435" s="13"/>
      <c r="AC435" s="13"/>
      <c r="AD435" s="13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153"/>
      <c r="R436" s="7"/>
      <c r="S436" s="7"/>
      <c r="T436" s="7"/>
      <c r="U436" s="153"/>
      <c r="V436" s="153"/>
      <c r="W436" s="12"/>
      <c r="X436" s="7"/>
      <c r="Y436" s="7"/>
      <c r="Z436" s="7"/>
      <c r="AA436" s="7"/>
      <c r="AB436" s="13"/>
      <c r="AC436" s="13"/>
      <c r="AD436" s="13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153"/>
      <c r="R437" s="7"/>
      <c r="S437" s="7"/>
      <c r="T437" s="7"/>
      <c r="U437" s="153"/>
      <c r="V437" s="153"/>
      <c r="W437" s="12"/>
      <c r="X437" s="7"/>
      <c r="Y437" s="7"/>
      <c r="Z437" s="7"/>
      <c r="AA437" s="7"/>
      <c r="AB437" s="13"/>
      <c r="AC437" s="13"/>
      <c r="AD437" s="13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153"/>
      <c r="R438" s="7"/>
      <c r="S438" s="7"/>
      <c r="T438" s="7"/>
      <c r="U438" s="153"/>
      <c r="V438" s="153"/>
      <c r="W438" s="12"/>
      <c r="X438" s="7"/>
      <c r="Y438" s="7"/>
      <c r="Z438" s="7"/>
      <c r="AA438" s="7"/>
      <c r="AB438" s="13"/>
      <c r="AC438" s="13"/>
      <c r="AD438" s="13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153"/>
      <c r="R439" s="7"/>
      <c r="S439" s="7"/>
      <c r="T439" s="7"/>
      <c r="U439" s="153"/>
      <c r="V439" s="153"/>
      <c r="W439" s="12"/>
      <c r="X439" s="7"/>
      <c r="Y439" s="7"/>
      <c r="Z439" s="7"/>
      <c r="AA439" s="7"/>
      <c r="AB439" s="13"/>
      <c r="AC439" s="13"/>
      <c r="AD439" s="13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153"/>
      <c r="R440" s="7"/>
      <c r="S440" s="7"/>
      <c r="T440" s="7"/>
      <c r="U440" s="153"/>
      <c r="V440" s="153"/>
      <c r="W440" s="12"/>
      <c r="X440" s="7"/>
      <c r="Y440" s="7"/>
      <c r="Z440" s="7"/>
      <c r="AA440" s="7"/>
      <c r="AB440" s="13"/>
      <c r="AC440" s="13"/>
      <c r="AD440" s="13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153"/>
      <c r="R441" s="7"/>
      <c r="S441" s="7"/>
      <c r="T441" s="7"/>
      <c r="U441" s="153"/>
      <c r="V441" s="153"/>
      <c r="W441" s="12"/>
      <c r="X441" s="7"/>
      <c r="Y441" s="7"/>
      <c r="Z441" s="7"/>
      <c r="AA441" s="7"/>
      <c r="AB441" s="13"/>
      <c r="AC441" s="13"/>
      <c r="AD441" s="13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153"/>
      <c r="R442" s="7"/>
      <c r="S442" s="7"/>
      <c r="T442" s="7"/>
      <c r="U442" s="153"/>
      <c r="V442" s="153"/>
      <c r="W442" s="12"/>
      <c r="X442" s="7"/>
      <c r="Y442" s="7"/>
      <c r="Z442" s="7"/>
      <c r="AA442" s="7"/>
      <c r="AB442" s="13"/>
      <c r="AC442" s="13"/>
      <c r="AD442" s="13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153"/>
      <c r="R443" s="7"/>
      <c r="S443" s="7"/>
      <c r="T443" s="7"/>
      <c r="U443" s="153"/>
      <c r="V443" s="153"/>
      <c r="W443" s="12"/>
      <c r="X443" s="7"/>
      <c r="Y443" s="7"/>
      <c r="Z443" s="7"/>
      <c r="AA443" s="7"/>
      <c r="AB443" s="13"/>
      <c r="AC443" s="13"/>
      <c r="AD443" s="13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153"/>
      <c r="R444" s="7"/>
      <c r="S444" s="7"/>
      <c r="T444" s="7"/>
      <c r="U444" s="153"/>
      <c r="V444" s="153"/>
      <c r="W444" s="12"/>
      <c r="X444" s="7"/>
      <c r="Y444" s="7"/>
      <c r="Z444" s="7"/>
      <c r="AA444" s="7"/>
      <c r="AB444" s="13"/>
      <c r="AC444" s="13"/>
      <c r="AD444" s="13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153"/>
      <c r="R445" s="7"/>
      <c r="S445" s="7"/>
      <c r="T445" s="7"/>
      <c r="U445" s="153"/>
      <c r="V445" s="153"/>
      <c r="W445" s="12"/>
      <c r="X445" s="7"/>
      <c r="Y445" s="7"/>
      <c r="Z445" s="7"/>
      <c r="AA445" s="7"/>
      <c r="AB445" s="13"/>
      <c r="AC445" s="13"/>
      <c r="AD445" s="13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153"/>
      <c r="R446" s="7"/>
      <c r="S446" s="7"/>
      <c r="T446" s="7"/>
      <c r="U446" s="153"/>
      <c r="V446" s="153"/>
      <c r="W446" s="12"/>
      <c r="X446" s="7"/>
      <c r="Y446" s="7"/>
      <c r="Z446" s="7"/>
      <c r="AA446" s="7"/>
      <c r="AB446" s="13"/>
      <c r="AC446" s="13"/>
      <c r="AD446" s="13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153"/>
      <c r="R447" s="7"/>
      <c r="S447" s="7"/>
      <c r="T447" s="7"/>
      <c r="U447" s="153"/>
      <c r="V447" s="153"/>
      <c r="W447" s="12"/>
      <c r="X447" s="7"/>
      <c r="Y447" s="7"/>
      <c r="Z447" s="7"/>
      <c r="AA447" s="7"/>
      <c r="AB447" s="13"/>
      <c r="AC447" s="13"/>
      <c r="AD447" s="13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153"/>
      <c r="R448" s="7"/>
      <c r="S448" s="7"/>
      <c r="T448" s="7"/>
      <c r="U448" s="153"/>
      <c r="V448" s="153"/>
      <c r="W448" s="12"/>
      <c r="X448" s="7"/>
      <c r="Y448" s="7"/>
      <c r="Z448" s="7"/>
      <c r="AA448" s="7"/>
      <c r="AB448" s="13"/>
      <c r="AC448" s="13"/>
      <c r="AD448" s="13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153"/>
      <c r="R449" s="7"/>
      <c r="S449" s="7"/>
      <c r="T449" s="7"/>
      <c r="U449" s="153"/>
      <c r="V449" s="153"/>
      <c r="W449" s="12"/>
      <c r="X449" s="7"/>
      <c r="Y449" s="7"/>
      <c r="Z449" s="7"/>
      <c r="AA449" s="7"/>
      <c r="AB449" s="13"/>
      <c r="AC449" s="13"/>
      <c r="AD449" s="13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153"/>
      <c r="R450" s="7"/>
      <c r="S450" s="7"/>
      <c r="T450" s="7"/>
      <c r="U450" s="153"/>
      <c r="V450" s="153"/>
      <c r="W450" s="12"/>
      <c r="X450" s="7"/>
      <c r="Y450" s="7"/>
      <c r="Z450" s="7"/>
      <c r="AA450" s="7"/>
      <c r="AB450" s="13"/>
      <c r="AC450" s="13"/>
      <c r="AD450" s="13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153"/>
      <c r="R451" s="7"/>
      <c r="S451" s="7"/>
      <c r="T451" s="7"/>
      <c r="U451" s="153"/>
      <c r="V451" s="153"/>
      <c r="W451" s="12"/>
      <c r="X451" s="7"/>
      <c r="Y451" s="7"/>
      <c r="Z451" s="7"/>
      <c r="AA451" s="7"/>
      <c r="AB451" s="13"/>
      <c r="AC451" s="13"/>
      <c r="AD451" s="13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153"/>
      <c r="R452" s="7"/>
      <c r="S452" s="7"/>
      <c r="T452" s="7"/>
      <c r="U452" s="153"/>
      <c r="V452" s="153"/>
      <c r="W452" s="12"/>
      <c r="X452" s="7"/>
      <c r="Y452" s="7"/>
      <c r="Z452" s="7"/>
      <c r="AA452" s="7"/>
      <c r="AB452" s="13"/>
      <c r="AC452" s="13"/>
      <c r="AD452" s="13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153"/>
      <c r="R453" s="7"/>
      <c r="S453" s="7"/>
      <c r="T453" s="7"/>
      <c r="U453" s="153"/>
      <c r="V453" s="153"/>
      <c r="W453" s="12"/>
      <c r="X453" s="7"/>
      <c r="Y453" s="7"/>
      <c r="Z453" s="7"/>
      <c r="AA453" s="7"/>
      <c r="AB453" s="13"/>
      <c r="AC453" s="13"/>
      <c r="AD453" s="13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153"/>
      <c r="R454" s="7"/>
      <c r="S454" s="7"/>
      <c r="T454" s="7"/>
      <c r="U454" s="153"/>
      <c r="V454" s="153"/>
      <c r="W454" s="12"/>
      <c r="X454" s="7"/>
      <c r="Y454" s="7"/>
      <c r="Z454" s="7"/>
      <c r="AA454" s="7"/>
      <c r="AB454" s="13"/>
      <c r="AC454" s="13"/>
      <c r="AD454" s="13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153"/>
      <c r="R455" s="7"/>
      <c r="S455" s="7"/>
      <c r="T455" s="7"/>
      <c r="U455" s="153"/>
      <c r="V455" s="153"/>
      <c r="W455" s="12"/>
      <c r="X455" s="7"/>
      <c r="Y455" s="7"/>
      <c r="Z455" s="7"/>
      <c r="AA455" s="7"/>
      <c r="AB455" s="13"/>
      <c r="AC455" s="13"/>
      <c r="AD455" s="13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153"/>
      <c r="R456" s="7"/>
      <c r="S456" s="7"/>
      <c r="T456" s="7"/>
      <c r="U456" s="153"/>
      <c r="V456" s="153"/>
      <c r="W456" s="12"/>
      <c r="X456" s="7"/>
      <c r="Y456" s="7"/>
      <c r="Z456" s="7"/>
      <c r="AA456" s="7"/>
      <c r="AB456" s="13"/>
      <c r="AC456" s="13"/>
      <c r="AD456" s="13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153"/>
      <c r="R457" s="7"/>
      <c r="S457" s="7"/>
      <c r="T457" s="7"/>
      <c r="U457" s="153"/>
      <c r="V457" s="153"/>
      <c r="W457" s="12"/>
      <c r="X457" s="7"/>
      <c r="Y457" s="7"/>
      <c r="Z457" s="7"/>
      <c r="AA457" s="7"/>
      <c r="AB457" s="13"/>
      <c r="AC457" s="13"/>
      <c r="AD457" s="13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153"/>
      <c r="R458" s="7"/>
      <c r="S458" s="7"/>
      <c r="T458" s="7"/>
      <c r="U458" s="153"/>
      <c r="V458" s="153"/>
      <c r="W458" s="12"/>
      <c r="X458" s="7"/>
      <c r="Y458" s="7"/>
      <c r="Z458" s="7"/>
      <c r="AA458" s="7"/>
      <c r="AB458" s="13"/>
      <c r="AC458" s="13"/>
      <c r="AD458" s="13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153"/>
      <c r="R459" s="7"/>
      <c r="S459" s="7"/>
      <c r="T459" s="7"/>
      <c r="U459" s="153"/>
      <c r="V459" s="153"/>
      <c r="W459" s="12"/>
      <c r="X459" s="7"/>
      <c r="Y459" s="7"/>
      <c r="Z459" s="7"/>
      <c r="AA459" s="7"/>
      <c r="AB459" s="13"/>
      <c r="AC459" s="13"/>
      <c r="AD459" s="13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153"/>
      <c r="R460" s="7"/>
      <c r="S460" s="7"/>
      <c r="T460" s="7"/>
      <c r="U460" s="153"/>
      <c r="V460" s="153"/>
      <c r="W460" s="12"/>
      <c r="X460" s="7"/>
      <c r="Y460" s="7"/>
      <c r="Z460" s="7"/>
      <c r="AA460" s="7"/>
      <c r="AB460" s="13"/>
      <c r="AC460" s="13"/>
      <c r="AD460" s="13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153"/>
      <c r="R461" s="7"/>
      <c r="S461" s="7"/>
      <c r="T461" s="7"/>
      <c r="U461" s="153"/>
      <c r="V461" s="153"/>
      <c r="W461" s="12"/>
      <c r="X461" s="7"/>
      <c r="Y461" s="7"/>
      <c r="Z461" s="7"/>
      <c r="AA461" s="7"/>
      <c r="AB461" s="13"/>
      <c r="AC461" s="13"/>
      <c r="AD461" s="13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153"/>
      <c r="R462" s="7"/>
      <c r="S462" s="7"/>
      <c r="T462" s="7"/>
      <c r="U462" s="153"/>
      <c r="V462" s="153"/>
      <c r="W462" s="12"/>
      <c r="X462" s="7"/>
      <c r="Y462" s="7"/>
      <c r="Z462" s="7"/>
      <c r="AA462" s="7"/>
      <c r="AB462" s="13"/>
      <c r="AC462" s="13"/>
      <c r="AD462" s="13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153"/>
      <c r="R463" s="7"/>
      <c r="S463" s="7"/>
      <c r="T463" s="7"/>
      <c r="U463" s="153"/>
      <c r="V463" s="153"/>
      <c r="W463" s="12"/>
      <c r="X463" s="7"/>
      <c r="Y463" s="7"/>
      <c r="Z463" s="7"/>
      <c r="AA463" s="7"/>
      <c r="AB463" s="13"/>
      <c r="AC463" s="13"/>
      <c r="AD463" s="13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153"/>
      <c r="R464" s="7"/>
      <c r="S464" s="7"/>
      <c r="T464" s="7"/>
      <c r="U464" s="153"/>
      <c r="V464" s="153"/>
      <c r="W464" s="12"/>
      <c r="X464" s="7"/>
      <c r="Y464" s="7"/>
      <c r="Z464" s="7"/>
      <c r="AA464" s="7"/>
      <c r="AB464" s="13"/>
      <c r="AC464" s="13"/>
      <c r="AD464" s="13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153"/>
      <c r="R465" s="7"/>
      <c r="S465" s="7"/>
      <c r="T465" s="7"/>
      <c r="U465" s="153"/>
      <c r="V465" s="153"/>
      <c r="W465" s="12"/>
      <c r="X465" s="7"/>
      <c r="Y465" s="7"/>
      <c r="Z465" s="7"/>
      <c r="AA465" s="7"/>
      <c r="AB465" s="13"/>
      <c r="AC465" s="13"/>
      <c r="AD465" s="13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153"/>
      <c r="R466" s="7"/>
      <c r="S466" s="7"/>
      <c r="T466" s="7"/>
      <c r="U466" s="153"/>
      <c r="V466" s="153"/>
      <c r="W466" s="12"/>
      <c r="X466" s="7"/>
      <c r="Y466" s="7"/>
      <c r="Z466" s="7"/>
      <c r="AA466" s="7"/>
      <c r="AB466" s="13"/>
      <c r="AC466" s="13"/>
      <c r="AD466" s="13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153"/>
      <c r="R467" s="7"/>
      <c r="S467" s="7"/>
      <c r="T467" s="7"/>
      <c r="U467" s="153"/>
      <c r="V467" s="153"/>
      <c r="W467" s="12"/>
      <c r="X467" s="7"/>
      <c r="Y467" s="7"/>
      <c r="Z467" s="7"/>
      <c r="AA467" s="7"/>
      <c r="AB467" s="13"/>
      <c r="AC467" s="13"/>
      <c r="AD467" s="13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153"/>
      <c r="R468" s="7"/>
      <c r="S468" s="7"/>
      <c r="T468" s="7"/>
      <c r="U468" s="153"/>
      <c r="V468" s="153"/>
      <c r="W468" s="12"/>
      <c r="X468" s="7"/>
      <c r="Y468" s="7"/>
      <c r="Z468" s="7"/>
      <c r="AA468" s="7"/>
      <c r="AB468" s="13"/>
      <c r="AC468" s="13"/>
      <c r="AD468" s="13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153"/>
      <c r="R469" s="7"/>
      <c r="S469" s="7"/>
      <c r="T469" s="7"/>
      <c r="U469" s="153"/>
      <c r="V469" s="153"/>
      <c r="W469" s="12"/>
      <c r="X469" s="7"/>
      <c r="Y469" s="7"/>
      <c r="Z469" s="7"/>
      <c r="AA469" s="7"/>
      <c r="AB469" s="13"/>
      <c r="AC469" s="13"/>
      <c r="AD469" s="13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153"/>
      <c r="R470" s="7"/>
      <c r="S470" s="7"/>
      <c r="T470" s="7"/>
      <c r="U470" s="153"/>
      <c r="V470" s="153"/>
      <c r="W470" s="12"/>
      <c r="X470" s="7"/>
      <c r="Y470" s="7"/>
      <c r="Z470" s="7"/>
      <c r="AA470" s="7"/>
      <c r="AB470" s="13"/>
      <c r="AC470" s="13"/>
      <c r="AD470" s="13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153"/>
      <c r="R471" s="7"/>
      <c r="S471" s="7"/>
      <c r="T471" s="7"/>
      <c r="U471" s="153"/>
      <c r="V471" s="153"/>
      <c r="W471" s="12"/>
      <c r="X471" s="7"/>
      <c r="Y471" s="7"/>
      <c r="Z471" s="7"/>
      <c r="AA471" s="7"/>
      <c r="AB471" s="13"/>
      <c r="AC471" s="13"/>
      <c r="AD471" s="13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153"/>
      <c r="R472" s="7"/>
      <c r="S472" s="7"/>
      <c r="T472" s="7"/>
      <c r="U472" s="153"/>
      <c r="V472" s="153"/>
      <c r="W472" s="12"/>
      <c r="X472" s="7"/>
      <c r="Y472" s="7"/>
      <c r="Z472" s="7"/>
      <c r="AA472" s="7"/>
      <c r="AB472" s="13"/>
      <c r="AC472" s="13"/>
      <c r="AD472" s="13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153"/>
      <c r="R473" s="7"/>
      <c r="S473" s="7"/>
      <c r="T473" s="7"/>
      <c r="U473" s="153"/>
      <c r="V473" s="153"/>
      <c r="W473" s="12"/>
      <c r="X473" s="7"/>
      <c r="Y473" s="7"/>
      <c r="Z473" s="7"/>
      <c r="AA473" s="7"/>
      <c r="AB473" s="13"/>
      <c r="AC473" s="13"/>
      <c r="AD473" s="13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153"/>
      <c r="R474" s="7"/>
      <c r="S474" s="7"/>
      <c r="T474" s="7"/>
      <c r="U474" s="153"/>
      <c r="V474" s="153"/>
      <c r="W474" s="12"/>
      <c r="X474" s="7"/>
      <c r="Y474" s="7"/>
      <c r="Z474" s="7"/>
      <c r="AA474" s="7"/>
      <c r="AB474" s="13"/>
      <c r="AC474" s="13"/>
      <c r="AD474" s="13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153"/>
      <c r="R475" s="7"/>
      <c r="S475" s="7"/>
      <c r="T475" s="7"/>
      <c r="U475" s="153"/>
      <c r="V475" s="153"/>
      <c r="W475" s="12"/>
      <c r="X475" s="7"/>
      <c r="Y475" s="7"/>
      <c r="Z475" s="7"/>
      <c r="AA475" s="7"/>
      <c r="AB475" s="13"/>
      <c r="AC475" s="13"/>
      <c r="AD475" s="13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153"/>
      <c r="R476" s="7"/>
      <c r="S476" s="7"/>
      <c r="T476" s="7"/>
      <c r="U476" s="153"/>
      <c r="V476" s="153"/>
      <c r="W476" s="12"/>
      <c r="X476" s="7"/>
      <c r="Y476" s="7"/>
      <c r="Z476" s="7"/>
      <c r="AA476" s="7"/>
      <c r="AB476" s="13"/>
      <c r="AC476" s="13"/>
      <c r="AD476" s="13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153"/>
      <c r="R477" s="7"/>
      <c r="S477" s="7"/>
      <c r="T477" s="7"/>
      <c r="U477" s="153"/>
      <c r="V477" s="153"/>
      <c r="W477" s="12"/>
      <c r="X477" s="7"/>
      <c r="Y477" s="7"/>
      <c r="Z477" s="7"/>
      <c r="AA477" s="7"/>
      <c r="AB477" s="13"/>
      <c r="AC477" s="13"/>
      <c r="AD477" s="13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153"/>
      <c r="R478" s="7"/>
      <c r="S478" s="7"/>
      <c r="T478" s="7"/>
      <c r="U478" s="153"/>
      <c r="V478" s="153"/>
      <c r="W478" s="12"/>
      <c r="X478" s="7"/>
      <c r="Y478" s="7"/>
      <c r="Z478" s="7"/>
      <c r="AA478" s="7"/>
      <c r="AB478" s="13"/>
      <c r="AC478" s="13"/>
      <c r="AD478" s="13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153"/>
      <c r="R479" s="7"/>
      <c r="S479" s="7"/>
      <c r="T479" s="7"/>
      <c r="U479" s="153"/>
      <c r="V479" s="153"/>
      <c r="W479" s="12"/>
      <c r="X479" s="7"/>
      <c r="Y479" s="7"/>
      <c r="Z479" s="7"/>
      <c r="AA479" s="7"/>
      <c r="AB479" s="13"/>
      <c r="AC479" s="13"/>
      <c r="AD479" s="13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153"/>
      <c r="R480" s="7"/>
      <c r="S480" s="7"/>
      <c r="T480" s="7"/>
      <c r="U480" s="153"/>
      <c r="V480" s="153"/>
      <c r="W480" s="12"/>
      <c r="X480" s="7"/>
      <c r="Y480" s="7"/>
      <c r="Z480" s="7"/>
      <c r="AA480" s="7"/>
      <c r="AB480" s="13"/>
      <c r="AC480" s="13"/>
      <c r="AD480" s="13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153"/>
      <c r="R481" s="7"/>
      <c r="S481" s="7"/>
      <c r="T481" s="7"/>
      <c r="U481" s="153"/>
      <c r="V481" s="153"/>
      <c r="W481" s="12"/>
      <c r="X481" s="7"/>
      <c r="Y481" s="7"/>
      <c r="Z481" s="7"/>
      <c r="AA481" s="7"/>
      <c r="AB481" s="13"/>
      <c r="AC481" s="13"/>
      <c r="AD481" s="13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153"/>
      <c r="R482" s="7"/>
      <c r="S482" s="7"/>
      <c r="T482" s="7"/>
      <c r="U482" s="153"/>
      <c r="V482" s="153"/>
      <c r="W482" s="12"/>
      <c r="X482" s="7"/>
      <c r="Y482" s="7"/>
      <c r="Z482" s="7"/>
      <c r="AA482" s="7"/>
      <c r="AB482" s="13"/>
      <c r="AC482" s="13"/>
      <c r="AD482" s="13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153"/>
      <c r="R483" s="7"/>
      <c r="S483" s="7"/>
      <c r="T483" s="7"/>
      <c r="U483" s="153"/>
      <c r="V483" s="153"/>
      <c r="W483" s="12"/>
      <c r="X483" s="7"/>
      <c r="Y483" s="7"/>
      <c r="Z483" s="7"/>
      <c r="AA483" s="7"/>
      <c r="AB483" s="13"/>
      <c r="AC483" s="13"/>
      <c r="AD483" s="13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153"/>
      <c r="R484" s="7"/>
      <c r="S484" s="7"/>
      <c r="T484" s="7"/>
      <c r="U484" s="153"/>
      <c r="V484" s="153"/>
      <c r="W484" s="12"/>
      <c r="X484" s="7"/>
      <c r="Y484" s="7"/>
      <c r="Z484" s="7"/>
      <c r="AA484" s="7"/>
      <c r="AB484" s="13"/>
      <c r="AC484" s="13"/>
      <c r="AD484" s="13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153"/>
      <c r="R485" s="7"/>
      <c r="S485" s="7"/>
      <c r="T485" s="7"/>
      <c r="U485" s="153"/>
      <c r="V485" s="153"/>
      <c r="W485" s="12"/>
      <c r="X485" s="7"/>
      <c r="Y485" s="7"/>
      <c r="Z485" s="7"/>
      <c r="AA485" s="7"/>
      <c r="AB485" s="13"/>
      <c r="AC485" s="13"/>
      <c r="AD485" s="13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153"/>
      <c r="R486" s="7"/>
      <c r="S486" s="7"/>
      <c r="T486" s="7"/>
      <c r="U486" s="153"/>
      <c r="V486" s="153"/>
      <c r="W486" s="12"/>
      <c r="X486" s="7"/>
      <c r="Y486" s="7"/>
      <c r="Z486" s="7"/>
      <c r="AA486" s="7"/>
      <c r="AB486" s="13"/>
      <c r="AC486" s="13"/>
      <c r="AD486" s="13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153"/>
      <c r="R487" s="7"/>
      <c r="S487" s="7"/>
      <c r="T487" s="7"/>
      <c r="U487" s="153"/>
      <c r="V487" s="153"/>
      <c r="W487" s="12"/>
      <c r="X487" s="7"/>
      <c r="Y487" s="7"/>
      <c r="Z487" s="7"/>
      <c r="AA487" s="7"/>
      <c r="AB487" s="13"/>
      <c r="AC487" s="13"/>
      <c r="AD487" s="13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153"/>
      <c r="R488" s="7"/>
      <c r="S488" s="7"/>
      <c r="T488" s="7"/>
      <c r="U488" s="153"/>
      <c r="V488" s="153"/>
      <c r="W488" s="12"/>
      <c r="X488" s="7"/>
      <c r="Y488" s="7"/>
      <c r="Z488" s="7"/>
      <c r="AA488" s="7"/>
      <c r="AB488" s="13"/>
      <c r="AC488" s="13"/>
      <c r="AD488" s="13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153"/>
      <c r="R489" s="7"/>
      <c r="S489" s="7"/>
      <c r="T489" s="7"/>
      <c r="U489" s="153"/>
      <c r="V489" s="153"/>
      <c r="W489" s="12"/>
      <c r="X489" s="7"/>
      <c r="Y489" s="7"/>
      <c r="Z489" s="7"/>
      <c r="AA489" s="7"/>
      <c r="AB489" s="13"/>
      <c r="AC489" s="13"/>
      <c r="AD489" s="13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153"/>
      <c r="R490" s="7"/>
      <c r="S490" s="7"/>
      <c r="T490" s="7"/>
      <c r="U490" s="153"/>
      <c r="V490" s="153"/>
      <c r="W490" s="12"/>
      <c r="X490" s="7"/>
      <c r="Y490" s="7"/>
      <c r="Z490" s="7"/>
      <c r="AA490" s="7"/>
      <c r="AB490" s="13"/>
      <c r="AC490" s="13"/>
      <c r="AD490" s="13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153"/>
      <c r="R491" s="7"/>
      <c r="S491" s="7"/>
      <c r="T491" s="7"/>
      <c r="U491" s="153"/>
      <c r="V491" s="153"/>
      <c r="W491" s="12"/>
      <c r="X491" s="7"/>
      <c r="Y491" s="7"/>
      <c r="Z491" s="7"/>
      <c r="AA491" s="7"/>
      <c r="AB491" s="13"/>
      <c r="AC491" s="13"/>
      <c r="AD491" s="13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153"/>
      <c r="R492" s="7"/>
      <c r="S492" s="7"/>
      <c r="T492" s="7"/>
      <c r="U492" s="153"/>
      <c r="V492" s="153"/>
      <c r="W492" s="12"/>
      <c r="X492" s="7"/>
      <c r="Y492" s="7"/>
      <c r="Z492" s="7"/>
      <c r="AA492" s="7"/>
      <c r="AB492" s="13"/>
      <c r="AC492" s="13"/>
      <c r="AD492" s="13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153"/>
      <c r="R493" s="7"/>
      <c r="S493" s="7"/>
      <c r="T493" s="7"/>
      <c r="U493" s="153"/>
      <c r="V493" s="153"/>
      <c r="W493" s="12"/>
      <c r="X493" s="7"/>
      <c r="Y493" s="7"/>
      <c r="Z493" s="7"/>
      <c r="AA493" s="7"/>
      <c r="AB493" s="13"/>
      <c r="AC493" s="13"/>
      <c r="AD493" s="13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153"/>
      <c r="R494" s="7"/>
      <c r="S494" s="7"/>
      <c r="T494" s="7"/>
      <c r="U494" s="153"/>
      <c r="V494" s="153"/>
      <c r="W494" s="12"/>
      <c r="X494" s="7"/>
      <c r="Y494" s="7"/>
      <c r="Z494" s="7"/>
      <c r="AA494" s="7"/>
      <c r="AB494" s="13"/>
      <c r="AC494" s="13"/>
      <c r="AD494" s="13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153"/>
      <c r="R495" s="7"/>
      <c r="S495" s="7"/>
      <c r="T495" s="7"/>
      <c r="U495" s="153"/>
      <c r="V495" s="153"/>
      <c r="W495" s="12"/>
      <c r="X495" s="7"/>
      <c r="Y495" s="7"/>
      <c r="Z495" s="7"/>
      <c r="AA495" s="7"/>
      <c r="AB495" s="13"/>
      <c r="AC495" s="13"/>
      <c r="AD495" s="13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153"/>
      <c r="R496" s="7"/>
      <c r="S496" s="7"/>
      <c r="T496" s="7"/>
      <c r="U496" s="153"/>
      <c r="V496" s="153"/>
      <c r="W496" s="12"/>
      <c r="X496" s="7"/>
      <c r="Y496" s="7"/>
      <c r="Z496" s="7"/>
      <c r="AA496" s="7"/>
      <c r="AB496" s="13"/>
      <c r="AC496" s="13"/>
      <c r="AD496" s="13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153"/>
      <c r="R497" s="7"/>
      <c r="S497" s="7"/>
      <c r="T497" s="7"/>
      <c r="U497" s="153"/>
      <c r="V497" s="153"/>
      <c r="W497" s="12"/>
      <c r="X497" s="7"/>
      <c r="Y497" s="7"/>
      <c r="Z497" s="7"/>
      <c r="AA497" s="7"/>
      <c r="AB497" s="13"/>
      <c r="AC497" s="13"/>
      <c r="AD497" s="13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153"/>
      <c r="R498" s="7"/>
      <c r="S498" s="7"/>
      <c r="T498" s="7"/>
      <c r="U498" s="153"/>
      <c r="V498" s="153"/>
      <c r="W498" s="12"/>
      <c r="X498" s="7"/>
      <c r="Y498" s="7"/>
      <c r="Z498" s="7"/>
      <c r="AA498" s="7"/>
      <c r="AB498" s="13"/>
      <c r="AC498" s="13"/>
      <c r="AD498" s="13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153"/>
      <c r="R499" s="7"/>
      <c r="S499" s="7"/>
      <c r="T499" s="7"/>
      <c r="U499" s="153"/>
      <c r="V499" s="153"/>
      <c r="W499" s="12"/>
      <c r="X499" s="7"/>
      <c r="Y499" s="7"/>
      <c r="Z499" s="7"/>
      <c r="AA499" s="7"/>
      <c r="AB499" s="13"/>
      <c r="AC499" s="13"/>
      <c r="AD499" s="13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153"/>
      <c r="R500" s="7"/>
      <c r="S500" s="7"/>
      <c r="T500" s="7"/>
      <c r="U500" s="153"/>
      <c r="V500" s="153"/>
      <c r="W500" s="12"/>
      <c r="X500" s="7"/>
      <c r="Y500" s="7"/>
      <c r="Z500" s="7"/>
      <c r="AA500" s="7"/>
      <c r="AB500" s="13"/>
      <c r="AC500" s="13"/>
      <c r="AD500" s="13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153"/>
      <c r="R501" s="7"/>
      <c r="S501" s="7"/>
      <c r="T501" s="7"/>
      <c r="U501" s="153"/>
      <c r="V501" s="153"/>
      <c r="W501" s="12"/>
      <c r="X501" s="7"/>
      <c r="Y501" s="7"/>
      <c r="Z501" s="7"/>
      <c r="AA501" s="7"/>
      <c r="AB501" s="13"/>
      <c r="AC501" s="13"/>
      <c r="AD501" s="13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153"/>
      <c r="R502" s="7"/>
      <c r="S502" s="7"/>
      <c r="T502" s="7"/>
      <c r="U502" s="153"/>
      <c r="V502" s="153"/>
      <c r="W502" s="12"/>
      <c r="X502" s="7"/>
      <c r="Y502" s="7"/>
      <c r="Z502" s="7"/>
      <c r="AA502" s="7"/>
      <c r="AB502" s="13"/>
      <c r="AC502" s="13"/>
      <c r="AD502" s="13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153"/>
      <c r="R503" s="7"/>
      <c r="S503" s="7"/>
      <c r="T503" s="7"/>
      <c r="U503" s="153"/>
      <c r="V503" s="153"/>
      <c r="W503" s="12"/>
      <c r="X503" s="7"/>
      <c r="Y503" s="7"/>
      <c r="Z503" s="7"/>
      <c r="AA503" s="7"/>
      <c r="AB503" s="13"/>
      <c r="AC503" s="13"/>
      <c r="AD503" s="13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153"/>
      <c r="R504" s="7"/>
      <c r="S504" s="7"/>
      <c r="T504" s="7"/>
      <c r="U504" s="153"/>
      <c r="V504" s="153"/>
      <c r="W504" s="12"/>
      <c r="X504" s="7"/>
      <c r="Y504" s="7"/>
      <c r="Z504" s="7"/>
      <c r="AA504" s="7"/>
      <c r="AB504" s="13"/>
      <c r="AC504" s="13"/>
      <c r="AD504" s="13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153"/>
      <c r="R505" s="7"/>
      <c r="S505" s="7"/>
      <c r="T505" s="7"/>
      <c r="U505" s="153"/>
      <c r="V505" s="153"/>
      <c r="W505" s="12"/>
      <c r="X505" s="7"/>
      <c r="Y505" s="7"/>
      <c r="Z505" s="7"/>
      <c r="AA505" s="7"/>
      <c r="AB505" s="13"/>
      <c r="AC505" s="13"/>
      <c r="AD505" s="13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153"/>
      <c r="R506" s="7"/>
      <c r="S506" s="7"/>
      <c r="T506" s="7"/>
      <c r="U506" s="153"/>
      <c r="V506" s="153"/>
      <c r="W506" s="12"/>
      <c r="X506" s="7"/>
      <c r="Y506" s="7"/>
      <c r="Z506" s="7"/>
      <c r="AA506" s="7"/>
      <c r="AB506" s="13"/>
      <c r="AC506" s="13"/>
      <c r="AD506" s="13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153"/>
      <c r="R507" s="7"/>
      <c r="S507" s="7"/>
      <c r="T507" s="7"/>
      <c r="U507" s="153"/>
      <c r="V507" s="153"/>
      <c r="W507" s="12"/>
      <c r="X507" s="7"/>
      <c r="Y507" s="7"/>
      <c r="Z507" s="7"/>
      <c r="AA507" s="7"/>
      <c r="AB507" s="13"/>
      <c r="AC507" s="13"/>
      <c r="AD507" s="13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153"/>
      <c r="R508" s="7"/>
      <c r="S508" s="7"/>
      <c r="T508" s="7"/>
      <c r="U508" s="153"/>
      <c r="V508" s="153"/>
      <c r="W508" s="12"/>
      <c r="X508" s="7"/>
      <c r="Y508" s="7"/>
      <c r="Z508" s="7"/>
      <c r="AA508" s="7"/>
      <c r="AB508" s="13"/>
      <c r="AC508" s="13"/>
      <c r="AD508" s="13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153"/>
      <c r="R509" s="7"/>
      <c r="S509" s="7"/>
      <c r="T509" s="7"/>
      <c r="U509" s="153"/>
      <c r="V509" s="153"/>
      <c r="W509" s="12"/>
      <c r="X509" s="7"/>
      <c r="Y509" s="7"/>
      <c r="Z509" s="7"/>
      <c r="AA509" s="7"/>
      <c r="AB509" s="13"/>
      <c r="AC509" s="13"/>
      <c r="AD509" s="13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153"/>
      <c r="R510" s="7"/>
      <c r="S510" s="7"/>
      <c r="T510" s="7"/>
      <c r="U510" s="153"/>
      <c r="V510" s="153"/>
      <c r="W510" s="12"/>
      <c r="X510" s="7"/>
      <c r="Y510" s="7"/>
      <c r="Z510" s="7"/>
      <c r="AA510" s="7"/>
      <c r="AB510" s="13"/>
      <c r="AC510" s="13"/>
      <c r="AD510" s="13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153"/>
      <c r="R511" s="7"/>
      <c r="S511" s="7"/>
      <c r="T511" s="7"/>
      <c r="U511" s="153"/>
      <c r="V511" s="153"/>
      <c r="W511" s="12"/>
      <c r="X511" s="7"/>
      <c r="Y511" s="7"/>
      <c r="Z511" s="7"/>
      <c r="AA511" s="7"/>
      <c r="AB511" s="13"/>
      <c r="AC511" s="13"/>
      <c r="AD511" s="13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153"/>
      <c r="R512" s="7"/>
      <c r="S512" s="7"/>
      <c r="T512" s="7"/>
      <c r="U512" s="153"/>
      <c r="V512" s="153"/>
      <c r="W512" s="12"/>
      <c r="X512" s="7"/>
      <c r="Y512" s="7"/>
      <c r="Z512" s="7"/>
      <c r="AA512" s="7"/>
      <c r="AB512" s="13"/>
      <c r="AC512" s="13"/>
      <c r="AD512" s="13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153"/>
      <c r="R513" s="7"/>
      <c r="S513" s="7"/>
      <c r="T513" s="7"/>
      <c r="U513" s="153"/>
      <c r="V513" s="153"/>
      <c r="W513" s="12"/>
      <c r="X513" s="7"/>
      <c r="Y513" s="7"/>
      <c r="Z513" s="7"/>
      <c r="AA513" s="7"/>
      <c r="AB513" s="13"/>
      <c r="AC513" s="13"/>
      <c r="AD513" s="13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153"/>
      <c r="R514" s="7"/>
      <c r="S514" s="7"/>
      <c r="T514" s="7"/>
      <c r="U514" s="153"/>
      <c r="V514" s="153"/>
      <c r="W514" s="12"/>
      <c r="X514" s="7"/>
      <c r="Y514" s="7"/>
      <c r="Z514" s="7"/>
      <c r="AA514" s="7"/>
      <c r="AB514" s="13"/>
      <c r="AC514" s="13"/>
      <c r="AD514" s="13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153"/>
      <c r="R515" s="7"/>
      <c r="S515" s="7"/>
      <c r="T515" s="7"/>
      <c r="U515" s="153"/>
      <c r="V515" s="153"/>
      <c r="W515" s="12"/>
      <c r="X515" s="7"/>
      <c r="Y515" s="7"/>
      <c r="Z515" s="7"/>
      <c r="AA515" s="7"/>
      <c r="AB515" s="13"/>
      <c r="AC515" s="13"/>
      <c r="AD515" s="13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153"/>
      <c r="R516" s="7"/>
      <c r="S516" s="7"/>
      <c r="T516" s="7"/>
      <c r="U516" s="153"/>
      <c r="V516" s="153"/>
      <c r="W516" s="12"/>
      <c r="X516" s="7"/>
      <c r="Y516" s="7"/>
      <c r="Z516" s="7"/>
      <c r="AA516" s="7"/>
      <c r="AB516" s="13"/>
      <c r="AC516" s="13"/>
      <c r="AD516" s="13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153"/>
      <c r="R517" s="7"/>
      <c r="S517" s="7"/>
      <c r="T517" s="7"/>
      <c r="U517" s="153"/>
      <c r="V517" s="153"/>
      <c r="W517" s="12"/>
      <c r="X517" s="7"/>
      <c r="Y517" s="7"/>
      <c r="Z517" s="7"/>
      <c r="AA517" s="7"/>
      <c r="AB517" s="13"/>
      <c r="AC517" s="13"/>
      <c r="AD517" s="13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153"/>
      <c r="R518" s="7"/>
      <c r="S518" s="7"/>
      <c r="T518" s="7"/>
      <c r="U518" s="153"/>
      <c r="V518" s="153"/>
      <c r="W518" s="12"/>
      <c r="X518" s="7"/>
      <c r="Y518" s="7"/>
      <c r="Z518" s="7"/>
      <c r="AA518" s="7"/>
      <c r="AB518" s="13"/>
      <c r="AC518" s="13"/>
      <c r="AD518" s="13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153"/>
      <c r="R519" s="7"/>
      <c r="S519" s="7"/>
      <c r="T519" s="7"/>
      <c r="U519" s="153"/>
      <c r="V519" s="153"/>
      <c r="W519" s="12"/>
      <c r="X519" s="7"/>
      <c r="Y519" s="7"/>
      <c r="Z519" s="7"/>
      <c r="AA519" s="7"/>
      <c r="AB519" s="13"/>
      <c r="AC519" s="13"/>
      <c r="AD519" s="13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153"/>
      <c r="R520" s="7"/>
      <c r="S520" s="7"/>
      <c r="T520" s="7"/>
      <c r="U520" s="153"/>
      <c r="V520" s="153"/>
      <c r="W520" s="12"/>
      <c r="X520" s="7"/>
      <c r="Y520" s="7"/>
      <c r="Z520" s="7"/>
      <c r="AA520" s="7"/>
      <c r="AB520" s="13"/>
      <c r="AC520" s="13"/>
      <c r="AD520" s="13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153"/>
      <c r="R521" s="7"/>
      <c r="S521" s="7"/>
      <c r="T521" s="7"/>
      <c r="U521" s="153"/>
      <c r="V521" s="153"/>
      <c r="W521" s="12"/>
      <c r="X521" s="7"/>
      <c r="Y521" s="7"/>
      <c r="Z521" s="7"/>
      <c r="AA521" s="7"/>
      <c r="AB521" s="13"/>
      <c r="AC521" s="13"/>
      <c r="AD521" s="13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153"/>
      <c r="R522" s="7"/>
      <c r="S522" s="7"/>
      <c r="T522" s="7"/>
      <c r="U522" s="153"/>
      <c r="V522" s="153"/>
      <c r="W522" s="12"/>
      <c r="X522" s="7"/>
      <c r="Y522" s="7"/>
      <c r="Z522" s="7"/>
      <c r="AA522" s="7"/>
      <c r="AB522" s="13"/>
      <c r="AC522" s="13"/>
      <c r="AD522" s="13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153"/>
      <c r="R523" s="7"/>
      <c r="S523" s="7"/>
      <c r="T523" s="7"/>
      <c r="U523" s="153"/>
      <c r="V523" s="153"/>
      <c r="W523" s="12"/>
      <c r="X523" s="7"/>
      <c r="Y523" s="7"/>
      <c r="Z523" s="7"/>
      <c r="AA523" s="7"/>
      <c r="AB523" s="13"/>
      <c r="AC523" s="13"/>
      <c r="AD523" s="13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153"/>
      <c r="R524" s="7"/>
      <c r="S524" s="7"/>
      <c r="T524" s="7"/>
      <c r="U524" s="153"/>
      <c r="V524" s="153"/>
      <c r="W524" s="12"/>
      <c r="X524" s="7"/>
      <c r="Y524" s="7"/>
      <c r="Z524" s="7"/>
      <c r="AA524" s="7"/>
      <c r="AB524" s="13"/>
      <c r="AC524" s="13"/>
      <c r="AD524" s="13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153"/>
      <c r="R525" s="7"/>
      <c r="S525" s="7"/>
      <c r="T525" s="7"/>
      <c r="U525" s="153"/>
      <c r="V525" s="153"/>
      <c r="W525" s="12"/>
      <c r="X525" s="7"/>
      <c r="Y525" s="7"/>
      <c r="Z525" s="7"/>
      <c r="AA525" s="7"/>
      <c r="AB525" s="13"/>
      <c r="AC525" s="13"/>
      <c r="AD525" s="13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153"/>
      <c r="R526" s="7"/>
      <c r="S526" s="7"/>
      <c r="T526" s="7"/>
      <c r="U526" s="153"/>
      <c r="V526" s="153"/>
      <c r="W526" s="12"/>
      <c r="X526" s="7"/>
      <c r="Y526" s="7"/>
      <c r="Z526" s="7"/>
      <c r="AA526" s="7"/>
      <c r="AB526" s="13"/>
      <c r="AC526" s="13"/>
      <c r="AD526" s="13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153"/>
      <c r="R527" s="7"/>
      <c r="S527" s="7"/>
      <c r="T527" s="7"/>
      <c r="U527" s="153"/>
      <c r="V527" s="153"/>
      <c r="W527" s="12"/>
      <c r="X527" s="7"/>
      <c r="Y527" s="7"/>
      <c r="Z527" s="7"/>
      <c r="AA527" s="7"/>
      <c r="AB527" s="13"/>
      <c r="AC527" s="13"/>
      <c r="AD527" s="13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153"/>
      <c r="R528" s="7"/>
      <c r="S528" s="7"/>
      <c r="T528" s="7"/>
      <c r="U528" s="153"/>
      <c r="V528" s="153"/>
      <c r="W528" s="12"/>
      <c r="X528" s="7"/>
      <c r="Y528" s="7"/>
      <c r="Z528" s="7"/>
      <c r="AA528" s="7"/>
      <c r="AB528" s="13"/>
      <c r="AC528" s="13"/>
      <c r="AD528" s="13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153"/>
      <c r="R529" s="7"/>
      <c r="S529" s="7"/>
      <c r="T529" s="7"/>
      <c r="U529" s="153"/>
      <c r="V529" s="153"/>
      <c r="W529" s="12"/>
      <c r="X529" s="7"/>
      <c r="Y529" s="7"/>
      <c r="Z529" s="7"/>
      <c r="AA529" s="7"/>
      <c r="AB529" s="13"/>
      <c r="AC529" s="13"/>
      <c r="AD529" s="13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153"/>
      <c r="R530" s="7"/>
      <c r="S530" s="7"/>
      <c r="T530" s="7"/>
      <c r="U530" s="153"/>
      <c r="V530" s="153"/>
      <c r="W530" s="12"/>
      <c r="X530" s="7"/>
      <c r="Y530" s="7"/>
      <c r="Z530" s="7"/>
      <c r="AA530" s="7"/>
      <c r="AB530" s="13"/>
      <c r="AC530" s="13"/>
      <c r="AD530" s="13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153"/>
      <c r="R531" s="7"/>
      <c r="S531" s="7"/>
      <c r="T531" s="7"/>
      <c r="U531" s="153"/>
      <c r="V531" s="153"/>
      <c r="W531" s="12"/>
      <c r="X531" s="7"/>
      <c r="Y531" s="7"/>
      <c r="Z531" s="7"/>
      <c r="AA531" s="7"/>
      <c r="AB531" s="13"/>
      <c r="AC531" s="13"/>
      <c r="AD531" s="13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153"/>
      <c r="R532" s="7"/>
      <c r="S532" s="7"/>
      <c r="T532" s="7"/>
      <c r="U532" s="153"/>
      <c r="V532" s="153"/>
      <c r="W532" s="12"/>
      <c r="X532" s="7"/>
      <c r="Y532" s="7"/>
      <c r="Z532" s="7"/>
      <c r="AA532" s="7"/>
      <c r="AB532" s="13"/>
      <c r="AC532" s="13"/>
      <c r="AD532" s="13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153"/>
      <c r="R533" s="7"/>
      <c r="S533" s="7"/>
      <c r="T533" s="7"/>
      <c r="U533" s="153"/>
      <c r="V533" s="153"/>
      <c r="W533" s="12"/>
      <c r="X533" s="7"/>
      <c r="Y533" s="7"/>
      <c r="Z533" s="7"/>
      <c r="AA533" s="7"/>
      <c r="AB533" s="13"/>
      <c r="AC533" s="13"/>
      <c r="AD533" s="13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153"/>
      <c r="R534" s="7"/>
      <c r="S534" s="7"/>
      <c r="T534" s="7"/>
      <c r="U534" s="153"/>
      <c r="V534" s="153"/>
      <c r="W534" s="12"/>
      <c r="X534" s="7"/>
      <c r="Y534" s="7"/>
      <c r="Z534" s="7"/>
      <c r="AA534" s="7"/>
      <c r="AB534" s="13"/>
      <c r="AC534" s="13"/>
      <c r="AD534" s="13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153"/>
      <c r="R535" s="7"/>
      <c r="S535" s="7"/>
      <c r="T535" s="7"/>
      <c r="U535" s="153"/>
      <c r="V535" s="153"/>
      <c r="W535" s="12"/>
      <c r="X535" s="7"/>
      <c r="Y535" s="7"/>
      <c r="Z535" s="7"/>
      <c r="AA535" s="7"/>
      <c r="AB535" s="13"/>
      <c r="AC535" s="13"/>
      <c r="AD535" s="13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153"/>
      <c r="R536" s="7"/>
      <c r="S536" s="7"/>
      <c r="T536" s="7"/>
      <c r="U536" s="153"/>
      <c r="V536" s="153"/>
      <c r="W536" s="12"/>
      <c r="X536" s="7"/>
      <c r="Y536" s="7"/>
      <c r="Z536" s="7"/>
      <c r="AA536" s="7"/>
      <c r="AB536" s="13"/>
      <c r="AC536" s="13"/>
      <c r="AD536" s="13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153"/>
      <c r="R537" s="7"/>
      <c r="S537" s="7"/>
      <c r="T537" s="7"/>
      <c r="U537" s="153"/>
      <c r="V537" s="153"/>
      <c r="W537" s="12"/>
      <c r="X537" s="7"/>
      <c r="Y537" s="7"/>
      <c r="Z537" s="7"/>
      <c r="AA537" s="7"/>
      <c r="AB537" s="13"/>
      <c r="AC537" s="13"/>
      <c r="AD537" s="13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153"/>
      <c r="R538" s="7"/>
      <c r="S538" s="7"/>
      <c r="T538" s="7"/>
      <c r="U538" s="153"/>
      <c r="V538" s="153"/>
      <c r="W538" s="12"/>
      <c r="X538" s="7"/>
      <c r="Y538" s="7"/>
      <c r="Z538" s="7"/>
      <c r="AA538" s="7"/>
      <c r="AB538" s="13"/>
      <c r="AC538" s="13"/>
      <c r="AD538" s="13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153"/>
      <c r="R539" s="7"/>
      <c r="S539" s="7"/>
      <c r="T539" s="7"/>
      <c r="U539" s="153"/>
      <c r="V539" s="153"/>
      <c r="W539" s="12"/>
      <c r="X539" s="7"/>
      <c r="Y539" s="7"/>
      <c r="Z539" s="7"/>
      <c r="AA539" s="7"/>
      <c r="AB539" s="13"/>
      <c r="AC539" s="13"/>
      <c r="AD539" s="13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153"/>
      <c r="R540" s="7"/>
      <c r="S540" s="7"/>
      <c r="T540" s="7"/>
      <c r="U540" s="153"/>
      <c r="V540" s="153"/>
      <c r="W540" s="12"/>
      <c r="X540" s="7"/>
      <c r="Y540" s="7"/>
      <c r="Z540" s="7"/>
      <c r="AA540" s="7"/>
      <c r="AB540" s="13"/>
      <c r="AC540" s="13"/>
      <c r="AD540" s="13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153"/>
      <c r="R541" s="7"/>
      <c r="S541" s="7"/>
      <c r="T541" s="7"/>
      <c r="U541" s="153"/>
      <c r="V541" s="153"/>
      <c r="W541" s="12"/>
      <c r="X541" s="7"/>
      <c r="Y541" s="7"/>
      <c r="Z541" s="7"/>
      <c r="AA541" s="7"/>
      <c r="AB541" s="13"/>
      <c r="AC541" s="13"/>
      <c r="AD541" s="13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153"/>
      <c r="R542" s="7"/>
      <c r="S542" s="7"/>
      <c r="T542" s="7"/>
      <c r="U542" s="153"/>
      <c r="V542" s="153"/>
      <c r="W542" s="12"/>
      <c r="X542" s="7"/>
      <c r="Y542" s="7"/>
      <c r="Z542" s="7"/>
      <c r="AA542" s="7"/>
      <c r="AB542" s="13"/>
      <c r="AC542" s="13"/>
      <c r="AD542" s="13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153"/>
      <c r="R543" s="7"/>
      <c r="S543" s="7"/>
      <c r="T543" s="7"/>
      <c r="U543" s="153"/>
      <c r="V543" s="153"/>
      <c r="W543" s="12"/>
      <c r="X543" s="7"/>
      <c r="Y543" s="7"/>
      <c r="Z543" s="7"/>
      <c r="AA543" s="7"/>
      <c r="AB543" s="13"/>
      <c r="AC543" s="13"/>
      <c r="AD543" s="13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153"/>
      <c r="R544" s="7"/>
      <c r="S544" s="7"/>
      <c r="T544" s="7"/>
      <c r="U544" s="153"/>
      <c r="V544" s="153"/>
      <c r="W544" s="12"/>
      <c r="X544" s="7"/>
      <c r="Y544" s="7"/>
      <c r="Z544" s="7"/>
      <c r="AA544" s="7"/>
      <c r="AB544" s="13"/>
      <c r="AC544" s="13"/>
      <c r="AD544" s="13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153"/>
      <c r="R545" s="7"/>
      <c r="S545" s="7"/>
      <c r="T545" s="7"/>
      <c r="U545" s="153"/>
      <c r="V545" s="153"/>
      <c r="W545" s="12"/>
      <c r="X545" s="7"/>
      <c r="Y545" s="7"/>
      <c r="Z545" s="7"/>
      <c r="AA545" s="7"/>
      <c r="AB545" s="13"/>
      <c r="AC545" s="13"/>
      <c r="AD545" s="13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153"/>
      <c r="R546" s="7"/>
      <c r="S546" s="7"/>
      <c r="T546" s="7"/>
      <c r="U546" s="153"/>
      <c r="V546" s="153"/>
      <c r="W546" s="12"/>
      <c r="X546" s="7"/>
      <c r="Y546" s="7"/>
      <c r="Z546" s="7"/>
      <c r="AA546" s="7"/>
      <c r="AB546" s="13"/>
      <c r="AC546" s="13"/>
      <c r="AD546" s="13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153"/>
      <c r="R547" s="7"/>
      <c r="S547" s="7"/>
      <c r="T547" s="7"/>
      <c r="U547" s="153"/>
      <c r="V547" s="153"/>
      <c r="W547" s="12"/>
      <c r="X547" s="7"/>
      <c r="Y547" s="7"/>
      <c r="Z547" s="7"/>
      <c r="AA547" s="7"/>
      <c r="AB547" s="13"/>
      <c r="AC547" s="13"/>
      <c r="AD547" s="13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153"/>
      <c r="R548" s="7"/>
      <c r="S548" s="7"/>
      <c r="T548" s="7"/>
      <c r="U548" s="153"/>
      <c r="V548" s="153"/>
      <c r="W548" s="12"/>
      <c r="X548" s="7"/>
      <c r="Y548" s="7"/>
      <c r="Z548" s="7"/>
      <c r="AA548" s="7"/>
      <c r="AB548" s="13"/>
      <c r="AC548" s="13"/>
      <c r="AD548" s="13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153"/>
      <c r="R549" s="7"/>
      <c r="S549" s="7"/>
      <c r="T549" s="7"/>
      <c r="U549" s="153"/>
      <c r="V549" s="153"/>
      <c r="W549" s="12"/>
      <c r="X549" s="7"/>
      <c r="Y549" s="7"/>
      <c r="Z549" s="7"/>
      <c r="AA549" s="7"/>
      <c r="AB549" s="13"/>
      <c r="AC549" s="13"/>
      <c r="AD549" s="13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153"/>
      <c r="R550" s="7"/>
      <c r="S550" s="7"/>
      <c r="T550" s="7"/>
      <c r="U550" s="153"/>
      <c r="V550" s="153"/>
      <c r="W550" s="12"/>
      <c r="X550" s="7"/>
      <c r="Y550" s="7"/>
      <c r="Z550" s="7"/>
      <c r="AA550" s="7"/>
      <c r="AB550" s="13"/>
      <c r="AC550" s="13"/>
      <c r="AD550" s="13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153"/>
      <c r="R551" s="7"/>
      <c r="S551" s="7"/>
      <c r="T551" s="7"/>
      <c r="U551" s="153"/>
      <c r="V551" s="153"/>
      <c r="W551" s="12"/>
      <c r="X551" s="7"/>
      <c r="Y551" s="7"/>
      <c r="Z551" s="7"/>
      <c r="AA551" s="7"/>
      <c r="AB551" s="13"/>
      <c r="AC551" s="13"/>
      <c r="AD551" s="13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153"/>
      <c r="R552" s="7"/>
      <c r="S552" s="7"/>
      <c r="T552" s="7"/>
      <c r="U552" s="153"/>
      <c r="V552" s="153"/>
      <c r="W552" s="12"/>
      <c r="X552" s="7"/>
      <c r="Y552" s="7"/>
      <c r="Z552" s="7"/>
      <c r="AA552" s="7"/>
      <c r="AB552" s="13"/>
      <c r="AC552" s="13"/>
      <c r="AD552" s="13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153"/>
      <c r="R553" s="7"/>
      <c r="S553" s="7"/>
      <c r="T553" s="7"/>
      <c r="U553" s="153"/>
      <c r="V553" s="153"/>
      <c r="W553" s="12"/>
      <c r="X553" s="7"/>
      <c r="Y553" s="7"/>
      <c r="Z553" s="7"/>
      <c r="AA553" s="7"/>
      <c r="AB553" s="13"/>
      <c r="AC553" s="13"/>
      <c r="AD553" s="13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153"/>
      <c r="R554" s="7"/>
      <c r="S554" s="7"/>
      <c r="T554" s="7"/>
      <c r="U554" s="153"/>
      <c r="V554" s="153"/>
      <c r="W554" s="12"/>
      <c r="X554" s="7"/>
      <c r="Y554" s="7"/>
      <c r="Z554" s="7"/>
      <c r="AA554" s="7"/>
      <c r="AB554" s="13"/>
      <c r="AC554" s="13"/>
      <c r="AD554" s="13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153"/>
      <c r="R555" s="7"/>
      <c r="S555" s="7"/>
      <c r="T555" s="7"/>
      <c r="U555" s="153"/>
      <c r="V555" s="153"/>
      <c r="W555" s="12"/>
      <c r="X555" s="7"/>
      <c r="Y555" s="7"/>
      <c r="Z555" s="7"/>
      <c r="AA555" s="7"/>
      <c r="AB555" s="13"/>
      <c r="AC555" s="13"/>
      <c r="AD555" s="13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153"/>
      <c r="R556" s="7"/>
      <c r="S556" s="7"/>
      <c r="T556" s="7"/>
      <c r="U556" s="153"/>
      <c r="V556" s="153"/>
      <c r="W556" s="12"/>
      <c r="X556" s="7"/>
      <c r="Y556" s="7"/>
      <c r="Z556" s="7"/>
      <c r="AA556" s="7"/>
      <c r="AB556" s="13"/>
      <c r="AC556" s="13"/>
      <c r="AD556" s="13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153"/>
      <c r="R557" s="7"/>
      <c r="S557" s="7"/>
      <c r="T557" s="7"/>
      <c r="U557" s="153"/>
      <c r="V557" s="153"/>
      <c r="W557" s="12"/>
      <c r="X557" s="7"/>
      <c r="Y557" s="7"/>
      <c r="Z557" s="7"/>
      <c r="AA557" s="7"/>
      <c r="AB557" s="13"/>
      <c r="AC557" s="13"/>
      <c r="AD557" s="13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153"/>
      <c r="R558" s="7"/>
      <c r="S558" s="7"/>
      <c r="T558" s="7"/>
      <c r="U558" s="153"/>
      <c r="V558" s="153"/>
      <c r="W558" s="12"/>
      <c r="X558" s="7"/>
      <c r="Y558" s="7"/>
      <c r="Z558" s="7"/>
      <c r="AA558" s="7"/>
      <c r="AB558" s="13"/>
      <c r="AC558" s="13"/>
      <c r="AD558" s="13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153"/>
      <c r="R559" s="7"/>
      <c r="S559" s="7"/>
      <c r="T559" s="7"/>
      <c r="U559" s="153"/>
      <c r="V559" s="153"/>
      <c r="W559" s="12"/>
      <c r="X559" s="7"/>
      <c r="Y559" s="7"/>
      <c r="Z559" s="7"/>
      <c r="AA559" s="7"/>
      <c r="AB559" s="13"/>
      <c r="AC559" s="13"/>
      <c r="AD559" s="13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153"/>
      <c r="R560" s="7"/>
      <c r="S560" s="7"/>
      <c r="T560" s="7"/>
      <c r="U560" s="153"/>
      <c r="V560" s="153"/>
      <c r="W560" s="12"/>
      <c r="X560" s="7"/>
      <c r="Y560" s="7"/>
      <c r="Z560" s="7"/>
      <c r="AA560" s="7"/>
      <c r="AB560" s="13"/>
      <c r="AC560" s="13"/>
      <c r="AD560" s="13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153"/>
      <c r="R561" s="7"/>
      <c r="S561" s="7"/>
      <c r="T561" s="7"/>
      <c r="U561" s="153"/>
      <c r="V561" s="153"/>
      <c r="W561" s="12"/>
      <c r="X561" s="7"/>
      <c r="Y561" s="7"/>
      <c r="Z561" s="7"/>
      <c r="AA561" s="7"/>
      <c r="AB561" s="13"/>
      <c r="AC561" s="13"/>
      <c r="AD561" s="13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153"/>
      <c r="R562" s="7"/>
      <c r="S562" s="7"/>
      <c r="T562" s="7"/>
      <c r="U562" s="153"/>
      <c r="V562" s="153"/>
      <c r="W562" s="12"/>
      <c r="X562" s="7"/>
      <c r="Y562" s="7"/>
      <c r="Z562" s="7"/>
      <c r="AA562" s="7"/>
      <c r="AB562" s="13"/>
      <c r="AC562" s="13"/>
      <c r="AD562" s="13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153"/>
      <c r="R563" s="7"/>
      <c r="S563" s="7"/>
      <c r="T563" s="7"/>
      <c r="U563" s="153"/>
      <c r="V563" s="153"/>
      <c r="W563" s="12"/>
      <c r="X563" s="7"/>
      <c r="Y563" s="7"/>
      <c r="Z563" s="7"/>
      <c r="AA563" s="7"/>
      <c r="AB563" s="13"/>
      <c r="AC563" s="13"/>
      <c r="AD563" s="13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153"/>
      <c r="R564" s="7"/>
      <c r="S564" s="7"/>
      <c r="T564" s="7"/>
      <c r="U564" s="153"/>
      <c r="V564" s="153"/>
      <c r="W564" s="12"/>
      <c r="X564" s="7"/>
      <c r="Y564" s="7"/>
      <c r="Z564" s="7"/>
      <c r="AA564" s="7"/>
      <c r="AB564" s="13"/>
      <c r="AC564" s="13"/>
      <c r="AD564" s="13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153"/>
      <c r="R565" s="7"/>
      <c r="S565" s="7"/>
      <c r="T565" s="7"/>
      <c r="U565" s="153"/>
      <c r="V565" s="153"/>
      <c r="W565" s="12"/>
      <c r="X565" s="7"/>
      <c r="Y565" s="7"/>
      <c r="Z565" s="7"/>
      <c r="AA565" s="7"/>
      <c r="AB565" s="13"/>
      <c r="AC565" s="13"/>
      <c r="AD565" s="13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153"/>
      <c r="R566" s="7"/>
      <c r="S566" s="7"/>
      <c r="T566" s="7"/>
      <c r="U566" s="153"/>
      <c r="V566" s="153"/>
      <c r="W566" s="12"/>
      <c r="X566" s="7"/>
      <c r="Y566" s="7"/>
      <c r="Z566" s="7"/>
      <c r="AA566" s="7"/>
      <c r="AB566" s="13"/>
      <c r="AC566" s="13"/>
      <c r="AD566" s="13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153"/>
      <c r="R567" s="7"/>
      <c r="S567" s="7"/>
      <c r="T567" s="7"/>
      <c r="U567" s="153"/>
      <c r="V567" s="153"/>
      <c r="W567" s="12"/>
      <c r="X567" s="7"/>
      <c r="Y567" s="7"/>
      <c r="Z567" s="7"/>
      <c r="AA567" s="7"/>
      <c r="AB567" s="13"/>
      <c r="AC567" s="13"/>
      <c r="AD567" s="13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153"/>
      <c r="R568" s="7"/>
      <c r="S568" s="7"/>
      <c r="T568" s="7"/>
      <c r="U568" s="153"/>
      <c r="V568" s="153"/>
      <c r="W568" s="12"/>
      <c r="X568" s="7"/>
      <c r="Y568" s="7"/>
      <c r="Z568" s="7"/>
      <c r="AA568" s="7"/>
      <c r="AB568" s="13"/>
      <c r="AC568" s="13"/>
      <c r="AD568" s="13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153"/>
      <c r="R569" s="7"/>
      <c r="S569" s="7"/>
      <c r="T569" s="7"/>
      <c r="U569" s="153"/>
      <c r="V569" s="153"/>
      <c r="W569" s="12"/>
      <c r="X569" s="7"/>
      <c r="Y569" s="7"/>
      <c r="Z569" s="7"/>
      <c r="AA569" s="7"/>
      <c r="AB569" s="13"/>
      <c r="AC569" s="13"/>
      <c r="AD569" s="13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153"/>
      <c r="R570" s="7"/>
      <c r="S570" s="7"/>
      <c r="T570" s="7"/>
      <c r="U570" s="153"/>
      <c r="V570" s="153"/>
      <c r="W570" s="12"/>
      <c r="X570" s="7"/>
      <c r="Y570" s="7"/>
      <c r="Z570" s="7"/>
      <c r="AA570" s="7"/>
      <c r="AB570" s="13"/>
      <c r="AC570" s="13"/>
      <c r="AD570" s="13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153"/>
      <c r="R571" s="7"/>
      <c r="S571" s="7"/>
      <c r="T571" s="7"/>
      <c r="U571" s="153"/>
      <c r="V571" s="153"/>
      <c r="W571" s="12"/>
      <c r="X571" s="7"/>
      <c r="Y571" s="7"/>
      <c r="Z571" s="7"/>
      <c r="AA571" s="7"/>
      <c r="AB571" s="13"/>
      <c r="AC571" s="13"/>
      <c r="AD571" s="13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153"/>
      <c r="R572" s="7"/>
      <c r="S572" s="7"/>
      <c r="T572" s="7"/>
      <c r="U572" s="153"/>
      <c r="V572" s="153"/>
      <c r="W572" s="12"/>
      <c r="X572" s="7"/>
      <c r="Y572" s="7"/>
      <c r="Z572" s="7"/>
      <c r="AA572" s="7"/>
      <c r="AB572" s="13"/>
      <c r="AC572" s="13"/>
      <c r="AD572" s="13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153"/>
      <c r="R573" s="7"/>
      <c r="S573" s="7"/>
      <c r="T573" s="7"/>
      <c r="U573" s="153"/>
      <c r="V573" s="153"/>
      <c r="W573" s="12"/>
      <c r="X573" s="7"/>
      <c r="Y573" s="7"/>
      <c r="Z573" s="7"/>
      <c r="AA573" s="7"/>
      <c r="AB573" s="13"/>
      <c r="AC573" s="13"/>
      <c r="AD573" s="13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153"/>
      <c r="R574" s="7"/>
      <c r="S574" s="7"/>
      <c r="T574" s="7"/>
      <c r="U574" s="153"/>
      <c r="V574" s="153"/>
      <c r="W574" s="12"/>
      <c r="X574" s="7"/>
      <c r="Y574" s="7"/>
      <c r="Z574" s="7"/>
      <c r="AA574" s="7"/>
      <c r="AB574" s="13"/>
      <c r="AC574" s="13"/>
      <c r="AD574" s="13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153"/>
      <c r="R575" s="7"/>
      <c r="S575" s="7"/>
      <c r="T575" s="7"/>
      <c r="U575" s="153"/>
      <c r="V575" s="153"/>
      <c r="W575" s="12"/>
      <c r="X575" s="7"/>
      <c r="Y575" s="7"/>
      <c r="Z575" s="7"/>
      <c r="AA575" s="7"/>
      <c r="AB575" s="13"/>
      <c r="AC575" s="13"/>
      <c r="AD575" s="13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153"/>
      <c r="R576" s="7"/>
      <c r="S576" s="7"/>
      <c r="T576" s="7"/>
      <c r="U576" s="153"/>
      <c r="V576" s="153"/>
      <c r="W576" s="12"/>
      <c r="X576" s="7"/>
      <c r="Y576" s="7"/>
      <c r="Z576" s="7"/>
      <c r="AA576" s="7"/>
      <c r="AB576" s="13"/>
      <c r="AC576" s="13"/>
      <c r="AD576" s="13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153"/>
      <c r="R577" s="7"/>
      <c r="S577" s="7"/>
      <c r="T577" s="7"/>
      <c r="U577" s="153"/>
      <c r="V577" s="153"/>
      <c r="W577" s="12"/>
      <c r="X577" s="7"/>
      <c r="Y577" s="7"/>
      <c r="Z577" s="7"/>
      <c r="AA577" s="7"/>
      <c r="AB577" s="13"/>
      <c r="AC577" s="13"/>
      <c r="AD577" s="13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153"/>
      <c r="R578" s="7"/>
      <c r="S578" s="7"/>
      <c r="T578" s="7"/>
      <c r="U578" s="153"/>
      <c r="V578" s="153"/>
      <c r="W578" s="12"/>
      <c r="X578" s="7"/>
      <c r="Y578" s="7"/>
      <c r="Z578" s="7"/>
      <c r="AA578" s="7"/>
      <c r="AB578" s="13"/>
      <c r="AC578" s="13"/>
      <c r="AD578" s="13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153"/>
      <c r="R579" s="7"/>
      <c r="S579" s="7"/>
      <c r="T579" s="7"/>
      <c r="U579" s="153"/>
      <c r="V579" s="153"/>
      <c r="W579" s="12"/>
      <c r="X579" s="7"/>
      <c r="Y579" s="7"/>
      <c r="Z579" s="7"/>
      <c r="AA579" s="7"/>
      <c r="AB579" s="13"/>
      <c r="AC579" s="13"/>
      <c r="AD579" s="13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153"/>
      <c r="R580" s="7"/>
      <c r="S580" s="7"/>
      <c r="T580" s="7"/>
      <c r="U580" s="153"/>
      <c r="V580" s="153"/>
      <c r="W580" s="12"/>
      <c r="X580" s="7"/>
      <c r="Y580" s="7"/>
      <c r="Z580" s="7"/>
      <c r="AA580" s="7"/>
      <c r="AB580" s="13"/>
      <c r="AC580" s="13"/>
      <c r="AD580" s="13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153"/>
      <c r="R581" s="7"/>
      <c r="S581" s="7"/>
      <c r="T581" s="7"/>
      <c r="U581" s="153"/>
      <c r="V581" s="153"/>
      <c r="W581" s="12"/>
      <c r="X581" s="7"/>
      <c r="Y581" s="7"/>
      <c r="Z581" s="7"/>
      <c r="AA581" s="7"/>
      <c r="AB581" s="13"/>
      <c r="AC581" s="13"/>
      <c r="AD581" s="13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153"/>
      <c r="R582" s="7"/>
      <c r="S582" s="7"/>
      <c r="T582" s="7"/>
      <c r="U582" s="153"/>
      <c r="V582" s="153"/>
      <c r="W582" s="12"/>
      <c r="X582" s="7"/>
      <c r="Y582" s="7"/>
      <c r="Z582" s="7"/>
      <c r="AA582" s="7"/>
      <c r="AB582" s="13"/>
      <c r="AC582" s="13"/>
      <c r="AD582" s="13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153"/>
      <c r="R583" s="7"/>
      <c r="S583" s="7"/>
      <c r="T583" s="7"/>
      <c r="U583" s="153"/>
      <c r="V583" s="153"/>
      <c r="W583" s="12"/>
      <c r="X583" s="7"/>
      <c r="Y583" s="7"/>
      <c r="Z583" s="7"/>
      <c r="AA583" s="7"/>
      <c r="AB583" s="13"/>
      <c r="AC583" s="13"/>
      <c r="AD583" s="13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153"/>
      <c r="R584" s="7"/>
      <c r="S584" s="7"/>
      <c r="T584" s="7"/>
      <c r="U584" s="153"/>
      <c r="V584" s="153"/>
      <c r="W584" s="12"/>
      <c r="X584" s="7"/>
      <c r="Y584" s="7"/>
      <c r="Z584" s="7"/>
      <c r="AA584" s="7"/>
      <c r="AB584" s="13"/>
      <c r="AC584" s="13"/>
      <c r="AD584" s="13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153"/>
      <c r="R585" s="7"/>
      <c r="S585" s="7"/>
      <c r="T585" s="7"/>
      <c r="U585" s="153"/>
      <c r="V585" s="153"/>
      <c r="W585" s="12"/>
      <c r="X585" s="7"/>
      <c r="Y585" s="7"/>
      <c r="Z585" s="7"/>
      <c r="AA585" s="7"/>
      <c r="AB585" s="13"/>
      <c r="AC585" s="13"/>
      <c r="AD585" s="13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153"/>
      <c r="R586" s="7"/>
      <c r="S586" s="7"/>
      <c r="T586" s="7"/>
      <c r="U586" s="153"/>
      <c r="V586" s="153"/>
      <c r="W586" s="12"/>
      <c r="X586" s="7"/>
      <c r="Y586" s="7"/>
      <c r="Z586" s="7"/>
      <c r="AA586" s="7"/>
      <c r="AB586" s="13"/>
      <c r="AC586" s="13"/>
      <c r="AD586" s="13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153"/>
      <c r="R587" s="7"/>
      <c r="S587" s="7"/>
      <c r="T587" s="7"/>
      <c r="U587" s="153"/>
      <c r="V587" s="153"/>
      <c r="W587" s="12"/>
      <c r="X587" s="7"/>
      <c r="Y587" s="7"/>
      <c r="Z587" s="7"/>
      <c r="AA587" s="7"/>
      <c r="AB587" s="13"/>
      <c r="AC587" s="13"/>
      <c r="AD587" s="13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153"/>
      <c r="R588" s="7"/>
      <c r="S588" s="7"/>
      <c r="T588" s="7"/>
      <c r="U588" s="153"/>
      <c r="V588" s="153"/>
      <c r="W588" s="12"/>
      <c r="X588" s="7"/>
      <c r="Y588" s="7"/>
      <c r="Z588" s="7"/>
      <c r="AA588" s="7"/>
      <c r="AB588" s="13"/>
      <c r="AC588" s="13"/>
      <c r="AD588" s="13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153"/>
      <c r="R589" s="7"/>
      <c r="S589" s="7"/>
      <c r="T589" s="7"/>
      <c r="U589" s="153"/>
      <c r="V589" s="153"/>
      <c r="W589" s="12"/>
      <c r="X589" s="7"/>
      <c r="Y589" s="7"/>
      <c r="Z589" s="7"/>
      <c r="AA589" s="7"/>
      <c r="AB589" s="13"/>
      <c r="AC589" s="13"/>
      <c r="AD589" s="13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153"/>
      <c r="R590" s="7"/>
      <c r="S590" s="7"/>
      <c r="T590" s="7"/>
      <c r="U590" s="153"/>
      <c r="V590" s="153"/>
      <c r="W590" s="12"/>
      <c r="X590" s="7"/>
      <c r="Y590" s="7"/>
      <c r="Z590" s="7"/>
      <c r="AA590" s="7"/>
      <c r="AB590" s="13"/>
      <c r="AC590" s="13"/>
      <c r="AD590" s="13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153"/>
      <c r="R591" s="7"/>
      <c r="S591" s="7"/>
      <c r="T591" s="7"/>
      <c r="U591" s="153"/>
      <c r="V591" s="153"/>
      <c r="W591" s="12"/>
      <c r="X591" s="7"/>
      <c r="Y591" s="7"/>
      <c r="Z591" s="7"/>
      <c r="AA591" s="7"/>
      <c r="AB591" s="13"/>
      <c r="AC591" s="13"/>
      <c r="AD591" s="13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153"/>
      <c r="R592" s="7"/>
      <c r="S592" s="7"/>
      <c r="T592" s="7"/>
      <c r="U592" s="153"/>
      <c r="V592" s="153"/>
      <c r="W592" s="12"/>
      <c r="X592" s="7"/>
      <c r="Y592" s="7"/>
      <c r="Z592" s="7"/>
      <c r="AA592" s="7"/>
      <c r="AB592" s="13"/>
      <c r="AC592" s="13"/>
      <c r="AD592" s="13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153"/>
      <c r="R593" s="7"/>
      <c r="S593" s="7"/>
      <c r="T593" s="7"/>
      <c r="U593" s="153"/>
      <c r="V593" s="153"/>
      <c r="W593" s="12"/>
      <c r="X593" s="7"/>
      <c r="Y593" s="7"/>
      <c r="Z593" s="7"/>
      <c r="AA593" s="7"/>
      <c r="AB593" s="13"/>
      <c r="AC593" s="13"/>
      <c r="AD593" s="13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153"/>
      <c r="R594" s="7"/>
      <c r="S594" s="7"/>
      <c r="T594" s="7"/>
      <c r="U594" s="153"/>
      <c r="V594" s="153"/>
      <c r="W594" s="12"/>
      <c r="X594" s="7"/>
      <c r="Y594" s="7"/>
      <c r="Z594" s="7"/>
      <c r="AA594" s="7"/>
      <c r="AB594" s="13"/>
      <c r="AC594" s="13"/>
      <c r="AD594" s="13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153"/>
      <c r="R595" s="7"/>
      <c r="S595" s="7"/>
      <c r="T595" s="7"/>
      <c r="U595" s="153"/>
      <c r="V595" s="153"/>
      <c r="W595" s="12"/>
      <c r="X595" s="7"/>
      <c r="Y595" s="7"/>
      <c r="Z595" s="7"/>
      <c r="AA595" s="7"/>
      <c r="AB595" s="13"/>
      <c r="AC595" s="13"/>
      <c r="AD595" s="13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153"/>
      <c r="R596" s="7"/>
      <c r="S596" s="7"/>
      <c r="T596" s="7"/>
      <c r="U596" s="153"/>
      <c r="V596" s="153"/>
      <c r="W596" s="12"/>
      <c r="X596" s="7"/>
      <c r="Y596" s="7"/>
      <c r="Z596" s="7"/>
      <c r="AA596" s="7"/>
      <c r="AB596" s="13"/>
      <c r="AC596" s="13"/>
      <c r="AD596" s="13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153"/>
      <c r="R597" s="7"/>
      <c r="S597" s="7"/>
      <c r="T597" s="7"/>
      <c r="U597" s="153"/>
      <c r="V597" s="153"/>
      <c r="W597" s="12"/>
      <c r="X597" s="7"/>
      <c r="Y597" s="7"/>
      <c r="Z597" s="7"/>
      <c r="AA597" s="7"/>
      <c r="AB597" s="13"/>
      <c r="AC597" s="13"/>
      <c r="AD597" s="13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153"/>
      <c r="R598" s="7"/>
      <c r="S598" s="7"/>
      <c r="T598" s="7"/>
      <c r="U598" s="153"/>
      <c r="V598" s="153"/>
      <c r="W598" s="12"/>
      <c r="X598" s="7"/>
      <c r="Y598" s="7"/>
      <c r="Z598" s="7"/>
      <c r="AA598" s="7"/>
      <c r="AB598" s="13"/>
      <c r="AC598" s="13"/>
      <c r="AD598" s="13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153"/>
      <c r="R599" s="7"/>
      <c r="S599" s="7"/>
      <c r="T599" s="7"/>
      <c r="U599" s="153"/>
      <c r="V599" s="153"/>
      <c r="W599" s="12"/>
      <c r="X599" s="7"/>
      <c r="Y599" s="7"/>
      <c r="Z599" s="7"/>
      <c r="AA599" s="7"/>
      <c r="AB599" s="13"/>
      <c r="AC599" s="13"/>
      <c r="AD599" s="13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153"/>
      <c r="R600" s="7"/>
      <c r="S600" s="7"/>
      <c r="T600" s="7"/>
      <c r="U600" s="153"/>
      <c r="V600" s="153"/>
      <c r="W600" s="12"/>
      <c r="X600" s="7"/>
      <c r="Y600" s="7"/>
      <c r="Z600" s="7"/>
      <c r="AA600" s="7"/>
      <c r="AB600" s="13"/>
      <c r="AC600" s="13"/>
      <c r="AD600" s="13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153"/>
      <c r="R601" s="7"/>
      <c r="S601" s="7"/>
      <c r="T601" s="7"/>
      <c r="U601" s="153"/>
      <c r="V601" s="153"/>
      <c r="W601" s="12"/>
      <c r="X601" s="7"/>
      <c r="Y601" s="7"/>
      <c r="Z601" s="7"/>
      <c r="AA601" s="7"/>
      <c r="AB601" s="13"/>
      <c r="AC601" s="13"/>
      <c r="AD601" s="13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153"/>
      <c r="R602" s="7"/>
      <c r="S602" s="7"/>
      <c r="T602" s="7"/>
      <c r="U602" s="153"/>
      <c r="V602" s="153"/>
      <c r="W602" s="12"/>
      <c r="X602" s="7"/>
      <c r="Y602" s="7"/>
      <c r="Z602" s="7"/>
      <c r="AA602" s="7"/>
      <c r="AB602" s="13"/>
      <c r="AC602" s="13"/>
      <c r="AD602" s="13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153"/>
      <c r="R603" s="7"/>
      <c r="S603" s="7"/>
      <c r="T603" s="7"/>
      <c r="U603" s="153"/>
      <c r="V603" s="153"/>
      <c r="W603" s="12"/>
      <c r="X603" s="7"/>
      <c r="Y603" s="7"/>
      <c r="Z603" s="7"/>
      <c r="AA603" s="7"/>
      <c r="AB603" s="13"/>
      <c r="AC603" s="13"/>
      <c r="AD603" s="13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153"/>
      <c r="R604" s="7"/>
      <c r="S604" s="7"/>
      <c r="T604" s="7"/>
      <c r="U604" s="153"/>
      <c r="V604" s="153"/>
      <c r="W604" s="12"/>
      <c r="X604" s="7"/>
      <c r="Y604" s="7"/>
      <c r="Z604" s="7"/>
      <c r="AA604" s="7"/>
      <c r="AB604" s="13"/>
      <c r="AC604" s="13"/>
      <c r="AD604" s="13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153"/>
      <c r="R605" s="7"/>
      <c r="S605" s="7"/>
      <c r="T605" s="7"/>
      <c r="U605" s="153"/>
      <c r="V605" s="153"/>
      <c r="W605" s="12"/>
      <c r="X605" s="7"/>
      <c r="Y605" s="7"/>
      <c r="Z605" s="7"/>
      <c r="AA605" s="7"/>
      <c r="AB605" s="13"/>
      <c r="AC605" s="13"/>
      <c r="AD605" s="13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153"/>
      <c r="R606" s="7"/>
      <c r="S606" s="7"/>
      <c r="T606" s="7"/>
      <c r="U606" s="153"/>
      <c r="V606" s="153"/>
      <c r="W606" s="12"/>
      <c r="X606" s="7"/>
      <c r="Y606" s="7"/>
      <c r="Z606" s="7"/>
      <c r="AA606" s="7"/>
      <c r="AB606" s="13"/>
      <c r="AC606" s="13"/>
      <c r="AD606" s="13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153"/>
      <c r="R607" s="7"/>
      <c r="S607" s="7"/>
      <c r="T607" s="7"/>
      <c r="U607" s="153"/>
      <c r="V607" s="153"/>
      <c r="W607" s="12"/>
      <c r="X607" s="7"/>
      <c r="Y607" s="7"/>
      <c r="Z607" s="7"/>
      <c r="AA607" s="7"/>
      <c r="AB607" s="13"/>
      <c r="AC607" s="13"/>
      <c r="AD607" s="13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153"/>
      <c r="R608" s="7"/>
      <c r="S608" s="7"/>
      <c r="T608" s="7"/>
      <c r="U608" s="153"/>
      <c r="V608" s="153"/>
      <c r="W608" s="12"/>
      <c r="X608" s="7"/>
      <c r="Y608" s="7"/>
      <c r="Z608" s="7"/>
      <c r="AA608" s="7"/>
      <c r="AB608" s="13"/>
      <c r="AC608" s="13"/>
      <c r="AD608" s="13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153"/>
      <c r="R609" s="7"/>
      <c r="S609" s="7"/>
      <c r="T609" s="7"/>
      <c r="U609" s="153"/>
      <c r="V609" s="153"/>
      <c r="W609" s="12"/>
      <c r="X609" s="7"/>
      <c r="Y609" s="7"/>
      <c r="Z609" s="7"/>
      <c r="AA609" s="7"/>
      <c r="AB609" s="13"/>
      <c r="AC609" s="13"/>
      <c r="AD609" s="13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153"/>
      <c r="R610" s="7"/>
      <c r="S610" s="7"/>
      <c r="T610" s="7"/>
      <c r="U610" s="153"/>
      <c r="V610" s="153"/>
      <c r="W610" s="12"/>
      <c r="X610" s="7"/>
      <c r="Y610" s="7"/>
      <c r="Z610" s="7"/>
      <c r="AA610" s="7"/>
      <c r="AB610" s="13"/>
      <c r="AC610" s="13"/>
      <c r="AD610" s="13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153"/>
      <c r="R611" s="7"/>
      <c r="S611" s="7"/>
      <c r="T611" s="7"/>
      <c r="U611" s="153"/>
      <c r="V611" s="153"/>
      <c r="W611" s="12"/>
      <c r="X611" s="7"/>
      <c r="Y611" s="7"/>
      <c r="Z611" s="7"/>
      <c r="AA611" s="7"/>
      <c r="AB611" s="13"/>
      <c r="AC611" s="13"/>
      <c r="AD611" s="13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153"/>
      <c r="R612" s="7"/>
      <c r="S612" s="7"/>
      <c r="T612" s="7"/>
      <c r="U612" s="153"/>
      <c r="V612" s="153"/>
      <c r="W612" s="12"/>
      <c r="X612" s="7"/>
      <c r="Y612" s="7"/>
      <c r="Z612" s="7"/>
      <c r="AA612" s="7"/>
      <c r="AB612" s="13"/>
      <c r="AC612" s="13"/>
      <c r="AD612" s="13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153"/>
      <c r="R613" s="7"/>
      <c r="S613" s="7"/>
      <c r="T613" s="7"/>
      <c r="U613" s="153"/>
      <c r="V613" s="153"/>
      <c r="W613" s="12"/>
      <c r="X613" s="7"/>
      <c r="Y613" s="7"/>
      <c r="Z613" s="7"/>
      <c r="AA613" s="7"/>
      <c r="AB613" s="13"/>
      <c r="AC613" s="13"/>
      <c r="AD613" s="13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153"/>
      <c r="R614" s="7"/>
      <c r="S614" s="7"/>
      <c r="T614" s="7"/>
      <c r="U614" s="153"/>
      <c r="V614" s="153"/>
      <c r="W614" s="12"/>
      <c r="X614" s="7"/>
      <c r="Y614" s="7"/>
      <c r="Z614" s="7"/>
      <c r="AA614" s="7"/>
      <c r="AB614" s="13"/>
      <c r="AC614" s="13"/>
      <c r="AD614" s="13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153"/>
      <c r="R615" s="7"/>
      <c r="S615" s="7"/>
      <c r="T615" s="7"/>
      <c r="U615" s="153"/>
      <c r="V615" s="153"/>
      <c r="W615" s="12"/>
      <c r="X615" s="7"/>
      <c r="Y615" s="7"/>
      <c r="Z615" s="7"/>
      <c r="AA615" s="7"/>
      <c r="AB615" s="13"/>
      <c r="AC615" s="13"/>
      <c r="AD615" s="13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153"/>
      <c r="R616" s="7"/>
      <c r="S616" s="7"/>
      <c r="T616" s="7"/>
      <c r="U616" s="153"/>
      <c r="V616" s="153"/>
      <c r="W616" s="12"/>
      <c r="X616" s="7"/>
      <c r="Y616" s="7"/>
      <c r="Z616" s="7"/>
      <c r="AA616" s="7"/>
      <c r="AB616" s="13"/>
      <c r="AC616" s="13"/>
      <c r="AD616" s="13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153"/>
      <c r="R617" s="7"/>
      <c r="S617" s="7"/>
      <c r="T617" s="7"/>
      <c r="U617" s="153"/>
      <c r="V617" s="153"/>
      <c r="W617" s="12"/>
      <c r="X617" s="7"/>
      <c r="Y617" s="7"/>
      <c r="Z617" s="7"/>
      <c r="AA617" s="7"/>
      <c r="AB617" s="13"/>
      <c r="AC617" s="13"/>
      <c r="AD617" s="13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153"/>
      <c r="R618" s="7"/>
      <c r="S618" s="7"/>
      <c r="T618" s="7"/>
      <c r="U618" s="153"/>
      <c r="V618" s="153"/>
      <c r="W618" s="12"/>
      <c r="X618" s="7"/>
      <c r="Y618" s="7"/>
      <c r="Z618" s="7"/>
      <c r="AA618" s="7"/>
      <c r="AB618" s="13"/>
      <c r="AC618" s="13"/>
      <c r="AD618" s="13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153"/>
      <c r="R619" s="7"/>
      <c r="S619" s="7"/>
      <c r="T619" s="7"/>
      <c r="U619" s="153"/>
      <c r="V619" s="153"/>
      <c r="W619" s="12"/>
      <c r="X619" s="7"/>
      <c r="Y619" s="7"/>
      <c r="Z619" s="7"/>
      <c r="AA619" s="7"/>
      <c r="AB619" s="13"/>
      <c r="AC619" s="13"/>
      <c r="AD619" s="13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153"/>
      <c r="R620" s="7"/>
      <c r="S620" s="7"/>
      <c r="T620" s="7"/>
      <c r="U620" s="153"/>
      <c r="V620" s="153"/>
      <c r="W620" s="12"/>
      <c r="X620" s="7"/>
      <c r="Y620" s="7"/>
      <c r="Z620" s="7"/>
      <c r="AA620" s="7"/>
      <c r="AB620" s="13"/>
      <c r="AC620" s="13"/>
      <c r="AD620" s="13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153"/>
      <c r="R621" s="7"/>
      <c r="S621" s="7"/>
      <c r="T621" s="7"/>
      <c r="U621" s="153"/>
      <c r="V621" s="153"/>
      <c r="W621" s="12"/>
      <c r="X621" s="7"/>
      <c r="Y621" s="7"/>
      <c r="Z621" s="7"/>
      <c r="AA621" s="7"/>
      <c r="AB621" s="13"/>
      <c r="AC621" s="13"/>
      <c r="AD621" s="13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153"/>
      <c r="R622" s="7"/>
      <c r="S622" s="7"/>
      <c r="T622" s="7"/>
      <c r="U622" s="153"/>
      <c r="V622" s="153"/>
      <c r="W622" s="12"/>
      <c r="X622" s="7"/>
      <c r="Y622" s="7"/>
      <c r="Z622" s="7"/>
      <c r="AA622" s="7"/>
      <c r="AB622" s="13"/>
      <c r="AC622" s="13"/>
      <c r="AD622" s="13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153"/>
      <c r="R623" s="7"/>
      <c r="S623" s="7"/>
      <c r="T623" s="7"/>
      <c r="U623" s="153"/>
      <c r="V623" s="153"/>
      <c r="W623" s="12"/>
      <c r="X623" s="7"/>
      <c r="Y623" s="7"/>
      <c r="Z623" s="7"/>
      <c r="AA623" s="7"/>
      <c r="AB623" s="13"/>
      <c r="AC623" s="13"/>
      <c r="AD623" s="13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153"/>
      <c r="R624" s="7"/>
      <c r="S624" s="7"/>
      <c r="T624" s="7"/>
      <c r="U624" s="153"/>
      <c r="V624" s="153"/>
      <c r="W624" s="12"/>
      <c r="X624" s="7"/>
      <c r="Y624" s="7"/>
      <c r="Z624" s="7"/>
      <c r="AA624" s="7"/>
      <c r="AB624" s="13"/>
      <c r="AC624" s="13"/>
      <c r="AD624" s="13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153"/>
      <c r="R625" s="7"/>
      <c r="S625" s="7"/>
      <c r="T625" s="7"/>
      <c r="U625" s="153"/>
      <c r="V625" s="153"/>
      <c r="W625" s="12"/>
      <c r="X625" s="7"/>
      <c r="Y625" s="7"/>
      <c r="Z625" s="7"/>
      <c r="AA625" s="7"/>
      <c r="AB625" s="13"/>
      <c r="AC625" s="13"/>
      <c r="AD625" s="13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153"/>
      <c r="R626" s="7"/>
      <c r="S626" s="7"/>
      <c r="T626" s="7"/>
      <c r="U626" s="153"/>
      <c r="V626" s="153"/>
      <c r="W626" s="12"/>
      <c r="X626" s="7"/>
      <c r="Y626" s="7"/>
      <c r="Z626" s="7"/>
      <c r="AA626" s="7"/>
      <c r="AB626" s="13"/>
      <c r="AC626" s="13"/>
      <c r="AD626" s="13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153"/>
      <c r="R627" s="7"/>
      <c r="S627" s="7"/>
      <c r="T627" s="7"/>
      <c r="U627" s="153"/>
      <c r="V627" s="153"/>
      <c r="W627" s="12"/>
      <c r="X627" s="7"/>
      <c r="Y627" s="7"/>
      <c r="Z627" s="7"/>
      <c r="AA627" s="7"/>
      <c r="AB627" s="13"/>
      <c r="AC627" s="13"/>
      <c r="AD627" s="13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153"/>
      <c r="R628" s="7"/>
      <c r="S628" s="7"/>
      <c r="T628" s="7"/>
      <c r="U628" s="153"/>
      <c r="V628" s="153"/>
      <c r="W628" s="12"/>
      <c r="X628" s="7"/>
      <c r="Y628" s="7"/>
      <c r="Z628" s="7"/>
      <c r="AA628" s="7"/>
      <c r="AB628" s="13"/>
      <c r="AC628" s="13"/>
      <c r="AD628" s="13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153"/>
      <c r="R629" s="7"/>
      <c r="S629" s="7"/>
      <c r="T629" s="7"/>
      <c r="U629" s="153"/>
      <c r="V629" s="153"/>
      <c r="W629" s="12"/>
      <c r="X629" s="7"/>
      <c r="Y629" s="7"/>
      <c r="Z629" s="7"/>
      <c r="AA629" s="7"/>
      <c r="AB629" s="13"/>
      <c r="AC629" s="13"/>
      <c r="AD629" s="13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153"/>
      <c r="R630" s="7"/>
      <c r="S630" s="7"/>
      <c r="T630" s="7"/>
      <c r="U630" s="153"/>
      <c r="V630" s="153"/>
      <c r="W630" s="12"/>
      <c r="X630" s="7"/>
      <c r="Y630" s="7"/>
      <c r="Z630" s="7"/>
      <c r="AA630" s="7"/>
      <c r="AB630" s="13"/>
      <c r="AC630" s="13"/>
      <c r="AD630" s="13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153"/>
      <c r="R631" s="7"/>
      <c r="S631" s="7"/>
      <c r="T631" s="7"/>
      <c r="U631" s="153"/>
      <c r="V631" s="153"/>
      <c r="W631" s="12"/>
      <c r="X631" s="7"/>
      <c r="Y631" s="7"/>
      <c r="Z631" s="7"/>
      <c r="AA631" s="7"/>
      <c r="AB631" s="13"/>
      <c r="AC631" s="13"/>
      <c r="AD631" s="13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153"/>
      <c r="R632" s="7"/>
      <c r="S632" s="7"/>
      <c r="T632" s="7"/>
      <c r="U632" s="153"/>
      <c r="V632" s="153"/>
      <c r="W632" s="12"/>
      <c r="X632" s="7"/>
      <c r="Y632" s="7"/>
      <c r="Z632" s="7"/>
      <c r="AA632" s="7"/>
      <c r="AB632" s="13"/>
      <c r="AC632" s="13"/>
      <c r="AD632" s="13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153"/>
      <c r="R633" s="7"/>
      <c r="S633" s="7"/>
      <c r="T633" s="7"/>
      <c r="U633" s="153"/>
      <c r="V633" s="153"/>
      <c r="W633" s="12"/>
      <c r="X633" s="7"/>
      <c r="Y633" s="7"/>
      <c r="Z633" s="7"/>
      <c r="AA633" s="7"/>
      <c r="AB633" s="13"/>
      <c r="AC633" s="13"/>
      <c r="AD633" s="13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153"/>
      <c r="R634" s="7"/>
      <c r="S634" s="7"/>
      <c r="T634" s="7"/>
      <c r="U634" s="153"/>
      <c r="V634" s="153"/>
      <c r="W634" s="12"/>
      <c r="X634" s="7"/>
      <c r="Y634" s="7"/>
      <c r="Z634" s="7"/>
      <c r="AA634" s="7"/>
      <c r="AB634" s="13"/>
      <c r="AC634" s="13"/>
      <c r="AD634" s="13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153"/>
      <c r="R635" s="7"/>
      <c r="S635" s="7"/>
      <c r="T635" s="7"/>
      <c r="U635" s="153"/>
      <c r="V635" s="153"/>
      <c r="W635" s="12"/>
      <c r="X635" s="7"/>
      <c r="Y635" s="7"/>
      <c r="Z635" s="7"/>
      <c r="AA635" s="7"/>
      <c r="AB635" s="13"/>
      <c r="AC635" s="13"/>
      <c r="AD635" s="13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153"/>
      <c r="R636" s="7"/>
      <c r="S636" s="7"/>
      <c r="T636" s="7"/>
      <c r="U636" s="153"/>
      <c r="V636" s="153"/>
      <c r="W636" s="12"/>
      <c r="X636" s="7"/>
      <c r="Y636" s="7"/>
      <c r="Z636" s="7"/>
      <c r="AA636" s="7"/>
      <c r="AB636" s="13"/>
      <c r="AC636" s="13"/>
      <c r="AD636" s="13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153"/>
      <c r="R637" s="7"/>
      <c r="S637" s="7"/>
      <c r="T637" s="7"/>
      <c r="U637" s="153"/>
      <c r="V637" s="153"/>
      <c r="W637" s="12"/>
      <c r="X637" s="7"/>
      <c r="Y637" s="7"/>
      <c r="Z637" s="7"/>
      <c r="AA637" s="7"/>
      <c r="AB637" s="13"/>
      <c r="AC637" s="13"/>
      <c r="AD637" s="13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153"/>
      <c r="R638" s="7"/>
      <c r="S638" s="7"/>
      <c r="T638" s="7"/>
      <c r="U638" s="153"/>
      <c r="V638" s="153"/>
      <c r="W638" s="12"/>
      <c r="X638" s="7"/>
      <c r="Y638" s="7"/>
      <c r="Z638" s="7"/>
      <c r="AA638" s="7"/>
      <c r="AB638" s="13"/>
      <c r="AC638" s="13"/>
      <c r="AD638" s="13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153"/>
      <c r="R639" s="7"/>
      <c r="S639" s="7"/>
      <c r="T639" s="7"/>
      <c r="U639" s="153"/>
      <c r="V639" s="153"/>
      <c r="W639" s="12"/>
      <c r="X639" s="7"/>
      <c r="Y639" s="7"/>
      <c r="Z639" s="7"/>
      <c r="AA639" s="7"/>
      <c r="AB639" s="13"/>
      <c r="AC639" s="13"/>
      <c r="AD639" s="13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153"/>
      <c r="R640" s="7"/>
      <c r="S640" s="7"/>
      <c r="T640" s="7"/>
      <c r="U640" s="153"/>
      <c r="V640" s="153"/>
      <c r="W640" s="12"/>
      <c r="X640" s="7"/>
      <c r="Y640" s="7"/>
      <c r="Z640" s="7"/>
      <c r="AA640" s="7"/>
      <c r="AB640" s="13"/>
      <c r="AC640" s="13"/>
      <c r="AD640" s="13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153"/>
      <c r="R641" s="7"/>
      <c r="S641" s="7"/>
      <c r="T641" s="7"/>
      <c r="U641" s="153"/>
      <c r="V641" s="153"/>
      <c r="W641" s="12"/>
      <c r="X641" s="7"/>
      <c r="Y641" s="7"/>
      <c r="Z641" s="7"/>
      <c r="AA641" s="7"/>
      <c r="AB641" s="13"/>
      <c r="AC641" s="13"/>
      <c r="AD641" s="13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153"/>
      <c r="R642" s="7"/>
      <c r="S642" s="7"/>
      <c r="T642" s="7"/>
      <c r="U642" s="153"/>
      <c r="V642" s="153"/>
      <c r="W642" s="12"/>
      <c r="X642" s="7"/>
      <c r="Y642" s="7"/>
      <c r="Z642" s="7"/>
      <c r="AA642" s="7"/>
      <c r="AB642" s="13"/>
      <c r="AC642" s="13"/>
      <c r="AD642" s="13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153"/>
      <c r="R643" s="7"/>
      <c r="S643" s="7"/>
      <c r="T643" s="7"/>
      <c r="U643" s="153"/>
      <c r="V643" s="153"/>
      <c r="W643" s="12"/>
      <c r="X643" s="7"/>
      <c r="Y643" s="7"/>
      <c r="Z643" s="7"/>
      <c r="AA643" s="7"/>
      <c r="AB643" s="13"/>
      <c r="AC643" s="13"/>
      <c r="AD643" s="13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153"/>
      <c r="R644" s="7"/>
      <c r="S644" s="7"/>
      <c r="T644" s="7"/>
      <c r="U644" s="153"/>
      <c r="V644" s="153"/>
      <c r="W644" s="12"/>
      <c r="X644" s="7"/>
      <c r="Y644" s="7"/>
      <c r="Z644" s="7"/>
      <c r="AA644" s="7"/>
      <c r="AB644" s="13"/>
      <c r="AC644" s="13"/>
      <c r="AD644" s="13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153"/>
      <c r="R645" s="7"/>
      <c r="S645" s="7"/>
      <c r="T645" s="7"/>
      <c r="U645" s="153"/>
      <c r="V645" s="153"/>
      <c r="W645" s="12"/>
      <c r="X645" s="7"/>
      <c r="Y645" s="7"/>
      <c r="Z645" s="7"/>
      <c r="AA645" s="7"/>
      <c r="AB645" s="13"/>
      <c r="AC645" s="13"/>
      <c r="AD645" s="13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153"/>
      <c r="R646" s="7"/>
      <c r="S646" s="7"/>
      <c r="T646" s="7"/>
      <c r="U646" s="153"/>
      <c r="V646" s="153"/>
      <c r="W646" s="12"/>
      <c r="X646" s="7"/>
      <c r="Y646" s="7"/>
      <c r="Z646" s="7"/>
      <c r="AA646" s="7"/>
      <c r="AB646" s="13"/>
      <c r="AC646" s="13"/>
      <c r="AD646" s="13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153"/>
      <c r="R647" s="7"/>
      <c r="S647" s="7"/>
      <c r="T647" s="7"/>
      <c r="U647" s="153"/>
      <c r="V647" s="153"/>
      <c r="W647" s="12"/>
      <c r="X647" s="7"/>
      <c r="Y647" s="7"/>
      <c r="Z647" s="7"/>
      <c r="AA647" s="7"/>
      <c r="AB647" s="13"/>
      <c r="AC647" s="13"/>
      <c r="AD647" s="13"/>
    </row>
    <row r="648">
      <c r="P648" s="7"/>
      <c r="Q648" s="153"/>
      <c r="R648" s="7"/>
      <c r="S648" s="7"/>
      <c r="T648" s="7"/>
      <c r="U648" s="153"/>
      <c r="V648" s="153"/>
      <c r="W648" s="12"/>
      <c r="X648" s="7"/>
      <c r="Y648" s="7"/>
      <c r="Z648" s="7"/>
      <c r="AA648" s="7"/>
      <c r="AB648" s="13"/>
      <c r="AC648" s="13"/>
      <c r="AD648" s="13"/>
    </row>
    <row r="649">
      <c r="P649" s="7"/>
      <c r="Q649" s="153"/>
      <c r="R649" s="7"/>
      <c r="S649" s="7"/>
      <c r="T649" s="7"/>
      <c r="U649" s="153"/>
      <c r="V649" s="153"/>
      <c r="W649" s="12"/>
      <c r="X649" s="7"/>
      <c r="Y649" s="7"/>
      <c r="Z649" s="7"/>
      <c r="AA649" s="7"/>
      <c r="AB649" s="13"/>
      <c r="AC649" s="13"/>
      <c r="AD649" s="13"/>
    </row>
    <row r="650">
      <c r="P650" s="7"/>
      <c r="Q650" s="153"/>
      <c r="R650" s="7"/>
      <c r="S650" s="7"/>
      <c r="T650" s="7"/>
      <c r="U650" s="153"/>
      <c r="V650" s="153"/>
      <c r="W650" s="12"/>
      <c r="X650" s="7"/>
      <c r="Y650" s="7"/>
      <c r="Z650" s="7"/>
      <c r="AA650" s="7"/>
      <c r="AB650" s="13"/>
      <c r="AC650" s="13"/>
      <c r="AD650" s="13"/>
    </row>
    <row r="651">
      <c r="P651" s="7"/>
      <c r="Q651" s="153"/>
      <c r="R651" s="7"/>
      <c r="S651" s="7"/>
      <c r="T651" s="7"/>
      <c r="U651" s="153"/>
      <c r="V651" s="153"/>
      <c r="W651" s="12"/>
      <c r="X651" s="7"/>
      <c r="Y651" s="7"/>
      <c r="Z651" s="7"/>
      <c r="AA651" s="7"/>
      <c r="AB651" s="13"/>
      <c r="AC651" s="13"/>
      <c r="AD651" s="13"/>
    </row>
    <row r="652">
      <c r="P652" s="7"/>
      <c r="Q652" s="153"/>
      <c r="R652" s="7"/>
      <c r="S652" s="7"/>
      <c r="T652" s="7"/>
      <c r="U652" s="153"/>
      <c r="V652" s="153"/>
      <c r="W652" s="12"/>
      <c r="X652" s="7"/>
      <c r="Y652" s="7"/>
      <c r="Z652" s="7"/>
      <c r="AA652" s="7"/>
      <c r="AB652" s="13"/>
      <c r="AC652" s="13"/>
      <c r="AD652" s="13"/>
    </row>
    <row r="653">
      <c r="P653" s="7"/>
      <c r="Q653" s="153"/>
      <c r="R653" s="7"/>
      <c r="S653" s="7"/>
      <c r="T653" s="7"/>
      <c r="U653" s="153"/>
      <c r="V653" s="153"/>
      <c r="W653" s="12"/>
      <c r="X653" s="7"/>
      <c r="Y653" s="7"/>
      <c r="Z653" s="7"/>
      <c r="AA653" s="7"/>
      <c r="AB653" s="13"/>
      <c r="AC653" s="13"/>
      <c r="AD653" s="13"/>
    </row>
    <row r="654">
      <c r="P654" s="7"/>
      <c r="Q654" s="153"/>
      <c r="R654" s="7"/>
      <c r="S654" s="7"/>
      <c r="T654" s="7"/>
      <c r="U654" s="153"/>
      <c r="V654" s="153"/>
      <c r="W654" s="12"/>
      <c r="X654" s="7"/>
      <c r="Y654" s="7"/>
      <c r="Z654" s="7"/>
      <c r="AA654" s="7"/>
      <c r="AB654" s="13"/>
      <c r="AC654" s="13"/>
      <c r="AD654" s="13"/>
    </row>
    <row r="655">
      <c r="P655" s="7"/>
      <c r="Q655" s="153"/>
      <c r="R655" s="7"/>
      <c r="S655" s="7"/>
      <c r="T655" s="7"/>
      <c r="U655" s="153"/>
      <c r="V655" s="153"/>
      <c r="W655" s="12"/>
      <c r="X655" s="7"/>
      <c r="Y655" s="7"/>
      <c r="Z655" s="7"/>
      <c r="AA655" s="7"/>
      <c r="AB655" s="13"/>
      <c r="AC655" s="13"/>
      <c r="AD655" s="13"/>
    </row>
    <row r="656">
      <c r="P656" s="7"/>
      <c r="Q656" s="153"/>
      <c r="R656" s="7"/>
      <c r="S656" s="7"/>
      <c r="T656" s="7"/>
      <c r="U656" s="153"/>
      <c r="V656" s="153"/>
      <c r="W656" s="12"/>
      <c r="X656" s="7"/>
      <c r="Y656" s="7"/>
      <c r="Z656" s="7"/>
      <c r="AA656" s="7"/>
      <c r="AB656" s="13"/>
      <c r="AC656" s="13"/>
      <c r="AD656" s="13"/>
    </row>
    <row r="657">
      <c r="P657" s="7"/>
      <c r="Q657" s="153"/>
      <c r="R657" s="7"/>
      <c r="S657" s="7"/>
      <c r="T657" s="7"/>
      <c r="U657" s="153"/>
      <c r="V657" s="153"/>
      <c r="W657" s="12"/>
      <c r="X657" s="7"/>
      <c r="Y657" s="7"/>
      <c r="Z657" s="7"/>
      <c r="AA657" s="7"/>
      <c r="AB657" s="13"/>
      <c r="AC657" s="13"/>
      <c r="AD657" s="13"/>
    </row>
    <row r="658">
      <c r="P658" s="7"/>
      <c r="Q658" s="153"/>
      <c r="R658" s="7"/>
      <c r="S658" s="7"/>
      <c r="T658" s="7"/>
      <c r="U658" s="153"/>
      <c r="V658" s="153"/>
      <c r="W658" s="12"/>
      <c r="X658" s="7"/>
      <c r="Y658" s="7"/>
      <c r="Z658" s="7"/>
      <c r="AA658" s="7"/>
      <c r="AB658" s="13"/>
      <c r="AC658" s="13"/>
      <c r="AD658" s="13"/>
    </row>
    <row r="659">
      <c r="P659" s="7"/>
      <c r="Q659" s="153"/>
      <c r="R659" s="7"/>
      <c r="S659" s="7"/>
      <c r="T659" s="7"/>
      <c r="U659" s="153"/>
      <c r="V659" s="153"/>
      <c r="W659" s="12"/>
      <c r="X659" s="7"/>
      <c r="Y659" s="7"/>
      <c r="Z659" s="7"/>
      <c r="AA659" s="7"/>
      <c r="AB659" s="13"/>
      <c r="AC659" s="13"/>
      <c r="AD659" s="13"/>
    </row>
    <row r="660">
      <c r="P660" s="7"/>
      <c r="Q660" s="153"/>
      <c r="R660" s="7"/>
      <c r="S660" s="7"/>
      <c r="T660" s="7"/>
      <c r="U660" s="153"/>
      <c r="V660" s="153"/>
      <c r="W660" s="12"/>
      <c r="X660" s="7"/>
      <c r="Y660" s="7"/>
      <c r="Z660" s="7"/>
      <c r="AA660" s="7"/>
      <c r="AB660" s="13"/>
      <c r="AC660" s="13"/>
      <c r="AD660" s="13"/>
    </row>
    <row r="661">
      <c r="P661" s="7"/>
      <c r="Q661" s="153"/>
      <c r="R661" s="7"/>
      <c r="S661" s="7"/>
      <c r="T661" s="7"/>
      <c r="U661" s="153"/>
      <c r="V661" s="153"/>
      <c r="W661" s="12"/>
      <c r="X661" s="7"/>
      <c r="Y661" s="7"/>
      <c r="Z661" s="7"/>
      <c r="AA661" s="7"/>
      <c r="AB661" s="13"/>
      <c r="AC661" s="13"/>
      <c r="AD661" s="13"/>
    </row>
    <row r="662">
      <c r="P662" s="7"/>
      <c r="Q662" s="153"/>
      <c r="R662" s="7"/>
      <c r="S662" s="7"/>
      <c r="T662" s="7"/>
      <c r="U662" s="153"/>
      <c r="V662" s="153"/>
      <c r="W662" s="12"/>
      <c r="X662" s="7"/>
      <c r="Y662" s="7"/>
      <c r="Z662" s="7"/>
      <c r="AA662" s="7"/>
      <c r="AB662" s="13"/>
      <c r="AC662" s="13"/>
      <c r="AD662" s="13"/>
    </row>
    <row r="663">
      <c r="P663" s="7"/>
      <c r="Q663" s="153"/>
      <c r="R663" s="7"/>
      <c r="S663" s="7"/>
      <c r="T663" s="7"/>
      <c r="U663" s="153"/>
      <c r="V663" s="153"/>
      <c r="W663" s="12"/>
      <c r="X663" s="7"/>
      <c r="Y663" s="7"/>
      <c r="Z663" s="7"/>
      <c r="AA663" s="7"/>
      <c r="AB663" s="13"/>
      <c r="AC663" s="13"/>
      <c r="AD663" s="13"/>
    </row>
    <row r="664">
      <c r="P664" s="7"/>
      <c r="Q664" s="153"/>
      <c r="R664" s="7"/>
      <c r="S664" s="7"/>
      <c r="T664" s="7"/>
      <c r="U664" s="153"/>
      <c r="V664" s="153"/>
      <c r="W664" s="12"/>
      <c r="X664" s="7"/>
      <c r="Y664" s="7"/>
      <c r="Z664" s="7"/>
      <c r="AA664" s="7"/>
      <c r="AB664" s="13"/>
      <c r="AC664" s="13"/>
      <c r="AD664" s="13"/>
    </row>
    <row r="665">
      <c r="P665" s="7"/>
      <c r="Q665" s="153"/>
      <c r="R665" s="7"/>
      <c r="S665" s="7"/>
      <c r="T665" s="7"/>
      <c r="U665" s="153"/>
      <c r="V665" s="153"/>
      <c r="W665" s="12"/>
      <c r="X665" s="7"/>
      <c r="Y665" s="7"/>
      <c r="Z665" s="7"/>
      <c r="AA665" s="7"/>
      <c r="AB665" s="13"/>
      <c r="AC665" s="13"/>
      <c r="AD665" s="13"/>
    </row>
    <row r="666">
      <c r="P666" s="7"/>
      <c r="Q666" s="153"/>
      <c r="R666" s="7"/>
      <c r="S666" s="7"/>
      <c r="T666" s="7"/>
      <c r="U666" s="153"/>
      <c r="V666" s="153"/>
      <c r="W666" s="12"/>
      <c r="X666" s="7"/>
      <c r="Y666" s="7"/>
      <c r="Z666" s="7"/>
      <c r="AA666" s="7"/>
      <c r="AB666" s="13"/>
      <c r="AC666" s="13"/>
      <c r="AD666" s="13"/>
    </row>
    <row r="667">
      <c r="P667" s="7"/>
      <c r="Q667" s="153"/>
      <c r="R667" s="7"/>
      <c r="S667" s="7"/>
      <c r="T667" s="7"/>
      <c r="U667" s="153"/>
      <c r="V667" s="153"/>
      <c r="W667" s="12"/>
      <c r="X667" s="7"/>
      <c r="Y667" s="7"/>
      <c r="Z667" s="7"/>
      <c r="AA667" s="7"/>
      <c r="AB667" s="13"/>
      <c r="AC667" s="13"/>
      <c r="AD667" s="13"/>
    </row>
    <row r="668">
      <c r="P668" s="7"/>
      <c r="Q668" s="153"/>
      <c r="R668" s="7"/>
      <c r="S668" s="7"/>
      <c r="T668" s="7"/>
      <c r="U668" s="153"/>
      <c r="V668" s="153"/>
      <c r="W668" s="12"/>
      <c r="X668" s="7"/>
      <c r="Y668" s="7"/>
      <c r="Z668" s="7"/>
      <c r="AA668" s="7"/>
      <c r="AB668" s="13"/>
      <c r="AC668" s="13"/>
      <c r="AD668" s="13"/>
    </row>
    <row r="669">
      <c r="P669" s="7"/>
      <c r="Q669" s="153"/>
      <c r="R669" s="7"/>
      <c r="S669" s="7"/>
      <c r="T669" s="7"/>
      <c r="U669" s="153"/>
      <c r="V669" s="153"/>
      <c r="W669" s="12"/>
      <c r="X669" s="7"/>
      <c r="Y669" s="7"/>
      <c r="Z669" s="7"/>
      <c r="AA669" s="7"/>
      <c r="AB669" s="13"/>
      <c r="AC669" s="13"/>
      <c r="AD669" s="13"/>
    </row>
    <row r="670">
      <c r="P670" s="7"/>
      <c r="Q670" s="153"/>
      <c r="R670" s="7"/>
      <c r="S670" s="7"/>
      <c r="T670" s="7"/>
      <c r="U670" s="153"/>
      <c r="V670" s="153"/>
      <c r="W670" s="12"/>
      <c r="X670" s="7"/>
      <c r="Y670" s="7"/>
      <c r="Z670" s="7"/>
      <c r="AA670" s="7"/>
      <c r="AB670" s="13"/>
      <c r="AC670" s="13"/>
      <c r="AD670" s="13"/>
    </row>
    <row r="671">
      <c r="P671" s="7"/>
      <c r="Q671" s="153"/>
      <c r="R671" s="7"/>
      <c r="S671" s="7"/>
      <c r="T671" s="7"/>
      <c r="U671" s="153"/>
      <c r="V671" s="153"/>
      <c r="W671" s="12"/>
      <c r="X671" s="7"/>
      <c r="Y671" s="7"/>
      <c r="Z671" s="7"/>
      <c r="AA671" s="7"/>
      <c r="AB671" s="13"/>
      <c r="AC671" s="13"/>
      <c r="AD671" s="13"/>
    </row>
    <row r="672">
      <c r="P672" s="7"/>
      <c r="Q672" s="153"/>
      <c r="R672" s="7"/>
      <c r="S672" s="7"/>
      <c r="T672" s="7"/>
      <c r="U672" s="153"/>
      <c r="V672" s="153"/>
      <c r="W672" s="12"/>
      <c r="X672" s="7"/>
      <c r="Y672" s="7"/>
      <c r="Z672" s="7"/>
      <c r="AA672" s="7"/>
      <c r="AB672" s="13"/>
      <c r="AC672" s="13"/>
      <c r="AD672" s="13"/>
    </row>
    <row r="673">
      <c r="P673" s="7"/>
      <c r="Q673" s="153"/>
      <c r="R673" s="7"/>
      <c r="S673" s="7"/>
      <c r="T673" s="7"/>
      <c r="U673" s="153"/>
      <c r="V673" s="153"/>
      <c r="W673" s="12"/>
      <c r="X673" s="7"/>
      <c r="Y673" s="7"/>
      <c r="Z673" s="7"/>
      <c r="AA673" s="7"/>
      <c r="AB673" s="13"/>
      <c r="AC673" s="13"/>
      <c r="AD673" s="13"/>
    </row>
    <row r="674">
      <c r="P674" s="7"/>
      <c r="Q674" s="153"/>
      <c r="R674" s="7"/>
      <c r="S674" s="7"/>
      <c r="T674" s="7"/>
      <c r="U674" s="153"/>
      <c r="V674" s="153"/>
      <c r="W674" s="12"/>
      <c r="X674" s="7"/>
      <c r="Y674" s="7"/>
      <c r="Z674" s="7"/>
      <c r="AA674" s="7"/>
      <c r="AB674" s="13"/>
      <c r="AC674" s="13"/>
      <c r="AD674" s="13"/>
    </row>
    <row r="675">
      <c r="P675" s="7"/>
      <c r="Q675" s="153"/>
      <c r="R675" s="7"/>
      <c r="S675" s="7"/>
      <c r="T675" s="7"/>
      <c r="U675" s="153"/>
      <c r="V675" s="153"/>
      <c r="W675" s="12"/>
      <c r="X675" s="7"/>
      <c r="Y675" s="7"/>
      <c r="Z675" s="7"/>
      <c r="AA675" s="7"/>
      <c r="AB675" s="13"/>
      <c r="AC675" s="13"/>
      <c r="AD675" s="13"/>
    </row>
    <row r="676">
      <c r="P676" s="7"/>
      <c r="Q676" s="153"/>
      <c r="R676" s="7"/>
      <c r="S676" s="7"/>
      <c r="T676" s="7"/>
      <c r="U676" s="153"/>
      <c r="V676" s="153"/>
      <c r="W676" s="12"/>
      <c r="X676" s="7"/>
      <c r="Y676" s="7"/>
      <c r="Z676" s="7"/>
      <c r="AA676" s="7"/>
      <c r="AB676" s="13"/>
      <c r="AC676" s="13"/>
      <c r="AD676" s="13"/>
    </row>
    <row r="677">
      <c r="P677" s="7"/>
      <c r="Q677" s="153"/>
      <c r="R677" s="7"/>
      <c r="S677" s="7"/>
      <c r="T677" s="7"/>
      <c r="U677" s="153"/>
      <c r="V677" s="153"/>
      <c r="W677" s="12"/>
      <c r="X677" s="7"/>
      <c r="Y677" s="7"/>
      <c r="Z677" s="7"/>
      <c r="AA677" s="7"/>
      <c r="AB677" s="13"/>
      <c r="AC677" s="13"/>
      <c r="AD677" s="13"/>
    </row>
    <row r="678">
      <c r="P678" s="7"/>
      <c r="Q678" s="153"/>
      <c r="R678" s="7"/>
      <c r="S678" s="7"/>
      <c r="T678" s="7"/>
      <c r="U678" s="153"/>
      <c r="V678" s="153"/>
      <c r="W678" s="12"/>
      <c r="X678" s="7"/>
      <c r="Y678" s="7"/>
      <c r="Z678" s="7"/>
      <c r="AA678" s="7"/>
      <c r="AB678" s="13"/>
      <c r="AC678" s="13"/>
      <c r="AD678" s="13"/>
    </row>
    <row r="679">
      <c r="P679" s="7"/>
      <c r="Q679" s="153"/>
      <c r="R679" s="7"/>
      <c r="S679" s="7"/>
      <c r="T679" s="7"/>
      <c r="U679" s="153"/>
      <c r="V679" s="153"/>
      <c r="W679" s="12"/>
      <c r="X679" s="7"/>
      <c r="Y679" s="7"/>
      <c r="Z679" s="7"/>
      <c r="AA679" s="7"/>
      <c r="AB679" s="13"/>
      <c r="AC679" s="13"/>
      <c r="AD679" s="13"/>
    </row>
    <row r="680">
      <c r="P680" s="7"/>
      <c r="Q680" s="153"/>
      <c r="R680" s="7"/>
      <c r="S680" s="7"/>
      <c r="T680" s="7"/>
      <c r="U680" s="153"/>
      <c r="V680" s="153"/>
      <c r="W680" s="12"/>
      <c r="X680" s="7"/>
      <c r="Y680" s="7"/>
      <c r="Z680" s="7"/>
      <c r="AA680" s="7"/>
      <c r="AB680" s="13"/>
      <c r="AC680" s="13"/>
      <c r="AD680" s="13"/>
    </row>
    <row r="681">
      <c r="P681" s="7"/>
      <c r="Q681" s="153"/>
      <c r="R681" s="7"/>
      <c r="S681" s="7"/>
      <c r="T681" s="7"/>
      <c r="U681" s="153"/>
      <c r="V681" s="153"/>
      <c r="W681" s="12"/>
      <c r="X681" s="7"/>
      <c r="Y681" s="7"/>
      <c r="Z681" s="7"/>
      <c r="AA681" s="7"/>
      <c r="AB681" s="13"/>
      <c r="AC681" s="13"/>
      <c r="AD681" s="13"/>
    </row>
    <row r="682">
      <c r="P682" s="7"/>
      <c r="Q682" s="153"/>
      <c r="R682" s="7"/>
      <c r="S682" s="7"/>
      <c r="T682" s="7"/>
      <c r="U682" s="153"/>
      <c r="V682" s="153"/>
      <c r="W682" s="12"/>
      <c r="X682" s="7"/>
      <c r="Y682" s="7"/>
      <c r="Z682" s="7"/>
      <c r="AA682" s="7"/>
      <c r="AB682" s="13"/>
      <c r="AC682" s="13"/>
      <c r="AD682" s="13"/>
    </row>
    <row r="683">
      <c r="P683" s="7"/>
      <c r="Q683" s="153"/>
      <c r="R683" s="7"/>
      <c r="S683" s="7"/>
      <c r="T683" s="7"/>
      <c r="U683" s="153"/>
      <c r="V683" s="153"/>
      <c r="W683" s="12"/>
      <c r="X683" s="7"/>
      <c r="Y683" s="7"/>
      <c r="Z683" s="7"/>
      <c r="AA683" s="7"/>
      <c r="AB683" s="13"/>
      <c r="AC683" s="13"/>
      <c r="AD683" s="13"/>
    </row>
    <row r="684">
      <c r="P684" s="7"/>
      <c r="Q684" s="153"/>
      <c r="R684" s="7"/>
      <c r="S684" s="7"/>
      <c r="T684" s="7"/>
      <c r="U684" s="153"/>
      <c r="V684" s="153"/>
      <c r="W684" s="12"/>
      <c r="X684" s="7"/>
      <c r="Y684" s="7"/>
      <c r="Z684" s="7"/>
      <c r="AA684" s="7"/>
      <c r="AB684" s="13"/>
      <c r="AC684" s="13"/>
      <c r="AD684" s="13"/>
    </row>
    <row r="685">
      <c r="P685" s="7"/>
      <c r="Q685" s="153"/>
      <c r="R685" s="7"/>
      <c r="S685" s="7"/>
      <c r="T685" s="7"/>
      <c r="U685" s="153"/>
      <c r="V685" s="153"/>
      <c r="W685" s="12"/>
      <c r="X685" s="7"/>
      <c r="Y685" s="7"/>
      <c r="Z685" s="7"/>
      <c r="AA685" s="7"/>
      <c r="AB685" s="13"/>
      <c r="AC685" s="13"/>
      <c r="AD685" s="13"/>
    </row>
    <row r="686">
      <c r="P686" s="7"/>
      <c r="Q686" s="153"/>
      <c r="R686" s="7"/>
      <c r="S686" s="7"/>
      <c r="T686" s="7"/>
      <c r="U686" s="153"/>
      <c r="V686" s="153"/>
      <c r="W686" s="12"/>
      <c r="Y686" s="7"/>
      <c r="Z686" s="7"/>
      <c r="AA686" s="7"/>
      <c r="AB686" s="13"/>
      <c r="AC686" s="13"/>
      <c r="AD686" s="13"/>
    </row>
    <row r="687">
      <c r="Q687" s="154"/>
      <c r="U687" s="154"/>
      <c r="V687" s="154"/>
      <c r="W687" s="154"/>
    </row>
    <row r="688">
      <c r="Q688" s="154"/>
      <c r="U688" s="154"/>
      <c r="V688" s="154"/>
      <c r="W688" s="154"/>
    </row>
    <row r="689">
      <c r="Q689" s="154"/>
      <c r="U689" s="154"/>
      <c r="V689" s="154"/>
      <c r="W689" s="154"/>
    </row>
    <row r="690">
      <c r="Q690" s="154"/>
      <c r="U690" s="154"/>
      <c r="V690" s="154"/>
      <c r="W690" s="154"/>
    </row>
    <row r="691">
      <c r="Q691" s="154"/>
      <c r="U691" s="154"/>
      <c r="V691" s="154"/>
      <c r="W691" s="154"/>
    </row>
    <row r="692">
      <c r="Q692" s="154"/>
      <c r="U692" s="154"/>
      <c r="V692" s="154"/>
      <c r="W692" s="154"/>
    </row>
    <row r="693">
      <c r="Q693" s="154"/>
      <c r="U693" s="154"/>
      <c r="V693" s="154"/>
      <c r="W693" s="154"/>
    </row>
    <row r="694">
      <c r="Q694" s="154"/>
      <c r="U694" s="154"/>
      <c r="V694" s="154"/>
      <c r="W694" s="154"/>
    </row>
    <row r="695">
      <c r="Q695" s="154"/>
      <c r="U695" s="154"/>
      <c r="V695" s="154"/>
      <c r="W695" s="154"/>
    </row>
    <row r="696">
      <c r="Q696" s="154"/>
      <c r="U696" s="154"/>
      <c r="V696" s="154"/>
      <c r="W696" s="154"/>
    </row>
    <row r="697">
      <c r="Q697" s="154"/>
      <c r="U697" s="154"/>
      <c r="V697" s="154"/>
      <c r="W697" s="154"/>
    </row>
    <row r="698">
      <c r="Q698" s="154"/>
      <c r="U698" s="154"/>
      <c r="V698" s="154"/>
      <c r="W698" s="154"/>
    </row>
    <row r="699">
      <c r="Q699" s="154"/>
      <c r="U699" s="154"/>
      <c r="V699" s="154"/>
      <c r="W699" s="154"/>
    </row>
    <row r="700">
      <c r="Q700" s="154"/>
      <c r="U700" s="154"/>
      <c r="V700" s="154"/>
      <c r="W700" s="154"/>
    </row>
    <row r="701">
      <c r="Q701" s="154"/>
      <c r="U701" s="154"/>
      <c r="V701" s="154"/>
      <c r="W701" s="154"/>
    </row>
    <row r="702">
      <c r="Q702" s="154"/>
      <c r="U702" s="154"/>
      <c r="V702" s="154"/>
      <c r="W702" s="154"/>
    </row>
    <row r="703">
      <c r="Q703" s="154"/>
      <c r="U703" s="154"/>
      <c r="V703" s="154"/>
      <c r="W703" s="154"/>
    </row>
    <row r="704">
      <c r="Q704" s="154"/>
      <c r="U704" s="154"/>
      <c r="V704" s="154"/>
      <c r="W704" s="154"/>
    </row>
    <row r="705">
      <c r="Q705" s="154"/>
      <c r="U705" s="154"/>
      <c r="V705" s="154"/>
      <c r="W705" s="154"/>
    </row>
    <row r="706">
      <c r="Q706" s="154"/>
      <c r="U706" s="154"/>
      <c r="V706" s="154"/>
      <c r="W706" s="154"/>
    </row>
    <row r="707">
      <c r="Q707" s="154"/>
      <c r="U707" s="154"/>
      <c r="V707" s="154"/>
      <c r="W707" s="154"/>
    </row>
    <row r="708">
      <c r="Q708" s="154"/>
      <c r="U708" s="154"/>
      <c r="V708" s="154"/>
      <c r="W708" s="154"/>
    </row>
    <row r="709">
      <c r="Q709" s="154"/>
      <c r="U709" s="154"/>
      <c r="V709" s="154"/>
      <c r="W709" s="154"/>
    </row>
    <row r="710">
      <c r="Q710" s="154"/>
      <c r="U710" s="154"/>
      <c r="V710" s="154"/>
      <c r="W710" s="154"/>
    </row>
    <row r="711">
      <c r="Q711" s="154"/>
      <c r="U711" s="154"/>
      <c r="V711" s="154"/>
      <c r="W711" s="154"/>
    </row>
    <row r="712">
      <c r="Q712" s="154"/>
      <c r="U712" s="154"/>
      <c r="V712" s="154"/>
      <c r="W712" s="154"/>
    </row>
    <row r="713">
      <c r="Q713" s="154"/>
      <c r="U713" s="154"/>
      <c r="V713" s="154"/>
      <c r="W713" s="154"/>
    </row>
    <row r="714">
      <c r="Q714" s="154"/>
      <c r="U714" s="154"/>
      <c r="V714" s="154"/>
      <c r="W714" s="154"/>
    </row>
    <row r="715">
      <c r="Q715" s="154"/>
      <c r="U715" s="154"/>
      <c r="V715" s="154"/>
      <c r="W715" s="154"/>
    </row>
    <row r="716">
      <c r="Q716" s="154"/>
      <c r="U716" s="154"/>
      <c r="V716" s="154"/>
      <c r="W716" s="154"/>
    </row>
    <row r="717">
      <c r="Q717" s="154"/>
      <c r="U717" s="154"/>
      <c r="V717" s="154"/>
      <c r="W717" s="154"/>
    </row>
    <row r="718">
      <c r="Q718" s="154"/>
      <c r="U718" s="154"/>
      <c r="V718" s="154"/>
      <c r="W718" s="154"/>
    </row>
    <row r="719">
      <c r="Q719" s="154"/>
      <c r="U719" s="154"/>
      <c r="V719" s="154"/>
      <c r="W719" s="154"/>
    </row>
    <row r="720">
      <c r="Q720" s="154"/>
      <c r="U720" s="154"/>
      <c r="V720" s="154"/>
      <c r="W720" s="154"/>
    </row>
    <row r="721">
      <c r="Q721" s="154"/>
      <c r="U721" s="154"/>
      <c r="V721" s="154"/>
      <c r="W721" s="154"/>
    </row>
    <row r="722">
      <c r="Q722" s="154"/>
      <c r="U722" s="154"/>
      <c r="V722" s="154"/>
      <c r="W722" s="154"/>
    </row>
    <row r="723">
      <c r="Q723" s="154"/>
      <c r="U723" s="154"/>
      <c r="V723" s="154"/>
      <c r="W723" s="154"/>
    </row>
    <row r="724">
      <c r="Q724" s="154"/>
      <c r="U724" s="154"/>
      <c r="V724" s="154"/>
      <c r="W724" s="154"/>
    </row>
    <row r="725">
      <c r="Q725" s="154"/>
      <c r="U725" s="154"/>
      <c r="V725" s="154"/>
      <c r="W725" s="154"/>
    </row>
    <row r="726">
      <c r="Q726" s="154"/>
      <c r="U726" s="154"/>
      <c r="V726" s="154"/>
      <c r="W726" s="154"/>
    </row>
    <row r="727">
      <c r="Q727" s="154"/>
      <c r="U727" s="154"/>
      <c r="V727" s="154"/>
      <c r="W727" s="154"/>
    </row>
    <row r="728">
      <c r="Q728" s="154"/>
      <c r="U728" s="154"/>
      <c r="V728" s="154"/>
      <c r="W728" s="154"/>
    </row>
    <row r="729">
      <c r="Q729" s="154"/>
      <c r="U729" s="154"/>
      <c r="V729" s="154"/>
      <c r="W729" s="154"/>
    </row>
    <row r="730">
      <c r="Q730" s="154"/>
      <c r="U730" s="154"/>
      <c r="V730" s="154"/>
      <c r="W730" s="154"/>
    </row>
    <row r="731">
      <c r="Q731" s="154"/>
      <c r="U731" s="154"/>
      <c r="V731" s="154"/>
      <c r="W731" s="154"/>
    </row>
    <row r="732">
      <c r="Q732" s="154"/>
      <c r="U732" s="154"/>
      <c r="V732" s="154"/>
      <c r="W732" s="154"/>
    </row>
    <row r="733">
      <c r="Q733" s="154"/>
      <c r="U733" s="154"/>
      <c r="V733" s="154"/>
      <c r="W733" s="154"/>
    </row>
    <row r="734">
      <c r="Q734" s="154"/>
      <c r="U734" s="154"/>
      <c r="V734" s="154"/>
      <c r="W734" s="154"/>
    </row>
    <row r="735">
      <c r="Q735" s="154"/>
      <c r="U735" s="154"/>
      <c r="V735" s="154"/>
      <c r="W735" s="154"/>
    </row>
    <row r="736">
      <c r="Q736" s="154"/>
      <c r="U736" s="154"/>
      <c r="V736" s="154"/>
      <c r="W736" s="154"/>
    </row>
    <row r="737">
      <c r="Q737" s="154"/>
      <c r="U737" s="154"/>
      <c r="V737" s="154"/>
      <c r="W737" s="154"/>
    </row>
    <row r="738">
      <c r="Q738" s="154"/>
      <c r="U738" s="154"/>
      <c r="V738" s="154"/>
      <c r="W738" s="154"/>
    </row>
    <row r="739">
      <c r="Q739" s="154"/>
      <c r="U739" s="154"/>
      <c r="V739" s="154"/>
      <c r="W739" s="154"/>
    </row>
    <row r="740">
      <c r="Q740" s="154"/>
      <c r="U740" s="154"/>
      <c r="V740" s="154"/>
      <c r="W740" s="154"/>
    </row>
    <row r="741">
      <c r="Q741" s="154"/>
      <c r="U741" s="154"/>
      <c r="V741" s="154"/>
      <c r="W741" s="154"/>
    </row>
    <row r="742">
      <c r="Q742" s="154"/>
      <c r="U742" s="154"/>
      <c r="V742" s="154"/>
      <c r="W742" s="154"/>
    </row>
    <row r="743">
      <c r="Q743" s="154"/>
      <c r="U743" s="154"/>
      <c r="V743" s="154"/>
      <c r="W743" s="154"/>
    </row>
    <row r="744">
      <c r="Q744" s="154"/>
      <c r="U744" s="154"/>
      <c r="V744" s="154"/>
      <c r="W744" s="154"/>
    </row>
    <row r="745">
      <c r="Q745" s="154"/>
      <c r="U745" s="154"/>
      <c r="V745" s="154"/>
      <c r="W745" s="154"/>
    </row>
    <row r="746">
      <c r="Q746" s="154"/>
      <c r="U746" s="154"/>
      <c r="V746" s="154"/>
      <c r="W746" s="154"/>
    </row>
    <row r="747">
      <c r="Q747" s="154"/>
      <c r="U747" s="154"/>
      <c r="V747" s="154"/>
      <c r="W747" s="154"/>
    </row>
    <row r="748">
      <c r="Q748" s="154"/>
      <c r="U748" s="154"/>
      <c r="V748" s="154"/>
      <c r="W748" s="154"/>
    </row>
    <row r="749">
      <c r="Q749" s="154"/>
      <c r="U749" s="154"/>
      <c r="V749" s="154"/>
      <c r="W749" s="154"/>
    </row>
    <row r="750">
      <c r="Q750" s="154"/>
      <c r="U750" s="154"/>
      <c r="V750" s="154"/>
      <c r="W750" s="154"/>
    </row>
    <row r="751">
      <c r="Q751" s="154"/>
      <c r="U751" s="154"/>
      <c r="V751" s="154"/>
      <c r="W751" s="154"/>
    </row>
    <row r="752">
      <c r="Q752" s="154"/>
      <c r="U752" s="154"/>
      <c r="V752" s="154"/>
      <c r="W752" s="154"/>
    </row>
    <row r="753">
      <c r="Q753" s="154"/>
      <c r="U753" s="154"/>
      <c r="V753" s="154"/>
      <c r="W753" s="154"/>
    </row>
    <row r="754">
      <c r="Q754" s="154"/>
      <c r="U754" s="154"/>
      <c r="V754" s="154"/>
      <c r="W754" s="154"/>
    </row>
    <row r="755">
      <c r="Q755" s="154"/>
      <c r="U755" s="154"/>
      <c r="V755" s="154"/>
      <c r="W755" s="154"/>
    </row>
    <row r="756">
      <c r="Q756" s="154"/>
      <c r="U756" s="154"/>
      <c r="V756" s="154"/>
      <c r="W756" s="154"/>
    </row>
    <row r="757">
      <c r="Q757" s="154"/>
      <c r="U757" s="154"/>
      <c r="V757" s="154"/>
      <c r="W757" s="154"/>
    </row>
    <row r="758">
      <c r="Q758" s="154"/>
      <c r="U758" s="154"/>
      <c r="V758" s="154"/>
      <c r="W758" s="154"/>
    </row>
    <row r="759">
      <c r="Q759" s="154"/>
      <c r="U759" s="154"/>
      <c r="V759" s="154"/>
      <c r="W759" s="154"/>
    </row>
    <row r="760">
      <c r="Q760" s="154"/>
      <c r="U760" s="154"/>
      <c r="V760" s="154"/>
      <c r="W760" s="154"/>
    </row>
    <row r="761">
      <c r="Q761" s="154"/>
      <c r="U761" s="154"/>
      <c r="V761" s="154"/>
      <c r="W761" s="154"/>
    </row>
    <row r="762">
      <c r="Q762" s="154"/>
      <c r="U762" s="154"/>
      <c r="V762" s="154"/>
      <c r="W762" s="154"/>
    </row>
    <row r="763">
      <c r="Q763" s="154"/>
      <c r="U763" s="154"/>
      <c r="V763" s="154"/>
      <c r="W763" s="154"/>
    </row>
    <row r="764">
      <c r="Q764" s="154"/>
      <c r="U764" s="154"/>
      <c r="V764" s="154"/>
      <c r="W764" s="154"/>
    </row>
    <row r="765">
      <c r="Q765" s="154"/>
      <c r="U765" s="154"/>
      <c r="V765" s="154"/>
      <c r="W765" s="154"/>
    </row>
    <row r="766">
      <c r="Q766" s="154"/>
      <c r="U766" s="154"/>
      <c r="V766" s="154"/>
      <c r="W766" s="154"/>
    </row>
    <row r="767">
      <c r="Q767" s="154"/>
      <c r="U767" s="154"/>
      <c r="V767" s="154"/>
      <c r="W767" s="154"/>
    </row>
    <row r="768">
      <c r="Q768" s="154"/>
      <c r="U768" s="154"/>
      <c r="V768" s="154"/>
      <c r="W768" s="154"/>
    </row>
    <row r="769">
      <c r="Q769" s="154"/>
      <c r="U769" s="154"/>
      <c r="V769" s="154"/>
      <c r="W769" s="154"/>
    </row>
    <row r="770">
      <c r="Q770" s="154"/>
      <c r="U770" s="154"/>
      <c r="V770" s="154"/>
      <c r="W770" s="154"/>
    </row>
    <row r="771">
      <c r="Q771" s="154"/>
      <c r="U771" s="154"/>
      <c r="V771" s="154"/>
      <c r="W771" s="154"/>
    </row>
    <row r="772">
      <c r="Q772" s="154"/>
      <c r="U772" s="154"/>
      <c r="V772" s="154"/>
      <c r="W772" s="154"/>
    </row>
    <row r="773">
      <c r="Q773" s="154"/>
      <c r="U773" s="154"/>
      <c r="V773" s="154"/>
      <c r="W773" s="154"/>
    </row>
    <row r="774">
      <c r="Q774" s="154"/>
      <c r="U774" s="154"/>
      <c r="V774" s="154"/>
      <c r="W774" s="154"/>
    </row>
    <row r="775">
      <c r="Q775" s="154"/>
      <c r="U775" s="154"/>
      <c r="V775" s="154"/>
      <c r="W775" s="154"/>
    </row>
    <row r="776">
      <c r="Q776" s="154"/>
      <c r="U776" s="154"/>
      <c r="V776" s="154"/>
      <c r="W776" s="154"/>
    </row>
    <row r="777">
      <c r="Q777" s="154"/>
      <c r="U777" s="154"/>
      <c r="V777" s="154"/>
      <c r="W777" s="154"/>
    </row>
    <row r="778">
      <c r="Q778" s="154"/>
      <c r="U778" s="154"/>
      <c r="V778" s="154"/>
      <c r="W778" s="154"/>
    </row>
    <row r="779">
      <c r="Q779" s="154"/>
      <c r="U779" s="154"/>
      <c r="V779" s="154"/>
      <c r="W779" s="154"/>
    </row>
    <row r="780">
      <c r="Q780" s="154"/>
      <c r="U780" s="154"/>
      <c r="V780" s="154"/>
      <c r="W780" s="154"/>
    </row>
    <row r="781">
      <c r="Q781" s="154"/>
      <c r="U781" s="154"/>
      <c r="V781" s="154"/>
      <c r="W781" s="154"/>
    </row>
    <row r="782">
      <c r="Q782" s="154"/>
      <c r="U782" s="154"/>
      <c r="V782" s="154"/>
      <c r="W782" s="154"/>
    </row>
    <row r="783">
      <c r="Q783" s="154"/>
      <c r="U783" s="154"/>
      <c r="V783" s="154"/>
      <c r="W783" s="154"/>
    </row>
    <row r="784">
      <c r="Q784" s="154"/>
      <c r="U784" s="154"/>
      <c r="V784" s="154"/>
      <c r="W784" s="154"/>
    </row>
    <row r="785">
      <c r="Q785" s="154"/>
      <c r="U785" s="154"/>
      <c r="V785" s="154"/>
      <c r="W785" s="154"/>
    </row>
    <row r="786">
      <c r="Q786" s="154"/>
      <c r="U786" s="154"/>
      <c r="V786" s="154"/>
      <c r="W786" s="154"/>
    </row>
    <row r="787">
      <c r="Q787" s="154"/>
      <c r="U787" s="154"/>
      <c r="V787" s="154"/>
      <c r="W787" s="154"/>
    </row>
    <row r="788">
      <c r="Q788" s="154"/>
      <c r="U788" s="154"/>
      <c r="V788" s="154"/>
      <c r="W788" s="154"/>
    </row>
    <row r="789">
      <c r="Q789" s="154"/>
      <c r="U789" s="154"/>
      <c r="V789" s="154"/>
      <c r="W789" s="154"/>
    </row>
    <row r="790">
      <c r="Q790" s="154"/>
      <c r="U790" s="154"/>
      <c r="V790" s="154"/>
      <c r="W790" s="154"/>
    </row>
    <row r="791">
      <c r="Q791" s="154"/>
      <c r="U791" s="154"/>
      <c r="V791" s="154"/>
      <c r="W791" s="154"/>
    </row>
    <row r="792">
      <c r="Q792" s="154"/>
      <c r="U792" s="154"/>
      <c r="V792" s="154"/>
      <c r="W792" s="154"/>
    </row>
    <row r="793">
      <c r="Q793" s="154"/>
      <c r="U793" s="154"/>
      <c r="V793" s="154"/>
      <c r="W793" s="154"/>
    </row>
    <row r="794">
      <c r="Q794" s="154"/>
      <c r="U794" s="154"/>
      <c r="V794" s="154"/>
      <c r="W794" s="154"/>
    </row>
    <row r="795">
      <c r="Q795" s="154"/>
      <c r="U795" s="154"/>
      <c r="V795" s="154"/>
      <c r="W795" s="154"/>
    </row>
    <row r="796">
      <c r="Q796" s="154"/>
      <c r="U796" s="154"/>
      <c r="V796" s="154"/>
      <c r="W796" s="154"/>
    </row>
    <row r="797">
      <c r="Q797" s="154"/>
      <c r="U797" s="154"/>
      <c r="V797" s="154"/>
      <c r="W797" s="154"/>
    </row>
    <row r="798">
      <c r="Q798" s="154"/>
      <c r="U798" s="154"/>
      <c r="V798" s="154"/>
      <c r="W798" s="154"/>
    </row>
    <row r="799">
      <c r="Q799" s="154"/>
      <c r="U799" s="154"/>
      <c r="V799" s="154"/>
      <c r="W799" s="154"/>
    </row>
    <row r="800">
      <c r="Q800" s="154"/>
      <c r="U800" s="154"/>
      <c r="V800" s="154"/>
      <c r="W800" s="154"/>
    </row>
    <row r="801">
      <c r="Q801" s="154"/>
      <c r="U801" s="154"/>
      <c r="V801" s="154"/>
      <c r="W801" s="154"/>
    </row>
    <row r="802">
      <c r="Q802" s="154"/>
      <c r="U802" s="154"/>
      <c r="V802" s="154"/>
      <c r="W802" s="154"/>
    </row>
    <row r="803">
      <c r="Q803" s="154"/>
      <c r="U803" s="154"/>
      <c r="V803" s="154"/>
      <c r="W803" s="154"/>
    </row>
    <row r="804">
      <c r="Q804" s="154"/>
      <c r="U804" s="154"/>
      <c r="V804" s="154"/>
      <c r="W804" s="154"/>
    </row>
    <row r="805">
      <c r="Q805" s="154"/>
      <c r="U805" s="154"/>
      <c r="V805" s="154"/>
      <c r="W805" s="154"/>
    </row>
    <row r="806">
      <c r="Q806" s="154"/>
      <c r="U806" s="154"/>
      <c r="V806" s="154"/>
      <c r="W806" s="154"/>
    </row>
    <row r="807">
      <c r="Q807" s="154"/>
      <c r="U807" s="154"/>
      <c r="V807" s="154"/>
      <c r="W807" s="154"/>
    </row>
    <row r="808">
      <c r="Q808" s="154"/>
      <c r="U808" s="154"/>
      <c r="V808" s="154"/>
      <c r="W808" s="154"/>
    </row>
    <row r="809">
      <c r="Q809" s="154"/>
      <c r="U809" s="154"/>
      <c r="V809" s="154"/>
      <c r="W809" s="154"/>
    </row>
    <row r="810">
      <c r="Q810" s="154"/>
      <c r="U810" s="154"/>
      <c r="V810" s="154"/>
      <c r="W810" s="154"/>
    </row>
    <row r="811">
      <c r="Q811" s="154"/>
      <c r="U811" s="154"/>
      <c r="V811" s="154"/>
      <c r="W811" s="154"/>
    </row>
    <row r="812">
      <c r="Q812" s="154"/>
      <c r="U812" s="154"/>
      <c r="V812" s="154"/>
      <c r="W812" s="154"/>
    </row>
    <row r="813">
      <c r="Q813" s="154"/>
      <c r="U813" s="154"/>
      <c r="V813" s="154"/>
      <c r="W813" s="154"/>
    </row>
    <row r="814">
      <c r="Q814" s="154"/>
      <c r="U814" s="154"/>
      <c r="V814" s="154"/>
      <c r="W814" s="154"/>
    </row>
    <row r="815">
      <c r="Q815" s="154"/>
      <c r="U815" s="154"/>
      <c r="V815" s="154"/>
      <c r="W815" s="154"/>
    </row>
    <row r="816">
      <c r="Q816" s="154"/>
      <c r="U816" s="154"/>
      <c r="V816" s="154"/>
      <c r="W816" s="154"/>
    </row>
    <row r="817">
      <c r="Q817" s="154"/>
      <c r="U817" s="154"/>
      <c r="V817" s="154"/>
      <c r="W817" s="154"/>
    </row>
    <row r="818">
      <c r="Q818" s="154"/>
      <c r="U818" s="154"/>
      <c r="V818" s="154"/>
      <c r="W818" s="154"/>
    </row>
    <row r="819">
      <c r="Q819" s="154"/>
      <c r="U819" s="154"/>
      <c r="V819" s="154"/>
      <c r="W819" s="154"/>
    </row>
    <row r="820">
      <c r="Q820" s="154"/>
      <c r="U820" s="154"/>
      <c r="V820" s="154"/>
      <c r="W820" s="154"/>
    </row>
    <row r="821">
      <c r="Q821" s="154"/>
      <c r="U821" s="154"/>
      <c r="V821" s="154"/>
      <c r="W821" s="154"/>
    </row>
    <row r="822">
      <c r="Q822" s="154"/>
      <c r="U822" s="154"/>
      <c r="V822" s="154"/>
      <c r="W822" s="154"/>
    </row>
    <row r="823">
      <c r="Q823" s="154"/>
      <c r="U823" s="154"/>
      <c r="V823" s="154"/>
      <c r="W823" s="154"/>
    </row>
    <row r="824">
      <c r="Q824" s="154"/>
      <c r="U824" s="154"/>
      <c r="V824" s="154"/>
      <c r="W824" s="154"/>
    </row>
    <row r="825">
      <c r="Q825" s="154"/>
      <c r="U825" s="154"/>
      <c r="V825" s="154"/>
      <c r="W825" s="154"/>
    </row>
    <row r="826">
      <c r="Q826" s="154"/>
      <c r="U826" s="154"/>
      <c r="V826" s="154"/>
      <c r="W826" s="154"/>
    </row>
    <row r="827">
      <c r="Q827" s="154"/>
      <c r="U827" s="154"/>
      <c r="V827" s="154"/>
      <c r="W827" s="154"/>
    </row>
    <row r="828">
      <c r="Q828" s="154"/>
      <c r="U828" s="154"/>
      <c r="V828" s="154"/>
      <c r="W828" s="154"/>
    </row>
    <row r="829">
      <c r="Q829" s="154"/>
      <c r="U829" s="154"/>
      <c r="V829" s="154"/>
      <c r="W829" s="154"/>
    </row>
    <row r="830">
      <c r="Q830" s="154"/>
      <c r="U830" s="154"/>
      <c r="V830" s="154"/>
      <c r="W830" s="154"/>
    </row>
    <row r="831">
      <c r="Q831" s="154"/>
      <c r="U831" s="154"/>
      <c r="V831" s="154"/>
      <c r="W831" s="154"/>
    </row>
    <row r="832">
      <c r="Q832" s="154"/>
      <c r="U832" s="154"/>
      <c r="V832" s="154"/>
      <c r="W832" s="154"/>
    </row>
    <row r="833">
      <c r="Q833" s="154"/>
      <c r="U833" s="154"/>
      <c r="V833" s="154"/>
      <c r="W833" s="154"/>
    </row>
    <row r="834">
      <c r="Q834" s="154"/>
      <c r="U834" s="154"/>
      <c r="V834" s="154"/>
      <c r="W834" s="154"/>
    </row>
    <row r="835">
      <c r="Q835" s="154"/>
      <c r="U835" s="154"/>
      <c r="V835" s="154"/>
      <c r="W835" s="154"/>
    </row>
    <row r="836">
      <c r="Q836" s="154"/>
      <c r="U836" s="154"/>
      <c r="V836" s="154"/>
      <c r="W836" s="154"/>
    </row>
    <row r="837">
      <c r="Q837" s="154"/>
      <c r="U837" s="154"/>
      <c r="V837" s="154"/>
      <c r="W837" s="154"/>
    </row>
    <row r="838">
      <c r="Q838" s="154"/>
      <c r="U838" s="154"/>
      <c r="V838" s="154"/>
      <c r="W838" s="154"/>
    </row>
    <row r="839">
      <c r="Q839" s="154"/>
      <c r="U839" s="154"/>
      <c r="V839" s="154"/>
      <c r="W839" s="154"/>
    </row>
    <row r="840">
      <c r="Q840" s="154"/>
      <c r="U840" s="154"/>
      <c r="V840" s="154"/>
      <c r="W840" s="154"/>
    </row>
    <row r="841">
      <c r="Q841" s="154"/>
      <c r="U841" s="154"/>
      <c r="V841" s="154"/>
      <c r="W841" s="154"/>
    </row>
    <row r="842">
      <c r="Q842" s="154"/>
      <c r="U842" s="154"/>
      <c r="V842" s="154"/>
      <c r="W842" s="154"/>
    </row>
    <row r="843">
      <c r="Q843" s="154"/>
      <c r="U843" s="154"/>
      <c r="V843" s="154"/>
      <c r="W843" s="154"/>
    </row>
    <row r="844">
      <c r="Q844" s="154"/>
      <c r="U844" s="154"/>
      <c r="V844" s="154"/>
      <c r="W844" s="154"/>
    </row>
    <row r="845">
      <c r="Q845" s="154"/>
      <c r="U845" s="154"/>
      <c r="V845" s="154"/>
      <c r="W845" s="154"/>
    </row>
    <row r="846">
      <c r="Q846" s="154"/>
      <c r="U846" s="154"/>
      <c r="V846" s="154"/>
      <c r="W846" s="154"/>
    </row>
    <row r="847">
      <c r="Q847" s="154"/>
      <c r="U847" s="154"/>
      <c r="V847" s="154"/>
      <c r="W847" s="154"/>
    </row>
    <row r="848">
      <c r="Q848" s="154"/>
      <c r="U848" s="154"/>
      <c r="V848" s="154"/>
      <c r="W848" s="154"/>
    </row>
    <row r="849">
      <c r="Q849" s="154"/>
      <c r="U849" s="154"/>
      <c r="V849" s="154"/>
      <c r="W849" s="154"/>
    </row>
    <row r="850">
      <c r="Q850" s="154"/>
      <c r="U850" s="154"/>
      <c r="V850" s="154"/>
      <c r="W850" s="154"/>
    </row>
    <row r="851">
      <c r="Q851" s="154"/>
      <c r="U851" s="154"/>
      <c r="V851" s="154"/>
      <c r="W851" s="154"/>
    </row>
    <row r="852">
      <c r="Q852" s="154"/>
      <c r="U852" s="154"/>
      <c r="V852" s="154"/>
      <c r="W852" s="154"/>
    </row>
    <row r="853">
      <c r="Q853" s="154"/>
      <c r="U853" s="154"/>
      <c r="V853" s="154"/>
      <c r="W853" s="154"/>
    </row>
    <row r="854">
      <c r="Q854" s="154"/>
      <c r="U854" s="154"/>
      <c r="V854" s="154"/>
      <c r="W854" s="154"/>
    </row>
    <row r="855">
      <c r="Q855" s="154"/>
      <c r="U855" s="154"/>
      <c r="V855" s="154"/>
      <c r="W855" s="154"/>
    </row>
    <row r="856">
      <c r="Q856" s="154"/>
      <c r="U856" s="154"/>
      <c r="V856" s="154"/>
      <c r="W856" s="154"/>
    </row>
    <row r="857"/>
    <row r="858"/>
    <row r="859"/>
  </sheetData>
  <mergeCells count="15">
    <mergeCell ref="F1:J1"/>
    <mergeCell ref="L1:N5"/>
    <mergeCell ref="F2:K5"/>
    <mergeCell ref="N6:P7"/>
    <mergeCell ref="F7:J7"/>
    <mergeCell ref="A9:Q9"/>
    <mergeCell ref="U9:V9"/>
    <mergeCell ref="P10:Q10"/>
    <mergeCell ref="U10:V10"/>
    <mergeCell ref="A25:Q25"/>
    <mergeCell ref="P26:Q26"/>
    <mergeCell ref="A41:Q41"/>
    <mergeCell ref="P42:Q42"/>
    <mergeCell ref="P58:Q58"/>
    <mergeCell ref="P74:Q7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onlyoffice/8.1.3.1</Application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Марина Нинилина</dc:creator>
  <cp:lastModifiedBy>Александр Стрыгин</cp:lastModifiedBy>
  <cp:revision>194</cp:revision>
  <dcterms:created xsi:type="dcterms:W3CDTF">2024-09-24T09:49:54Z</dcterms:created>
  <dcterms:modified xsi:type="dcterms:W3CDTF">2026-06-27T10:06:13Z</dcterms:modified>
</cp:coreProperties>
</file>